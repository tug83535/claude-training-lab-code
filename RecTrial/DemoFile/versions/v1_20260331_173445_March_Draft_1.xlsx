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codeName="{DD97A8EA-9A9A-E61F-A557-7D5A7D7259CE}"/>
  <workbookPr codeName="ThisWorkbook"/>
  <mc:AlternateContent xmlns:mc="http://schemas.openxmlformats.org/markup-compatibility/2006">
    <mc:Choice Requires="x15">
      <x15ac:absPath xmlns:x15ac="http://schemas.microsoft.com/office/spreadsheetml/2010/11/ac" url="C:\Users\connor.atlee\RecTrial\DemoFile\"/>
    </mc:Choice>
  </mc:AlternateContent>
  <xr:revisionPtr revIDLastSave="0" documentId="8_{0B85BBB7-076F-4FD6-A384-51A8B18E7F29}" xr6:coauthVersionLast="47" xr6:coauthVersionMax="47" xr10:uidLastSave="{00000000-0000-0000-0000-000000000000}"/>
  <bookViews>
    <workbookView xWindow="-120" yWindow="-120" windowWidth="29040" windowHeight="16440" tabRatio="500" firstSheet="5" activeTab="5" xr2:uid="{00000000-000D-0000-FFFF-FFFF00000000}"/>
  </bookViews>
  <sheets>
    <sheet name="CrossfireHiddenWorksheet" sheetId="1" r:id="rId1"/>
    <sheet name="Disclaimer" sheetId="2" r:id="rId2"/>
    <sheet name="Assumptions" sheetId="3" r:id="rId3"/>
    <sheet name="Data Dictionary" sheetId="4" r:id="rId4"/>
    <sheet name="AWS Allocation" sheetId="5" r:id="rId5"/>
    <sheet name="Report--&gt;" sheetId="6" r:id="rId6"/>
    <sheet name="P&amp;L - Monthly Trend" sheetId="7" r:id="rId7"/>
    <sheet name="Product Line Summary" sheetId="8" r:id="rId8"/>
    <sheet name="Functional P&amp;L - Monthly Trend" sheetId="9" r:id="rId9"/>
    <sheet name="Functional P&amp;L Summary - Jan 25" sheetId="10" r:id="rId10"/>
    <sheet name="Functional P&amp;L Summary - Feb 25" sheetId="11" r:id="rId11"/>
    <sheet name="Functional P&amp;L Summary - Mar 25" sheetId="12" r:id="rId12"/>
    <sheet name="US January 2025 Natural P&amp;L" sheetId="13" r:id="rId13"/>
    <sheet name="Charts &amp; Visuals" sheetId="14" r:id="rId14"/>
    <sheet name="Checks" sheetId="15" r:id="rId15"/>
    <sheet name="VBA_AuditLog" sheetId="16" state="veryHidden" r:id="rId16"/>
    <sheet name="Data Quality Report" sheetId="17" r:id="rId17"/>
    <sheet name="Variance Analysis" sheetId="18" r:id="rId18"/>
    <sheet name="Variance Commentary" sheetId="19" r:id="rId19"/>
    <sheet name="YoY Variance Analysis" sheetId="20" r:id="rId20"/>
    <sheet name="Executive Dashboard" sheetId="21" r:id="rId21"/>
    <sheet name="Executive Brief" sheetId="22" r:id="rId22"/>
  </sheets>
  <functionGroups builtInGroupCount="19"/>
  <definedNames>
    <definedName name="_xlnm._FilterDatabase" localSheetId="15" hidden="1">VBA_AuditLog!$A$1:$F$1</definedName>
    <definedName name="AWS_Shared_Pct">Assumptions!$B$12</definedName>
    <definedName name="Departments_Table">'Data Dictionary'!$A$14:$C$20</definedName>
    <definedName name="InsureSight_Split">Assumptions!$B$6</definedName>
    <definedName name="_xlnm.Print_Area" localSheetId="1">Disclaimer!$B$2:$M$19</definedName>
    <definedName name="Products_Table">'Data Dictionary'!$A$6:$D$9</definedName>
    <definedName name="Revenue_Share_Pct_iGO">Assumptions!$B$8</definedName>
    <definedName name="Vendors_Table">'Data Dictionary'!$A$40:$D$54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4" i="14" l="1"/>
  <c r="C237" i="14"/>
  <c r="E236" i="14"/>
  <c r="D236" i="14"/>
  <c r="E227" i="14"/>
  <c r="M215" i="14"/>
  <c r="L215" i="14"/>
  <c r="K215" i="14"/>
  <c r="J215" i="14"/>
  <c r="I215" i="14"/>
  <c r="J213" i="14"/>
  <c r="I213" i="14"/>
  <c r="H213" i="14"/>
  <c r="G213" i="14"/>
  <c r="I211" i="14"/>
  <c r="H211" i="14"/>
  <c r="G211" i="14"/>
  <c r="F211" i="14"/>
  <c r="F209" i="14"/>
  <c r="E209" i="14"/>
  <c r="D209" i="14"/>
  <c r="C209" i="14"/>
  <c r="B203" i="14"/>
  <c r="G201" i="14"/>
  <c r="F201" i="14"/>
  <c r="C201" i="14"/>
  <c r="B201" i="14"/>
  <c r="D77" i="13"/>
  <c r="C77" i="13"/>
  <c r="B77" i="13"/>
  <c r="E76" i="13"/>
  <c r="E75" i="13"/>
  <c r="E74" i="13"/>
  <c r="E73" i="13"/>
  <c r="E72" i="13"/>
  <c r="E71" i="13"/>
  <c r="E68" i="13"/>
  <c r="D68" i="13"/>
  <c r="C68" i="13"/>
  <c r="B68" i="13"/>
  <c r="E67" i="13"/>
  <c r="E66" i="13"/>
  <c r="E65" i="13"/>
  <c r="E64" i="13"/>
  <c r="E63" i="13"/>
  <c r="E62" i="13"/>
  <c r="E61" i="13"/>
  <c r="D58" i="13"/>
  <c r="C58" i="13"/>
  <c r="B58" i="13"/>
  <c r="E57" i="13"/>
  <c r="E56" i="13"/>
  <c r="E55" i="13"/>
  <c r="E58" i="13" s="1"/>
  <c r="E54" i="13"/>
  <c r="E53" i="13"/>
  <c r="E52" i="13"/>
  <c r="D49" i="13"/>
  <c r="C49" i="13"/>
  <c r="B49" i="13"/>
  <c r="E48" i="13"/>
  <c r="E47" i="13"/>
  <c r="E46" i="13"/>
  <c r="E45" i="13"/>
  <c r="E44" i="13"/>
  <c r="E43" i="13"/>
  <c r="E42" i="13"/>
  <c r="D39" i="13"/>
  <c r="C39" i="13"/>
  <c r="B39" i="13"/>
  <c r="E38" i="13"/>
  <c r="E37" i="13"/>
  <c r="E36" i="13"/>
  <c r="E35" i="13"/>
  <c r="E34" i="13"/>
  <c r="E33" i="13"/>
  <c r="E39" i="13" s="1"/>
  <c r="E30" i="13"/>
  <c r="D30" i="13"/>
  <c r="C30" i="13"/>
  <c r="B30" i="13"/>
  <c r="E29" i="13"/>
  <c r="E28" i="13"/>
  <c r="E27" i="13"/>
  <c r="E26" i="13"/>
  <c r="E25" i="13"/>
  <c r="E24" i="13"/>
  <c r="D21" i="13"/>
  <c r="C21" i="13"/>
  <c r="B21" i="13"/>
  <c r="E20" i="13"/>
  <c r="E19" i="13"/>
  <c r="E18" i="13"/>
  <c r="E17" i="13"/>
  <c r="E16" i="13"/>
  <c r="E14" i="13"/>
  <c r="E13" i="13"/>
  <c r="E12" i="13"/>
  <c r="D9" i="13"/>
  <c r="C9" i="13"/>
  <c r="B9" i="13"/>
  <c r="E8" i="13"/>
  <c r="E7" i="13"/>
  <c r="E9" i="13" s="1"/>
  <c r="D34" i="12"/>
  <c r="C34" i="12"/>
  <c r="B34" i="12"/>
  <c r="E33" i="12"/>
  <c r="D33" i="12"/>
  <c r="C33" i="12"/>
  <c r="B33" i="12"/>
  <c r="E32" i="12"/>
  <c r="D32" i="12"/>
  <c r="C32" i="12"/>
  <c r="B32" i="12"/>
  <c r="D31" i="12"/>
  <c r="C31" i="12"/>
  <c r="B31" i="12"/>
  <c r="E31" i="12" s="1"/>
  <c r="D24" i="12"/>
  <c r="C24" i="12"/>
  <c r="B24" i="12"/>
  <c r="E24" i="12" s="1"/>
  <c r="E22" i="12"/>
  <c r="E27" i="12" s="1"/>
  <c r="B22" i="12"/>
  <c r="D18" i="12"/>
  <c r="C18" i="12"/>
  <c r="B18" i="12"/>
  <c r="E18" i="12" s="1"/>
  <c r="D17" i="12"/>
  <c r="C17" i="12"/>
  <c r="B17" i="12"/>
  <c r="E17" i="12" s="1"/>
  <c r="D16" i="12"/>
  <c r="E16" i="12" s="1"/>
  <c r="C16" i="12"/>
  <c r="B16" i="12"/>
  <c r="E15" i="12"/>
  <c r="D15" i="12"/>
  <c r="C15" i="12"/>
  <c r="B15" i="12"/>
  <c r="D14" i="12"/>
  <c r="C14" i="12"/>
  <c r="B14" i="12"/>
  <c r="E14" i="12" s="1"/>
  <c r="D13" i="12"/>
  <c r="C13" i="12"/>
  <c r="E13" i="12" s="1"/>
  <c r="B13" i="12"/>
  <c r="D12" i="12"/>
  <c r="C12" i="12"/>
  <c r="B12" i="12"/>
  <c r="E12" i="12" s="1"/>
  <c r="D8" i="12"/>
  <c r="C8" i="12"/>
  <c r="B8" i="12"/>
  <c r="E8" i="12" s="1"/>
  <c r="D7" i="12"/>
  <c r="C7" i="12"/>
  <c r="B7" i="12"/>
  <c r="E7" i="12" s="1"/>
  <c r="E6" i="12"/>
  <c r="D6" i="12"/>
  <c r="C6" i="12"/>
  <c r="B6" i="12"/>
  <c r="D34" i="11"/>
  <c r="C34" i="11"/>
  <c r="B34" i="11"/>
  <c r="E34" i="11" s="1"/>
  <c r="D33" i="11"/>
  <c r="C33" i="11"/>
  <c r="B33" i="11"/>
  <c r="E33" i="11" s="1"/>
  <c r="D32" i="11"/>
  <c r="C32" i="11"/>
  <c r="B32" i="11"/>
  <c r="E31" i="11"/>
  <c r="D31" i="11"/>
  <c r="C31" i="11"/>
  <c r="B31" i="11"/>
  <c r="B27" i="11"/>
  <c r="D24" i="11"/>
  <c r="C24" i="11"/>
  <c r="B24" i="11"/>
  <c r="D22" i="11"/>
  <c r="B22" i="11"/>
  <c r="B19" i="11"/>
  <c r="E18" i="11"/>
  <c r="D18" i="11"/>
  <c r="C18" i="11"/>
  <c r="B18" i="11"/>
  <c r="D17" i="11"/>
  <c r="D16" i="11"/>
  <c r="C16" i="11"/>
  <c r="B16" i="11"/>
  <c r="E16" i="11" s="1"/>
  <c r="D15" i="11"/>
  <c r="C15" i="11"/>
  <c r="B15" i="11"/>
  <c r="E15" i="11" s="1"/>
  <c r="D14" i="11"/>
  <c r="E14" i="11" s="1"/>
  <c r="C14" i="11"/>
  <c r="B14" i="11"/>
  <c r="E13" i="11"/>
  <c r="D13" i="11"/>
  <c r="C13" i="11"/>
  <c r="B13" i="11"/>
  <c r="D12" i="11"/>
  <c r="C12" i="11"/>
  <c r="B12" i="11"/>
  <c r="E12" i="11" s="1"/>
  <c r="D9" i="11"/>
  <c r="C9" i="11"/>
  <c r="B9" i="11"/>
  <c r="E9" i="11" s="1"/>
  <c r="D8" i="11"/>
  <c r="C8" i="11"/>
  <c r="B8" i="11"/>
  <c r="D7" i="11"/>
  <c r="C7" i="11"/>
  <c r="B7" i="11"/>
  <c r="D6" i="11"/>
  <c r="C6" i="11"/>
  <c r="B6" i="11"/>
  <c r="E6" i="11" s="1"/>
  <c r="E34" i="10"/>
  <c r="D34" i="10"/>
  <c r="C34" i="10"/>
  <c r="B34" i="10"/>
  <c r="E33" i="10"/>
  <c r="D33" i="10"/>
  <c r="C33" i="10"/>
  <c r="B33" i="10"/>
  <c r="D32" i="10"/>
  <c r="C32" i="10"/>
  <c r="B32" i="10"/>
  <c r="E32" i="10" s="1"/>
  <c r="D31" i="10"/>
  <c r="C31" i="10"/>
  <c r="B31" i="10"/>
  <c r="E31" i="10" s="1"/>
  <c r="D27" i="10"/>
  <c r="D24" i="10"/>
  <c r="C24" i="10"/>
  <c r="B24" i="10"/>
  <c r="C22" i="10"/>
  <c r="E18" i="10"/>
  <c r="D18" i="10"/>
  <c r="C18" i="10"/>
  <c r="B18" i="10"/>
  <c r="B17" i="10"/>
  <c r="D16" i="10"/>
  <c r="E16" i="10" s="1"/>
  <c r="C16" i="10"/>
  <c r="B16" i="10"/>
  <c r="D15" i="10"/>
  <c r="C15" i="10"/>
  <c r="B15" i="10"/>
  <c r="D14" i="10"/>
  <c r="C14" i="10"/>
  <c r="B14" i="10"/>
  <c r="E14" i="10" s="1"/>
  <c r="D13" i="10"/>
  <c r="C13" i="10"/>
  <c r="B13" i="10"/>
  <c r="E13" i="10" s="1"/>
  <c r="D12" i="10"/>
  <c r="E12" i="10" s="1"/>
  <c r="C12" i="10"/>
  <c r="B12" i="10"/>
  <c r="E8" i="10"/>
  <c r="D8" i="10"/>
  <c r="C8" i="10"/>
  <c r="B8" i="10"/>
  <c r="D7" i="10"/>
  <c r="C7" i="10"/>
  <c r="B7" i="10"/>
  <c r="E7" i="10" s="1"/>
  <c r="D6" i="10"/>
  <c r="C6" i="10"/>
  <c r="B6" i="10"/>
  <c r="E6" i="10" s="1"/>
  <c r="L146" i="9"/>
  <c r="R144" i="9"/>
  <c r="Q144" i="9"/>
  <c r="P144" i="9"/>
  <c r="O144" i="9"/>
  <c r="N144" i="9"/>
  <c r="R143" i="9"/>
  <c r="Q143" i="9"/>
  <c r="P143" i="9"/>
  <c r="O143" i="9"/>
  <c r="N143" i="9"/>
  <c r="R142" i="9"/>
  <c r="Q142" i="9"/>
  <c r="P142" i="9"/>
  <c r="O142" i="9"/>
  <c r="N142" i="9"/>
  <c r="R141" i="9"/>
  <c r="Q141" i="9"/>
  <c r="P141" i="9"/>
  <c r="O141" i="9"/>
  <c r="N141" i="9"/>
  <c r="N78" i="8" s="1"/>
  <c r="L137" i="9"/>
  <c r="J137" i="9"/>
  <c r="H137" i="9"/>
  <c r="G137" i="9"/>
  <c r="C137" i="9"/>
  <c r="R134" i="9"/>
  <c r="Q134" i="9"/>
  <c r="P134" i="9"/>
  <c r="O134" i="9"/>
  <c r="N134" i="9"/>
  <c r="L133" i="9"/>
  <c r="G133" i="9"/>
  <c r="O132" i="9"/>
  <c r="O137" i="9" s="1"/>
  <c r="N132" i="9"/>
  <c r="N137" i="9" s="1"/>
  <c r="M132" i="9"/>
  <c r="M137" i="9" s="1"/>
  <c r="L132" i="9"/>
  <c r="K132" i="9"/>
  <c r="J132" i="9"/>
  <c r="P132" i="9" s="1"/>
  <c r="I132" i="9"/>
  <c r="I137" i="9" s="1"/>
  <c r="H132" i="9"/>
  <c r="G132" i="9"/>
  <c r="F132" i="9"/>
  <c r="F137" i="9" s="1"/>
  <c r="E132" i="9"/>
  <c r="E137" i="9" s="1"/>
  <c r="D132" i="9"/>
  <c r="D137" i="9" s="1"/>
  <c r="C132" i="9"/>
  <c r="B132" i="9"/>
  <c r="M131" i="9"/>
  <c r="M136" i="9" s="1"/>
  <c r="L131" i="9"/>
  <c r="L136" i="9" s="1"/>
  <c r="I131" i="9"/>
  <c r="G131" i="9"/>
  <c r="G136" i="9" s="1"/>
  <c r="F131" i="9"/>
  <c r="F133" i="9" s="1"/>
  <c r="E131" i="9"/>
  <c r="D131" i="9"/>
  <c r="L129" i="9"/>
  <c r="I129" i="9"/>
  <c r="H129" i="9"/>
  <c r="G129" i="9"/>
  <c r="G33" i="8" s="1"/>
  <c r="F129" i="9"/>
  <c r="F33" i="8" s="1"/>
  <c r="E129" i="9"/>
  <c r="R128" i="9"/>
  <c r="Q128" i="9"/>
  <c r="P128" i="9"/>
  <c r="O128" i="9"/>
  <c r="N128" i="9"/>
  <c r="P127" i="9"/>
  <c r="O127" i="9"/>
  <c r="M127" i="9"/>
  <c r="L127" i="9"/>
  <c r="K127" i="9"/>
  <c r="J127" i="9"/>
  <c r="I127" i="9"/>
  <c r="H127" i="9"/>
  <c r="H131" i="9" s="1"/>
  <c r="H136" i="9" s="1"/>
  <c r="G127" i="9"/>
  <c r="F127" i="9"/>
  <c r="E127" i="9"/>
  <c r="D127" i="9"/>
  <c r="D129" i="9" s="1"/>
  <c r="C127" i="9"/>
  <c r="C129" i="9" s="1"/>
  <c r="C33" i="8" s="1"/>
  <c r="B127" i="9"/>
  <c r="R126" i="9"/>
  <c r="R77" i="8" s="1"/>
  <c r="E229" i="14" s="1"/>
  <c r="Q126" i="9"/>
  <c r="Q77" i="8" s="1"/>
  <c r="P126" i="9"/>
  <c r="P77" i="8" s="1"/>
  <c r="O126" i="9"/>
  <c r="N126" i="9"/>
  <c r="R125" i="9"/>
  <c r="Q125" i="9"/>
  <c r="P125" i="9"/>
  <c r="O125" i="9"/>
  <c r="N125" i="9"/>
  <c r="R124" i="9"/>
  <c r="Q124" i="9"/>
  <c r="P124" i="9"/>
  <c r="O124" i="9"/>
  <c r="O75" i="8" s="1"/>
  <c r="O80" i="8" s="1"/>
  <c r="N124" i="9"/>
  <c r="N75" i="8" s="1"/>
  <c r="N80" i="8" s="1"/>
  <c r="R123" i="9"/>
  <c r="Q123" i="9"/>
  <c r="P123" i="9"/>
  <c r="O123" i="9"/>
  <c r="N123" i="9"/>
  <c r="R122" i="9"/>
  <c r="Q122" i="9"/>
  <c r="P122" i="9"/>
  <c r="O122" i="9"/>
  <c r="N122" i="9"/>
  <c r="P119" i="9"/>
  <c r="O119" i="9"/>
  <c r="O32" i="8" s="1"/>
  <c r="N119" i="9"/>
  <c r="N32" i="8" s="1"/>
  <c r="M119" i="9"/>
  <c r="M32" i="8" s="1"/>
  <c r="E245" i="14" s="1"/>
  <c r="L119" i="9"/>
  <c r="K119" i="9"/>
  <c r="J119" i="9"/>
  <c r="I119" i="9"/>
  <c r="H119" i="9"/>
  <c r="G119" i="9"/>
  <c r="F119" i="9"/>
  <c r="E119" i="9"/>
  <c r="D119" i="9"/>
  <c r="C119" i="9"/>
  <c r="B119" i="9"/>
  <c r="R118" i="9"/>
  <c r="Q118" i="9"/>
  <c r="P118" i="9"/>
  <c r="O118" i="9"/>
  <c r="N118" i="9"/>
  <c r="R117" i="9"/>
  <c r="Q117" i="9"/>
  <c r="P117" i="9"/>
  <c r="O117" i="9"/>
  <c r="N117" i="9"/>
  <c r="R116" i="9"/>
  <c r="Q116" i="9"/>
  <c r="P116" i="9"/>
  <c r="O116" i="9"/>
  <c r="N116" i="9"/>
  <c r="F110" i="9"/>
  <c r="F111" i="9" s="1"/>
  <c r="F29" i="8" s="1"/>
  <c r="R108" i="9"/>
  <c r="Q108" i="9"/>
  <c r="P108" i="9"/>
  <c r="O108" i="9"/>
  <c r="N108" i="9"/>
  <c r="R107" i="9"/>
  <c r="Q107" i="9"/>
  <c r="P107" i="9"/>
  <c r="O107" i="9"/>
  <c r="N107" i="9"/>
  <c r="R106" i="9"/>
  <c r="Q106" i="9"/>
  <c r="P106" i="9"/>
  <c r="O106" i="9"/>
  <c r="N106" i="9"/>
  <c r="R105" i="9"/>
  <c r="Q105" i="9"/>
  <c r="P105" i="9"/>
  <c r="O105" i="9"/>
  <c r="N105" i="9"/>
  <c r="O101" i="9"/>
  <c r="H101" i="9"/>
  <c r="G101" i="9"/>
  <c r="F101" i="9"/>
  <c r="E101" i="9"/>
  <c r="D101" i="9"/>
  <c r="D27" i="12" s="1"/>
  <c r="B101" i="9"/>
  <c r="R98" i="9"/>
  <c r="Q98" i="9"/>
  <c r="P98" i="9"/>
  <c r="O98" i="9"/>
  <c r="N98" i="9"/>
  <c r="F97" i="9"/>
  <c r="N96" i="9"/>
  <c r="N101" i="9" s="1"/>
  <c r="M96" i="9"/>
  <c r="M101" i="9" s="1"/>
  <c r="L96" i="9"/>
  <c r="L101" i="9" s="1"/>
  <c r="K96" i="9"/>
  <c r="J96" i="9"/>
  <c r="J101" i="9" s="1"/>
  <c r="I96" i="9"/>
  <c r="I101" i="9" s="1"/>
  <c r="H96" i="9"/>
  <c r="G96" i="9"/>
  <c r="F96" i="9"/>
  <c r="E96" i="9"/>
  <c r="O96" i="9" s="1"/>
  <c r="D96" i="9"/>
  <c r="D22" i="12" s="1"/>
  <c r="C96" i="9"/>
  <c r="C101" i="9" s="1"/>
  <c r="D27" i="11" s="1"/>
  <c r="B96" i="9"/>
  <c r="D22" i="10" s="1"/>
  <c r="M95" i="9"/>
  <c r="L95" i="9"/>
  <c r="K95" i="9"/>
  <c r="K97" i="9" s="1"/>
  <c r="J95" i="9"/>
  <c r="F95" i="9"/>
  <c r="F100" i="9" s="1"/>
  <c r="C95" i="9"/>
  <c r="M93" i="9"/>
  <c r="F93" i="9"/>
  <c r="F25" i="8" s="1"/>
  <c r="C93" i="9"/>
  <c r="B93" i="9"/>
  <c r="R92" i="9"/>
  <c r="Q92" i="9"/>
  <c r="P92" i="9"/>
  <c r="O92" i="9"/>
  <c r="N92" i="9"/>
  <c r="N91" i="9"/>
  <c r="M91" i="9"/>
  <c r="L91" i="9"/>
  <c r="L93" i="9" s="1"/>
  <c r="K91" i="9"/>
  <c r="Q91" i="9" s="1"/>
  <c r="J91" i="9"/>
  <c r="J93" i="9" s="1"/>
  <c r="J25" i="8" s="1"/>
  <c r="I91" i="9"/>
  <c r="H91" i="9"/>
  <c r="G91" i="9"/>
  <c r="G93" i="9" s="1"/>
  <c r="G25" i="8" s="1"/>
  <c r="F91" i="9"/>
  <c r="E91" i="9"/>
  <c r="D91" i="9"/>
  <c r="C91" i="9"/>
  <c r="B91" i="9"/>
  <c r="D17" i="10" s="1"/>
  <c r="R90" i="9"/>
  <c r="Q90" i="9"/>
  <c r="P90" i="9"/>
  <c r="O90" i="9"/>
  <c r="N90" i="9"/>
  <c r="R89" i="9"/>
  <c r="R66" i="8" s="1"/>
  <c r="D228" i="14" s="1"/>
  <c r="Q89" i="9"/>
  <c r="Q66" i="8" s="1"/>
  <c r="P89" i="9"/>
  <c r="P66" i="8" s="1"/>
  <c r="O89" i="9"/>
  <c r="O66" i="8" s="1"/>
  <c r="N89" i="9"/>
  <c r="R88" i="9"/>
  <c r="R65" i="8" s="1"/>
  <c r="D227" i="14" s="1"/>
  <c r="Q88" i="9"/>
  <c r="P88" i="9"/>
  <c r="O88" i="9"/>
  <c r="N88" i="9"/>
  <c r="R87" i="9"/>
  <c r="Q87" i="9"/>
  <c r="P87" i="9"/>
  <c r="O87" i="9"/>
  <c r="N87" i="9"/>
  <c r="R86" i="9"/>
  <c r="Q86" i="9"/>
  <c r="Q63" i="8" s="1"/>
  <c r="Q70" i="8" s="1"/>
  <c r="P86" i="9"/>
  <c r="P63" i="8" s="1"/>
  <c r="P70" i="8" s="1"/>
  <c r="O86" i="9"/>
  <c r="N86" i="9"/>
  <c r="N63" i="8" s="1"/>
  <c r="M83" i="9"/>
  <c r="L83" i="9"/>
  <c r="K83" i="9"/>
  <c r="J83" i="9"/>
  <c r="I83" i="9"/>
  <c r="H83" i="9"/>
  <c r="P83" i="9" s="1"/>
  <c r="G83" i="9"/>
  <c r="F83" i="9"/>
  <c r="E83" i="9"/>
  <c r="O83" i="9" s="1"/>
  <c r="D83" i="9"/>
  <c r="C83" i="9"/>
  <c r="B83" i="9"/>
  <c r="D9" i="10" s="1"/>
  <c r="R82" i="9"/>
  <c r="Q82" i="9"/>
  <c r="P82" i="9"/>
  <c r="O82" i="9"/>
  <c r="N82" i="9"/>
  <c r="R81" i="9"/>
  <c r="Q81" i="9"/>
  <c r="P81" i="9"/>
  <c r="O81" i="9"/>
  <c r="N81" i="9"/>
  <c r="R80" i="9"/>
  <c r="Q80" i="9"/>
  <c r="P80" i="9"/>
  <c r="O80" i="9"/>
  <c r="N80" i="9"/>
  <c r="R72" i="9"/>
  <c r="R59" i="8" s="1"/>
  <c r="C231" i="14" s="1"/>
  <c r="Q72" i="9"/>
  <c r="Q59" i="8" s="1"/>
  <c r="P72" i="9"/>
  <c r="O72" i="9"/>
  <c r="O59" i="8" s="1"/>
  <c r="N72" i="9"/>
  <c r="R71" i="9"/>
  <c r="Q71" i="9"/>
  <c r="P71" i="9"/>
  <c r="O71" i="9"/>
  <c r="N71" i="9"/>
  <c r="R70" i="9"/>
  <c r="Q70" i="9"/>
  <c r="P70" i="9"/>
  <c r="O70" i="9"/>
  <c r="N70" i="9"/>
  <c r="R69" i="9"/>
  <c r="R58" i="8" s="1"/>
  <c r="C230" i="14" s="1"/>
  <c r="Q69" i="9"/>
  <c r="P69" i="9"/>
  <c r="P58" i="8" s="1"/>
  <c r="O69" i="9"/>
  <c r="N69" i="9"/>
  <c r="I66" i="9"/>
  <c r="J65" i="9"/>
  <c r="I65" i="9"/>
  <c r="E65" i="9"/>
  <c r="D65" i="9"/>
  <c r="C27" i="12" s="1"/>
  <c r="R62" i="9"/>
  <c r="Q62" i="9"/>
  <c r="P62" i="9"/>
  <c r="O62" i="9"/>
  <c r="N62" i="9"/>
  <c r="I61" i="9"/>
  <c r="P60" i="9"/>
  <c r="O60" i="9"/>
  <c r="M60" i="9"/>
  <c r="M65" i="9" s="1"/>
  <c r="L60" i="9"/>
  <c r="K60" i="9"/>
  <c r="K65" i="9" s="1"/>
  <c r="J60" i="9"/>
  <c r="I60" i="9"/>
  <c r="H60" i="9"/>
  <c r="H65" i="9" s="1"/>
  <c r="G60" i="9"/>
  <c r="G65" i="9" s="1"/>
  <c r="F60" i="9"/>
  <c r="F65" i="9" s="1"/>
  <c r="E60" i="9"/>
  <c r="D60" i="9"/>
  <c r="C22" i="12" s="1"/>
  <c r="C60" i="9"/>
  <c r="B60" i="9"/>
  <c r="N60" i="9" s="1"/>
  <c r="N65" i="9" s="1"/>
  <c r="K59" i="9"/>
  <c r="J59" i="9"/>
  <c r="P59" i="9" s="1"/>
  <c r="P64" i="9" s="1"/>
  <c r="I59" i="9"/>
  <c r="I64" i="9" s="1"/>
  <c r="F59" i="9"/>
  <c r="L57" i="9"/>
  <c r="L17" i="8" s="1"/>
  <c r="K57" i="9"/>
  <c r="J57" i="9"/>
  <c r="J17" i="8" s="1"/>
  <c r="I57" i="9"/>
  <c r="I17" i="8" s="1"/>
  <c r="H57" i="9"/>
  <c r="R56" i="9"/>
  <c r="Q56" i="9"/>
  <c r="P56" i="9"/>
  <c r="O56" i="9"/>
  <c r="N56" i="9"/>
  <c r="Q55" i="9"/>
  <c r="P55" i="9"/>
  <c r="O55" i="9"/>
  <c r="M55" i="9"/>
  <c r="L55" i="9"/>
  <c r="L59" i="9" s="1"/>
  <c r="K55" i="9"/>
  <c r="J55" i="9"/>
  <c r="I55" i="9"/>
  <c r="H55" i="9"/>
  <c r="H59" i="9" s="1"/>
  <c r="G55" i="9"/>
  <c r="G57" i="9" s="1"/>
  <c r="G17" i="8" s="1"/>
  <c r="F55" i="9"/>
  <c r="F57" i="9" s="1"/>
  <c r="E55" i="9"/>
  <c r="E57" i="9" s="1"/>
  <c r="D55" i="9"/>
  <c r="D57" i="9" s="1"/>
  <c r="C19" i="12" s="1"/>
  <c r="C55" i="9"/>
  <c r="B55" i="9"/>
  <c r="R54" i="9"/>
  <c r="R57" i="8" s="1"/>
  <c r="C229" i="14" s="1"/>
  <c r="Q54" i="9"/>
  <c r="P54" i="9"/>
  <c r="O54" i="9"/>
  <c r="N54" i="9"/>
  <c r="R53" i="9"/>
  <c r="Q53" i="9"/>
  <c r="P53" i="9"/>
  <c r="O53" i="9"/>
  <c r="N53" i="9"/>
  <c r="R52" i="9"/>
  <c r="R55" i="8" s="1"/>
  <c r="C227" i="14" s="1"/>
  <c r="Q52" i="9"/>
  <c r="Q55" i="8" s="1"/>
  <c r="P52" i="9"/>
  <c r="O52" i="9"/>
  <c r="O55" i="8" s="1"/>
  <c r="N52" i="9"/>
  <c r="N55" i="8" s="1"/>
  <c r="R51" i="9"/>
  <c r="Q51" i="9"/>
  <c r="Q54" i="8" s="1"/>
  <c r="P51" i="9"/>
  <c r="P54" i="8" s="1"/>
  <c r="O51" i="9"/>
  <c r="N51" i="9"/>
  <c r="R50" i="9"/>
  <c r="Q50" i="9"/>
  <c r="P50" i="9"/>
  <c r="O50" i="9"/>
  <c r="N50" i="9"/>
  <c r="P47" i="9"/>
  <c r="P16" i="8" s="1"/>
  <c r="O47" i="9"/>
  <c r="M47" i="9"/>
  <c r="M16" i="8" s="1"/>
  <c r="C245" i="14" s="1"/>
  <c r="L47" i="9"/>
  <c r="K47" i="9"/>
  <c r="J47" i="9"/>
  <c r="I47" i="9"/>
  <c r="H47" i="9"/>
  <c r="G47" i="9"/>
  <c r="F47" i="9"/>
  <c r="E47" i="9"/>
  <c r="D47" i="9"/>
  <c r="C9" i="12" s="1"/>
  <c r="C47" i="9"/>
  <c r="B47" i="9"/>
  <c r="R46" i="9"/>
  <c r="Q46" i="9"/>
  <c r="P46" i="9"/>
  <c r="P65" i="9" s="1"/>
  <c r="O46" i="9"/>
  <c r="N46" i="9"/>
  <c r="R45" i="9"/>
  <c r="Q45" i="9"/>
  <c r="P45" i="9"/>
  <c r="O45" i="9"/>
  <c r="N45" i="9"/>
  <c r="R44" i="9"/>
  <c r="Q44" i="9"/>
  <c r="P44" i="9"/>
  <c r="O44" i="9"/>
  <c r="N44" i="9"/>
  <c r="R36" i="9"/>
  <c r="Q36" i="9"/>
  <c r="P36" i="9"/>
  <c r="P49" i="8" s="1"/>
  <c r="O36" i="9"/>
  <c r="O49" i="8" s="1"/>
  <c r="N36" i="9"/>
  <c r="R35" i="9"/>
  <c r="Q35" i="9"/>
  <c r="P35" i="9"/>
  <c r="O35" i="9"/>
  <c r="N35" i="9"/>
  <c r="R34" i="9"/>
  <c r="Q34" i="9"/>
  <c r="P34" i="9"/>
  <c r="O34" i="9"/>
  <c r="N34" i="9"/>
  <c r="R33" i="9"/>
  <c r="Q33" i="9"/>
  <c r="P33" i="9"/>
  <c r="P48" i="8" s="1"/>
  <c r="O33" i="9"/>
  <c r="O48" i="8" s="1"/>
  <c r="N33" i="9"/>
  <c r="N48" i="8" s="1"/>
  <c r="M29" i="9"/>
  <c r="H29" i="9"/>
  <c r="G29" i="9"/>
  <c r="F29" i="9"/>
  <c r="C29" i="9"/>
  <c r="M28" i="9"/>
  <c r="L28" i="9"/>
  <c r="K28" i="9"/>
  <c r="R26" i="9"/>
  <c r="Q26" i="9"/>
  <c r="P26" i="9"/>
  <c r="O26" i="9"/>
  <c r="N26" i="9"/>
  <c r="M25" i="9"/>
  <c r="L25" i="9"/>
  <c r="F25" i="9"/>
  <c r="F27" i="9" s="1"/>
  <c r="O24" i="9"/>
  <c r="N24" i="9"/>
  <c r="M24" i="9"/>
  <c r="L24" i="9"/>
  <c r="L29" i="9" s="1"/>
  <c r="K24" i="9"/>
  <c r="J24" i="9"/>
  <c r="J29" i="9" s="1"/>
  <c r="I24" i="9"/>
  <c r="H24" i="9"/>
  <c r="G24" i="9"/>
  <c r="F24" i="9"/>
  <c r="E24" i="9"/>
  <c r="E29" i="9" s="1"/>
  <c r="D24" i="9"/>
  <c r="D29" i="9" s="1"/>
  <c r="B27" i="12" s="1"/>
  <c r="C24" i="9"/>
  <c r="B24" i="9"/>
  <c r="N23" i="9"/>
  <c r="N28" i="9" s="1"/>
  <c r="M23" i="9"/>
  <c r="L23" i="9"/>
  <c r="K23" i="9"/>
  <c r="G23" i="9"/>
  <c r="G28" i="9" s="1"/>
  <c r="F23" i="9"/>
  <c r="F28" i="9" s="1"/>
  <c r="D23" i="9"/>
  <c r="D28" i="9" s="1"/>
  <c r="B26" i="12" s="1"/>
  <c r="C23" i="9"/>
  <c r="B23" i="9"/>
  <c r="B25" i="9" s="1"/>
  <c r="O21" i="9"/>
  <c r="O9" i="8" s="1"/>
  <c r="G21" i="9"/>
  <c r="F21" i="9"/>
  <c r="E21" i="9"/>
  <c r="D21" i="9"/>
  <c r="C21" i="9"/>
  <c r="C9" i="8" s="1"/>
  <c r="C202" i="14" s="1"/>
  <c r="B21" i="9"/>
  <c r="B19" i="10" s="1"/>
  <c r="R20" i="9"/>
  <c r="Q20" i="9"/>
  <c r="P20" i="9"/>
  <c r="O20" i="9"/>
  <c r="N20" i="9"/>
  <c r="O19" i="9"/>
  <c r="N19" i="9"/>
  <c r="M19" i="9"/>
  <c r="M21" i="9" s="1"/>
  <c r="M9" i="8" s="1"/>
  <c r="M202" i="14" s="1"/>
  <c r="L19" i="9"/>
  <c r="L21" i="9" s="1"/>
  <c r="L9" i="8" s="1"/>
  <c r="L202" i="14" s="1"/>
  <c r="K19" i="9"/>
  <c r="J19" i="9"/>
  <c r="I19" i="9"/>
  <c r="H19" i="9"/>
  <c r="G19" i="9"/>
  <c r="F19" i="9"/>
  <c r="E19" i="9"/>
  <c r="E23" i="9" s="1"/>
  <c r="D19" i="9"/>
  <c r="R19" i="9" s="1"/>
  <c r="C19" i="9"/>
  <c r="B17" i="11" s="1"/>
  <c r="B19" i="9"/>
  <c r="R18" i="9"/>
  <c r="R47" i="8" s="1"/>
  <c r="B229" i="14" s="1"/>
  <c r="Q18" i="9"/>
  <c r="Q47" i="8" s="1"/>
  <c r="P18" i="9"/>
  <c r="O18" i="9"/>
  <c r="O47" i="8" s="1"/>
  <c r="N18" i="9"/>
  <c r="N47" i="8" s="1"/>
  <c r="R17" i="9"/>
  <c r="R46" i="8" s="1"/>
  <c r="B228" i="14" s="1"/>
  <c r="Q17" i="9"/>
  <c r="Q46" i="8" s="1"/>
  <c r="P17" i="9"/>
  <c r="O17" i="9"/>
  <c r="N17" i="9"/>
  <c r="R16" i="9"/>
  <c r="Q16" i="9"/>
  <c r="P16" i="9"/>
  <c r="O16" i="9"/>
  <c r="N16" i="9"/>
  <c r="N45" i="8" s="1"/>
  <c r="R15" i="9"/>
  <c r="Q15" i="9"/>
  <c r="Q44" i="8" s="1"/>
  <c r="P15" i="9"/>
  <c r="P44" i="8" s="1"/>
  <c r="O15" i="9"/>
  <c r="O44" i="8" s="1"/>
  <c r="O50" i="8" s="1"/>
  <c r="N15" i="9"/>
  <c r="N44" i="8" s="1"/>
  <c r="N50" i="8" s="1"/>
  <c r="R14" i="9"/>
  <c r="R43" i="8" s="1"/>
  <c r="B225" i="14" s="1"/>
  <c r="Q14" i="9"/>
  <c r="Q43" i="8" s="1"/>
  <c r="Q50" i="8" s="1"/>
  <c r="P14" i="9"/>
  <c r="O14" i="9"/>
  <c r="N14" i="9"/>
  <c r="O11" i="9"/>
  <c r="N11" i="9"/>
  <c r="M11" i="9"/>
  <c r="L11" i="9"/>
  <c r="K11" i="9"/>
  <c r="J11" i="9"/>
  <c r="I11" i="9"/>
  <c r="H11" i="9"/>
  <c r="G11" i="9"/>
  <c r="F11" i="9"/>
  <c r="E11" i="9"/>
  <c r="D11" i="9"/>
  <c r="B9" i="12" s="1"/>
  <c r="C11" i="9"/>
  <c r="B11" i="9"/>
  <c r="B9" i="10" s="1"/>
  <c r="R10" i="9"/>
  <c r="Q10" i="9"/>
  <c r="P10" i="9"/>
  <c r="O10" i="9"/>
  <c r="N10" i="9"/>
  <c r="R9" i="9"/>
  <c r="Q9" i="9"/>
  <c r="P9" i="9"/>
  <c r="O9" i="9"/>
  <c r="N9" i="9"/>
  <c r="R8" i="9"/>
  <c r="Q8" i="9"/>
  <c r="P8" i="9"/>
  <c r="O8" i="9"/>
  <c r="N8" i="9"/>
  <c r="L80" i="8"/>
  <c r="R79" i="8"/>
  <c r="E231" i="14" s="1"/>
  <c r="Q79" i="8"/>
  <c r="P79" i="8"/>
  <c r="O79" i="8"/>
  <c r="N79" i="8"/>
  <c r="M79" i="8"/>
  <c r="L79" i="8"/>
  <c r="K79" i="8"/>
  <c r="J79" i="8"/>
  <c r="I79" i="8"/>
  <c r="H79" i="8"/>
  <c r="G79" i="8"/>
  <c r="F79" i="8"/>
  <c r="E79" i="8"/>
  <c r="D79" i="8"/>
  <c r="C79" i="8"/>
  <c r="B79" i="8"/>
  <c r="R78" i="8"/>
  <c r="E230" i="14" s="1"/>
  <c r="Q78" i="8"/>
  <c r="P78" i="8"/>
  <c r="O78" i="8"/>
  <c r="M78" i="8"/>
  <c r="L78" i="8"/>
  <c r="K78" i="8"/>
  <c r="J78" i="8"/>
  <c r="I78" i="8"/>
  <c r="H78" i="8"/>
  <c r="G78" i="8"/>
  <c r="F78" i="8"/>
  <c r="E78" i="8"/>
  <c r="D78" i="8"/>
  <c r="C78" i="8"/>
  <c r="B78" i="8"/>
  <c r="O77" i="8"/>
  <c r="N77" i="8"/>
  <c r="M77" i="8"/>
  <c r="L77" i="8"/>
  <c r="K77" i="8"/>
  <c r="J77" i="8"/>
  <c r="I77" i="8"/>
  <c r="H77" i="8"/>
  <c r="G77" i="8"/>
  <c r="F77" i="8"/>
  <c r="E77" i="8"/>
  <c r="D77" i="8"/>
  <c r="C77" i="8"/>
  <c r="B77" i="8"/>
  <c r="R76" i="8"/>
  <c r="E228" i="14" s="1"/>
  <c r="Q76" i="8"/>
  <c r="P76" i="8"/>
  <c r="O76" i="8"/>
  <c r="N76" i="8"/>
  <c r="M76" i="8"/>
  <c r="L76" i="8"/>
  <c r="K76" i="8"/>
  <c r="J76" i="8"/>
  <c r="I76" i="8"/>
  <c r="H76" i="8"/>
  <c r="G76" i="8"/>
  <c r="F76" i="8"/>
  <c r="E76" i="8"/>
  <c r="D76" i="8"/>
  <c r="C76" i="8"/>
  <c r="B76" i="8"/>
  <c r="R75" i="8"/>
  <c r="Q75" i="8"/>
  <c r="P75" i="8"/>
  <c r="M75" i="8"/>
  <c r="M80" i="8" s="1"/>
  <c r="L75" i="8"/>
  <c r="K75" i="8"/>
  <c r="J75" i="8"/>
  <c r="I75" i="8"/>
  <c r="H75" i="8"/>
  <c r="G75" i="8"/>
  <c r="F75" i="8"/>
  <c r="E75" i="8"/>
  <c r="D75" i="8"/>
  <c r="C75" i="8"/>
  <c r="B75" i="8"/>
  <c r="R74" i="8"/>
  <c r="Q74" i="8"/>
  <c r="P74" i="8"/>
  <c r="P80" i="8" s="1"/>
  <c r="O74" i="8"/>
  <c r="N74" i="8"/>
  <c r="M74" i="8"/>
  <c r="L74" i="8"/>
  <c r="K74" i="8"/>
  <c r="J74" i="8"/>
  <c r="I74" i="8"/>
  <c r="H74" i="8"/>
  <c r="G74" i="8"/>
  <c r="F74" i="8"/>
  <c r="E74" i="8"/>
  <c r="D74" i="8"/>
  <c r="C74" i="8"/>
  <c r="B74" i="8"/>
  <c r="B80" i="8" s="1"/>
  <c r="R73" i="8"/>
  <c r="E225" i="14" s="1"/>
  <c r="Q73" i="8"/>
  <c r="P73" i="8"/>
  <c r="O73" i="8"/>
  <c r="N73" i="8"/>
  <c r="M73" i="8"/>
  <c r="L73" i="8"/>
  <c r="K73" i="8"/>
  <c r="K80" i="8" s="1"/>
  <c r="J73" i="8"/>
  <c r="I73" i="8"/>
  <c r="I80" i="8" s="1"/>
  <c r="H73" i="8"/>
  <c r="H80" i="8" s="1"/>
  <c r="G73" i="8"/>
  <c r="F73" i="8"/>
  <c r="E73" i="8"/>
  <c r="D73" i="8"/>
  <c r="C73" i="8"/>
  <c r="B73" i="8"/>
  <c r="K70" i="8"/>
  <c r="I70" i="8"/>
  <c r="H70" i="8"/>
  <c r="R69" i="8"/>
  <c r="D231" i="14" s="1"/>
  <c r="Q69" i="8"/>
  <c r="P69" i="8"/>
  <c r="O69" i="8"/>
  <c r="N69" i="8"/>
  <c r="M69" i="8"/>
  <c r="L69" i="8"/>
  <c r="K69" i="8"/>
  <c r="J69" i="8"/>
  <c r="I69" i="8"/>
  <c r="H69" i="8"/>
  <c r="G69" i="8"/>
  <c r="F69" i="8"/>
  <c r="E69" i="8"/>
  <c r="D69" i="8"/>
  <c r="C69" i="8"/>
  <c r="B69" i="8"/>
  <c r="R68" i="8"/>
  <c r="D230" i="14" s="1"/>
  <c r="Q68" i="8"/>
  <c r="P68" i="8"/>
  <c r="O68" i="8"/>
  <c r="N68" i="8"/>
  <c r="M68" i="8"/>
  <c r="L68" i="8"/>
  <c r="K68" i="8"/>
  <c r="J68" i="8"/>
  <c r="I68" i="8"/>
  <c r="H68" i="8"/>
  <c r="G68" i="8"/>
  <c r="F68" i="8"/>
  <c r="E68" i="8"/>
  <c r="D68" i="8"/>
  <c r="C68" i="8"/>
  <c r="B68" i="8"/>
  <c r="R67" i="8"/>
  <c r="D229" i="14" s="1"/>
  <c r="Q67" i="8"/>
  <c r="P67" i="8"/>
  <c r="O67" i="8"/>
  <c r="N67" i="8"/>
  <c r="M67" i="8"/>
  <c r="L67" i="8"/>
  <c r="K67" i="8"/>
  <c r="J67" i="8"/>
  <c r="I67" i="8"/>
  <c r="H67" i="8"/>
  <c r="G67" i="8"/>
  <c r="F67" i="8"/>
  <c r="E67" i="8"/>
  <c r="D67" i="8"/>
  <c r="C67" i="8"/>
  <c r="B67" i="8"/>
  <c r="N66" i="8"/>
  <c r="M66" i="8"/>
  <c r="L66" i="8"/>
  <c r="K66" i="8"/>
  <c r="J66" i="8"/>
  <c r="J70" i="8" s="1"/>
  <c r="I66" i="8"/>
  <c r="H66" i="8"/>
  <c r="G66" i="8"/>
  <c r="F66" i="8"/>
  <c r="E66" i="8"/>
  <c r="D66" i="8"/>
  <c r="C66" i="8"/>
  <c r="B66" i="8"/>
  <c r="Q65" i="8"/>
  <c r="P65" i="8"/>
  <c r="O65" i="8"/>
  <c r="N65" i="8"/>
  <c r="M65" i="8"/>
  <c r="L65" i="8"/>
  <c r="L70" i="8" s="1"/>
  <c r="K65" i="8"/>
  <c r="J65" i="8"/>
  <c r="I65" i="8"/>
  <c r="H65" i="8"/>
  <c r="G65" i="8"/>
  <c r="F65" i="8"/>
  <c r="E65" i="8"/>
  <c r="D65" i="8"/>
  <c r="C65" i="8"/>
  <c r="B65" i="8"/>
  <c r="R64" i="8"/>
  <c r="D226" i="14" s="1"/>
  <c r="Q64" i="8"/>
  <c r="P64" i="8"/>
  <c r="O64" i="8"/>
  <c r="N64" i="8"/>
  <c r="M64" i="8"/>
  <c r="L64" i="8"/>
  <c r="K64" i="8"/>
  <c r="J64" i="8"/>
  <c r="I64" i="8"/>
  <c r="H64" i="8"/>
  <c r="G64" i="8"/>
  <c r="F64" i="8"/>
  <c r="E64" i="8"/>
  <c r="D64" i="8"/>
  <c r="C64" i="8"/>
  <c r="B64" i="8"/>
  <c r="R63" i="8"/>
  <c r="O63" i="8"/>
  <c r="M63" i="8"/>
  <c r="L63" i="8"/>
  <c r="K63" i="8"/>
  <c r="J63" i="8"/>
  <c r="I63" i="8"/>
  <c r="H63" i="8"/>
  <c r="G63" i="8"/>
  <c r="G70" i="8" s="1"/>
  <c r="F63" i="8"/>
  <c r="F70" i="8" s="1"/>
  <c r="E63" i="8"/>
  <c r="E70" i="8" s="1"/>
  <c r="D63" i="8"/>
  <c r="D70" i="8" s="1"/>
  <c r="C63" i="8"/>
  <c r="C70" i="8" s="1"/>
  <c r="B63" i="8"/>
  <c r="H60" i="8"/>
  <c r="P59" i="8"/>
  <c r="N59" i="8"/>
  <c r="M59" i="8"/>
  <c r="L59" i="8"/>
  <c r="K59" i="8"/>
  <c r="J59" i="8"/>
  <c r="I59" i="8"/>
  <c r="H59" i="8"/>
  <c r="G59" i="8"/>
  <c r="F59" i="8"/>
  <c r="E59" i="8"/>
  <c r="D59" i="8"/>
  <c r="C59" i="8"/>
  <c r="B59" i="8"/>
  <c r="Q58" i="8"/>
  <c r="O58" i="8"/>
  <c r="N58" i="8"/>
  <c r="M58" i="8"/>
  <c r="L58" i="8"/>
  <c r="K58" i="8"/>
  <c r="J58" i="8"/>
  <c r="I58" i="8"/>
  <c r="H58" i="8"/>
  <c r="G58" i="8"/>
  <c r="F58" i="8"/>
  <c r="E58" i="8"/>
  <c r="D58" i="8"/>
  <c r="C58" i="8"/>
  <c r="B58" i="8"/>
  <c r="Q57" i="8"/>
  <c r="P57" i="8"/>
  <c r="O57" i="8"/>
  <c r="N57" i="8"/>
  <c r="M57" i="8"/>
  <c r="L57" i="8"/>
  <c r="K57" i="8"/>
  <c r="J57" i="8"/>
  <c r="I57" i="8"/>
  <c r="H57" i="8"/>
  <c r="G57" i="8"/>
  <c r="F57" i="8"/>
  <c r="E57" i="8"/>
  <c r="D57" i="8"/>
  <c r="C57" i="8"/>
  <c r="B57" i="8"/>
  <c r="R56" i="8"/>
  <c r="C228" i="14" s="1"/>
  <c r="Q56" i="8"/>
  <c r="P56" i="8"/>
  <c r="O56" i="8"/>
  <c r="N56" i="8"/>
  <c r="M56" i="8"/>
  <c r="L56" i="8"/>
  <c r="K56" i="8"/>
  <c r="J56" i="8"/>
  <c r="I56" i="8"/>
  <c r="H56" i="8"/>
  <c r="G56" i="8"/>
  <c r="F56" i="8"/>
  <c r="E56" i="8"/>
  <c r="D56" i="8"/>
  <c r="D60" i="8" s="1"/>
  <c r="C56" i="8"/>
  <c r="B56" i="8"/>
  <c r="P55" i="8"/>
  <c r="M55" i="8"/>
  <c r="L55" i="8"/>
  <c r="K55" i="8"/>
  <c r="J55" i="8"/>
  <c r="I55" i="8"/>
  <c r="H55" i="8"/>
  <c r="G55" i="8"/>
  <c r="G60" i="8" s="1"/>
  <c r="F55" i="8"/>
  <c r="F60" i="8" s="1"/>
  <c r="E55" i="8"/>
  <c r="E60" i="8" s="1"/>
  <c r="D55" i="8"/>
  <c r="C55" i="8"/>
  <c r="B55" i="8"/>
  <c r="R54" i="8"/>
  <c r="C226" i="14" s="1"/>
  <c r="O54" i="8"/>
  <c r="N54" i="8"/>
  <c r="M54" i="8"/>
  <c r="L54" i="8"/>
  <c r="K54" i="8"/>
  <c r="J54" i="8"/>
  <c r="I54" i="8"/>
  <c r="H54" i="8"/>
  <c r="G54" i="8"/>
  <c r="F54" i="8"/>
  <c r="E54" i="8"/>
  <c r="D54" i="8"/>
  <c r="C54" i="8"/>
  <c r="B54" i="8"/>
  <c r="R53" i="8"/>
  <c r="C225" i="14" s="1"/>
  <c r="Q53" i="8"/>
  <c r="P53" i="8"/>
  <c r="O53" i="8"/>
  <c r="N53" i="8"/>
  <c r="M53" i="8"/>
  <c r="L53" i="8"/>
  <c r="K53" i="8"/>
  <c r="J53" i="8"/>
  <c r="I53" i="8"/>
  <c r="H53" i="8"/>
  <c r="G53" i="8"/>
  <c r="F53" i="8"/>
  <c r="E53" i="8"/>
  <c r="D53" i="8"/>
  <c r="C53" i="8"/>
  <c r="B53" i="8"/>
  <c r="R49" i="8"/>
  <c r="B231" i="14" s="1"/>
  <c r="Q49" i="8"/>
  <c r="N49" i="8"/>
  <c r="M49" i="8"/>
  <c r="L49" i="8"/>
  <c r="K49" i="8"/>
  <c r="J49" i="8"/>
  <c r="I49" i="8"/>
  <c r="H49" i="8"/>
  <c r="H215" i="14" s="1"/>
  <c r="G49" i="8"/>
  <c r="G215" i="14" s="1"/>
  <c r="F49" i="8"/>
  <c r="F215" i="14" s="1"/>
  <c r="E49" i="8"/>
  <c r="E215" i="14" s="1"/>
  <c r="D49" i="8"/>
  <c r="D215" i="14" s="1"/>
  <c r="C49" i="8"/>
  <c r="C215" i="14" s="1"/>
  <c r="B49" i="8"/>
  <c r="B215" i="14" s="1"/>
  <c r="N215" i="14" s="1"/>
  <c r="R48" i="8"/>
  <c r="B230" i="14" s="1"/>
  <c r="Q48" i="8"/>
  <c r="M48" i="8"/>
  <c r="M214" i="14" s="1"/>
  <c r="L48" i="8"/>
  <c r="L214" i="14" s="1"/>
  <c r="K48" i="8"/>
  <c r="K214" i="14" s="1"/>
  <c r="J48" i="8"/>
  <c r="J214" i="14" s="1"/>
  <c r="I48" i="8"/>
  <c r="I214" i="14" s="1"/>
  <c r="H48" i="8"/>
  <c r="H214" i="14" s="1"/>
  <c r="G48" i="8"/>
  <c r="G214" i="14" s="1"/>
  <c r="F48" i="8"/>
  <c r="F214" i="14" s="1"/>
  <c r="E48" i="8"/>
  <c r="E214" i="14" s="1"/>
  <c r="D48" i="8"/>
  <c r="D214" i="14" s="1"/>
  <c r="C48" i="8"/>
  <c r="C214" i="14" s="1"/>
  <c r="B48" i="8"/>
  <c r="B214" i="14" s="1"/>
  <c r="P47" i="8"/>
  <c r="M47" i="8"/>
  <c r="M213" i="14" s="1"/>
  <c r="L47" i="8"/>
  <c r="L213" i="14" s="1"/>
  <c r="K47" i="8"/>
  <c r="K213" i="14" s="1"/>
  <c r="J47" i="8"/>
  <c r="I47" i="8"/>
  <c r="H47" i="8"/>
  <c r="G47" i="8"/>
  <c r="F47" i="8"/>
  <c r="F213" i="14" s="1"/>
  <c r="E47" i="8"/>
  <c r="E213" i="14" s="1"/>
  <c r="D47" i="8"/>
  <c r="D213" i="14" s="1"/>
  <c r="C47" i="8"/>
  <c r="C213" i="14" s="1"/>
  <c r="B47" i="8"/>
  <c r="B213" i="14" s="1"/>
  <c r="P46" i="8"/>
  <c r="O46" i="8"/>
  <c r="N46" i="8"/>
  <c r="M46" i="8"/>
  <c r="M212" i="14" s="1"/>
  <c r="L46" i="8"/>
  <c r="L212" i="14" s="1"/>
  <c r="K46" i="8"/>
  <c r="K212" i="14" s="1"/>
  <c r="J46" i="8"/>
  <c r="J212" i="14" s="1"/>
  <c r="I46" i="8"/>
  <c r="I212" i="14" s="1"/>
  <c r="H46" i="8"/>
  <c r="H212" i="14" s="1"/>
  <c r="G46" i="8"/>
  <c r="G212" i="14" s="1"/>
  <c r="F46" i="8"/>
  <c r="F212" i="14" s="1"/>
  <c r="E46" i="8"/>
  <c r="E212" i="14" s="1"/>
  <c r="D46" i="8"/>
  <c r="D212" i="14" s="1"/>
  <c r="C46" i="8"/>
  <c r="C212" i="14" s="1"/>
  <c r="B46" i="8"/>
  <c r="B212" i="14" s="1"/>
  <c r="R45" i="8"/>
  <c r="B227" i="14" s="1"/>
  <c r="Q45" i="8"/>
  <c r="P45" i="8"/>
  <c r="P50" i="8" s="1"/>
  <c r="O45" i="8"/>
  <c r="M45" i="8"/>
  <c r="M211" i="14" s="1"/>
  <c r="L45" i="8"/>
  <c r="L211" i="14" s="1"/>
  <c r="K45" i="8"/>
  <c r="K211" i="14" s="1"/>
  <c r="J45" i="8"/>
  <c r="J211" i="14" s="1"/>
  <c r="I45" i="8"/>
  <c r="H45" i="8"/>
  <c r="G45" i="8"/>
  <c r="F45" i="8"/>
  <c r="E45" i="8"/>
  <c r="E211" i="14" s="1"/>
  <c r="D45" i="8"/>
  <c r="D211" i="14" s="1"/>
  <c r="C45" i="8"/>
  <c r="C211" i="14" s="1"/>
  <c r="B45" i="8"/>
  <c r="B211" i="14" s="1"/>
  <c r="R44" i="8"/>
  <c r="B226" i="14" s="1"/>
  <c r="M44" i="8"/>
  <c r="M210" i="14" s="1"/>
  <c r="L44" i="8"/>
  <c r="L210" i="14" s="1"/>
  <c r="K44" i="8"/>
  <c r="K210" i="14" s="1"/>
  <c r="J44" i="8"/>
  <c r="J210" i="14" s="1"/>
  <c r="I44" i="8"/>
  <c r="I210" i="14" s="1"/>
  <c r="H44" i="8"/>
  <c r="H210" i="14" s="1"/>
  <c r="G44" i="8"/>
  <c r="G210" i="14" s="1"/>
  <c r="F44" i="8"/>
  <c r="E44" i="8"/>
  <c r="D44" i="8"/>
  <c r="D210" i="14" s="1"/>
  <c r="C44" i="8"/>
  <c r="C210" i="14" s="1"/>
  <c r="B44" i="8"/>
  <c r="B210" i="14" s="1"/>
  <c r="P43" i="8"/>
  <c r="O43" i="8"/>
  <c r="N43" i="8"/>
  <c r="M43" i="8"/>
  <c r="M209" i="14" s="1"/>
  <c r="L43" i="8"/>
  <c r="L209" i="14" s="1"/>
  <c r="K43" i="8"/>
  <c r="J43" i="8"/>
  <c r="I43" i="8"/>
  <c r="H43" i="8"/>
  <c r="G43" i="8"/>
  <c r="F43" i="8"/>
  <c r="E43" i="8"/>
  <c r="D43" i="8"/>
  <c r="C43" i="8"/>
  <c r="B43" i="8"/>
  <c r="B209" i="14" s="1"/>
  <c r="L34" i="8"/>
  <c r="G34" i="8"/>
  <c r="F34" i="8"/>
  <c r="L33" i="8"/>
  <c r="I33" i="8"/>
  <c r="H33" i="8"/>
  <c r="E33" i="8"/>
  <c r="D33" i="8"/>
  <c r="P32" i="8"/>
  <c r="L32" i="8"/>
  <c r="E244" i="14" s="1"/>
  <c r="K32" i="8"/>
  <c r="E243" i="14" s="1"/>
  <c r="J32" i="8"/>
  <c r="E242" i="14" s="1"/>
  <c r="I32" i="8"/>
  <c r="E241" i="14" s="1"/>
  <c r="H32" i="8"/>
  <c r="E240" i="14" s="1"/>
  <c r="G32" i="8"/>
  <c r="E239" i="14" s="1"/>
  <c r="F32" i="8"/>
  <c r="E238" i="14" s="1"/>
  <c r="E32" i="8"/>
  <c r="E237" i="14" s="1"/>
  <c r="D32" i="8"/>
  <c r="C32" i="8"/>
  <c r="E235" i="14" s="1"/>
  <c r="B32" i="8"/>
  <c r="E234" i="14" s="1"/>
  <c r="F28" i="8"/>
  <c r="F26" i="8"/>
  <c r="M25" i="8"/>
  <c r="L25" i="8"/>
  <c r="B25" i="8"/>
  <c r="P24" i="8"/>
  <c r="O24" i="8"/>
  <c r="M24" i="8"/>
  <c r="D245" i="14" s="1"/>
  <c r="L24" i="8"/>
  <c r="K24" i="8"/>
  <c r="D243" i="14" s="1"/>
  <c r="J24" i="8"/>
  <c r="D242" i="14" s="1"/>
  <c r="I24" i="8"/>
  <c r="D241" i="14" s="1"/>
  <c r="H24" i="8"/>
  <c r="D240" i="14" s="1"/>
  <c r="G24" i="8"/>
  <c r="D239" i="14" s="1"/>
  <c r="F24" i="8"/>
  <c r="D238" i="14" s="1"/>
  <c r="E24" i="8"/>
  <c r="D237" i="14" s="1"/>
  <c r="D24" i="8"/>
  <c r="C24" i="8"/>
  <c r="D235" i="14" s="1"/>
  <c r="B24" i="8"/>
  <c r="D234" i="14" s="1"/>
  <c r="I19" i="8"/>
  <c r="C255" i="14" s="1"/>
  <c r="I18" i="8"/>
  <c r="F17" i="8"/>
  <c r="E17" i="8"/>
  <c r="O16" i="8"/>
  <c r="K16" i="8"/>
  <c r="C243" i="14" s="1"/>
  <c r="J16" i="8"/>
  <c r="C242" i="14" s="1"/>
  <c r="I16" i="8"/>
  <c r="C241" i="14" s="1"/>
  <c r="H16" i="8"/>
  <c r="C240" i="14" s="1"/>
  <c r="G16" i="8"/>
  <c r="C239" i="14" s="1"/>
  <c r="F16" i="8"/>
  <c r="C238" i="14" s="1"/>
  <c r="E16" i="8"/>
  <c r="D16" i="8"/>
  <c r="C236" i="14" s="1"/>
  <c r="C16" i="8"/>
  <c r="C235" i="14" s="1"/>
  <c r="B16" i="8"/>
  <c r="C234" i="14" s="1"/>
  <c r="F10" i="8"/>
  <c r="F203" i="14" s="1"/>
  <c r="B10" i="8"/>
  <c r="G9" i="8"/>
  <c r="G202" i="14" s="1"/>
  <c r="F9" i="8"/>
  <c r="F202" i="14" s="1"/>
  <c r="E9" i="8"/>
  <c r="E202" i="14" s="1"/>
  <c r="O8" i="8"/>
  <c r="N8" i="8"/>
  <c r="M8" i="8"/>
  <c r="L8" i="8"/>
  <c r="L201" i="14" s="1"/>
  <c r="K8" i="8"/>
  <c r="J8" i="8"/>
  <c r="I8" i="8"/>
  <c r="G8" i="8"/>
  <c r="B239" i="14" s="1"/>
  <c r="F8" i="8"/>
  <c r="B238" i="14" s="1"/>
  <c r="E8" i="8"/>
  <c r="E201" i="14" s="1"/>
  <c r="D8" i="8"/>
  <c r="D201" i="14" s="1"/>
  <c r="C8" i="8"/>
  <c r="B235" i="14" s="1"/>
  <c r="B8" i="8"/>
  <c r="B234" i="14" s="1"/>
  <c r="R12" i="7"/>
  <c r="Q12" i="7"/>
  <c r="P12" i="7"/>
  <c r="O12" i="7"/>
  <c r="N12" i="7"/>
  <c r="M12" i="7"/>
  <c r="L12" i="7"/>
  <c r="K12" i="7"/>
  <c r="J12" i="7"/>
  <c r="I12" i="7"/>
  <c r="H12" i="7"/>
  <c r="G12" i="7"/>
  <c r="F12" i="7"/>
  <c r="E12" i="7"/>
  <c r="D12" i="7"/>
  <c r="C12" i="7"/>
  <c r="B12" i="7"/>
  <c r="F11" i="6"/>
  <c r="D11" i="6"/>
  <c r="D8" i="6"/>
  <c r="B8" i="6"/>
  <c r="E42" i="5"/>
  <c r="D42" i="5"/>
  <c r="C42" i="5"/>
  <c r="F42" i="5" s="1"/>
  <c r="B42" i="5"/>
  <c r="E41" i="5"/>
  <c r="D41" i="5"/>
  <c r="C41" i="5"/>
  <c r="B41" i="5"/>
  <c r="F41" i="5" s="1"/>
  <c r="E40" i="5"/>
  <c r="D40" i="5"/>
  <c r="C40" i="5"/>
  <c r="F40" i="5" s="1"/>
  <c r="B40" i="5"/>
  <c r="E39" i="5"/>
  <c r="D39" i="5"/>
  <c r="F39" i="5" s="1"/>
  <c r="C39" i="5"/>
  <c r="B39" i="5"/>
  <c r="E38" i="5"/>
  <c r="D38" i="5"/>
  <c r="C38" i="5"/>
  <c r="B38" i="5"/>
  <c r="E37" i="5"/>
  <c r="D37" i="5"/>
  <c r="F37" i="5" s="1"/>
  <c r="C37" i="5"/>
  <c r="B37" i="5"/>
  <c r="E36" i="5"/>
  <c r="F36" i="5" s="1"/>
  <c r="D36" i="5"/>
  <c r="C36" i="5"/>
  <c r="B36" i="5"/>
  <c r="E35" i="5"/>
  <c r="D35" i="5"/>
  <c r="C35" i="5"/>
  <c r="B35" i="5"/>
  <c r="E34" i="5"/>
  <c r="F34" i="5" s="1"/>
  <c r="D34" i="5"/>
  <c r="C34" i="5"/>
  <c r="B34" i="5"/>
  <c r="F33" i="5"/>
  <c r="E33" i="5"/>
  <c r="D33" i="5"/>
  <c r="C33" i="5"/>
  <c r="B33" i="5"/>
  <c r="E32" i="5"/>
  <c r="D32" i="5"/>
  <c r="C32" i="5"/>
  <c r="B32" i="5"/>
  <c r="E31" i="5"/>
  <c r="D31" i="5"/>
  <c r="C31" i="5"/>
  <c r="B31" i="5"/>
  <c r="F31" i="5" s="1"/>
  <c r="E15" i="13" s="1"/>
  <c r="E21" i="13" s="1"/>
  <c r="B10" i="5"/>
  <c r="K102" i="9" l="1"/>
  <c r="K27" i="8" s="1"/>
  <c r="D257" i="14" s="1"/>
  <c r="K110" i="9"/>
  <c r="K99" i="9"/>
  <c r="K26" i="8"/>
  <c r="B237" i="14"/>
  <c r="B242" i="14"/>
  <c r="J201" i="14"/>
  <c r="K201" i="14"/>
  <c r="B243" i="14"/>
  <c r="N213" i="14"/>
  <c r="B50" i="8"/>
  <c r="H23" i="9"/>
  <c r="H21" i="9"/>
  <c r="P19" i="9"/>
  <c r="O57" i="9"/>
  <c r="O17" i="8" s="1"/>
  <c r="N70" i="8"/>
  <c r="E95" i="9"/>
  <c r="O91" i="9"/>
  <c r="E93" i="9"/>
  <c r="R91" i="9"/>
  <c r="Q132" i="9"/>
  <c r="Q137" i="9" s="1"/>
  <c r="K137" i="9"/>
  <c r="E22" i="11"/>
  <c r="E27" i="11" s="1"/>
  <c r="D225" i="14"/>
  <c r="R70" i="8"/>
  <c r="L16" i="8"/>
  <c r="C244" i="14" s="1"/>
  <c r="Q47" i="9"/>
  <c r="Q16" i="8" s="1"/>
  <c r="L36" i="8"/>
  <c r="L147" i="9"/>
  <c r="L37" i="8" s="1"/>
  <c r="E25" i="9"/>
  <c r="E28" i="9"/>
  <c r="K61" i="9"/>
  <c r="Q59" i="9"/>
  <c r="Q64" i="9" s="1"/>
  <c r="K64" i="9"/>
  <c r="N212" i="14"/>
  <c r="I29" i="9"/>
  <c r="P24" i="9"/>
  <c r="P29" i="9" s="1"/>
  <c r="P137" i="9"/>
  <c r="D17" i="8"/>
  <c r="E210" i="14"/>
  <c r="E50" i="8"/>
  <c r="C50" i="8"/>
  <c r="I23" i="9"/>
  <c r="I21" i="9"/>
  <c r="I9" i="8" s="1"/>
  <c r="I202" i="14" s="1"/>
  <c r="B19" i="12"/>
  <c r="D9" i="8"/>
  <c r="D202" i="14" s="1"/>
  <c r="Q23" i="9"/>
  <c r="Q28" i="9" s="1"/>
  <c r="Q24" i="9"/>
  <c r="Q29" i="9" s="1"/>
  <c r="D19" i="10"/>
  <c r="N93" i="9"/>
  <c r="N25" i="8" s="1"/>
  <c r="D19" i="11"/>
  <c r="C25" i="8"/>
  <c r="F210" i="14"/>
  <c r="N210" i="14" s="1"/>
  <c r="F50" i="8"/>
  <c r="K60" i="8"/>
  <c r="H8" i="8"/>
  <c r="P11" i="9"/>
  <c r="P8" i="8" s="1"/>
  <c r="K21" i="9"/>
  <c r="Q19" i="9"/>
  <c r="H61" i="9"/>
  <c r="H64" i="9"/>
  <c r="P57" i="9"/>
  <c r="P17" i="8" s="1"/>
  <c r="H17" i="8"/>
  <c r="H93" i="9"/>
  <c r="R93" i="9" s="1"/>
  <c r="R25" i="8" s="1"/>
  <c r="P91" i="9"/>
  <c r="B244" i="14"/>
  <c r="M201" i="14"/>
  <c r="B245" i="14"/>
  <c r="L60" i="8"/>
  <c r="I60" i="8"/>
  <c r="E80" i="8"/>
  <c r="K29" i="9"/>
  <c r="D9" i="12"/>
  <c r="R83" i="9"/>
  <c r="R24" i="8" s="1"/>
  <c r="N83" i="9"/>
  <c r="N24" i="8" s="1"/>
  <c r="I95" i="9"/>
  <c r="I93" i="9"/>
  <c r="I25" i="8" s="1"/>
  <c r="I209" i="14"/>
  <c r="I50" i="8"/>
  <c r="J60" i="8"/>
  <c r="F80" i="8"/>
  <c r="C80" i="8"/>
  <c r="Q80" i="8"/>
  <c r="N21" i="9"/>
  <c r="N9" i="8" s="1"/>
  <c r="O23" i="9"/>
  <c r="O28" i="9" s="1"/>
  <c r="P96" i="9"/>
  <c r="P101" i="9" s="1"/>
  <c r="E49" i="13"/>
  <c r="L30" i="9"/>
  <c r="L11" i="8" s="1"/>
  <c r="L10" i="8"/>
  <c r="L203" i="14" s="1"/>
  <c r="L65" i="9"/>
  <c r="Q60" i="9"/>
  <c r="Q65" i="9" s="1"/>
  <c r="E9" i="10"/>
  <c r="M30" i="9"/>
  <c r="M11" i="8" s="1"/>
  <c r="M27" i="9"/>
  <c r="O65" i="9"/>
  <c r="G50" i="8"/>
  <c r="G209" i="14"/>
  <c r="D50" i="8"/>
  <c r="J23" i="9"/>
  <c r="J21" i="9"/>
  <c r="J9" i="8" s="1"/>
  <c r="J202" i="14" s="1"/>
  <c r="H209" i="14"/>
  <c r="H50" i="8"/>
  <c r="B9" i="8"/>
  <c r="B202" i="14" s="1"/>
  <c r="M10" i="8"/>
  <c r="M203" i="14" s="1"/>
  <c r="J50" i="8"/>
  <c r="J209" i="14"/>
  <c r="M60" i="8"/>
  <c r="F38" i="5"/>
  <c r="K209" i="14"/>
  <c r="K50" i="8"/>
  <c r="N60" i="8"/>
  <c r="G80" i="8"/>
  <c r="D80" i="8"/>
  <c r="E226" i="14"/>
  <c r="R80" i="8"/>
  <c r="Q11" i="9"/>
  <c r="Q8" i="8" s="1"/>
  <c r="L38" i="9"/>
  <c r="Q57" i="9"/>
  <c r="Q17" i="8" s="1"/>
  <c r="K17" i="8"/>
  <c r="P129" i="9"/>
  <c r="P33" i="8" s="1"/>
  <c r="J64" i="9"/>
  <c r="J61" i="9"/>
  <c r="K100" i="9"/>
  <c r="Q95" i="9"/>
  <c r="Q100" i="9" s="1"/>
  <c r="N211" i="14"/>
  <c r="N55" i="9"/>
  <c r="B57" i="9"/>
  <c r="C17" i="10"/>
  <c r="E17" i="10" s="1"/>
  <c r="B59" i="9"/>
  <c r="R55" i="9"/>
  <c r="L97" i="9"/>
  <c r="Q97" i="9" s="1"/>
  <c r="L100" i="9"/>
  <c r="R127" i="9"/>
  <c r="B129" i="9"/>
  <c r="B131" i="9"/>
  <c r="B241" i="14"/>
  <c r="I201" i="14"/>
  <c r="G95" i="9"/>
  <c r="M133" i="9"/>
  <c r="F32" i="5"/>
  <c r="F35" i="5"/>
  <c r="R50" i="8"/>
  <c r="O60" i="8"/>
  <c r="O70" i="8"/>
  <c r="L27" i="9"/>
  <c r="M38" i="9"/>
  <c r="L64" i="9"/>
  <c r="L61" i="9"/>
  <c r="B60" i="8"/>
  <c r="P60" i="8"/>
  <c r="R60" i="8"/>
  <c r="M70" i="8"/>
  <c r="M59" i="9"/>
  <c r="M57" i="9"/>
  <c r="M17" i="8" s="1"/>
  <c r="H95" i="9"/>
  <c r="Q96" i="9"/>
  <c r="Q101" i="9" s="1"/>
  <c r="K101" i="9"/>
  <c r="Q119" i="9"/>
  <c r="Q32" i="8" s="1"/>
  <c r="M129" i="9"/>
  <c r="M33" i="8" s="1"/>
  <c r="Q127" i="9"/>
  <c r="E34" i="12"/>
  <c r="C60" i="8"/>
  <c r="Q60" i="8"/>
  <c r="B70" i="8"/>
  <c r="J80" i="8"/>
  <c r="K25" i="9"/>
  <c r="J97" i="9"/>
  <c r="J100" i="9"/>
  <c r="N127" i="9"/>
  <c r="E24" i="10"/>
  <c r="B30" i="9"/>
  <c r="B23" i="10"/>
  <c r="B38" i="9"/>
  <c r="N25" i="9"/>
  <c r="N47" i="9"/>
  <c r="N16" i="8" s="1"/>
  <c r="C9" i="10"/>
  <c r="C59" i="9"/>
  <c r="C57" i="9"/>
  <c r="B65" i="9"/>
  <c r="C27" i="10" s="1"/>
  <c r="M97" i="9"/>
  <c r="M100" i="9"/>
  <c r="R119" i="9"/>
  <c r="R32" i="8" s="1"/>
  <c r="E77" i="13"/>
  <c r="B21" i="11"/>
  <c r="C28" i="9"/>
  <c r="B26" i="11" s="1"/>
  <c r="N29" i="9"/>
  <c r="R47" i="9"/>
  <c r="R16" i="8" s="1"/>
  <c r="K93" i="9"/>
  <c r="B137" i="9"/>
  <c r="R132" i="9"/>
  <c r="R137" i="9" s="1"/>
  <c r="O29" i="9"/>
  <c r="C22" i="11"/>
  <c r="C65" i="9"/>
  <c r="C27" i="11" s="1"/>
  <c r="R60" i="9"/>
  <c r="R65" i="9" s="1"/>
  <c r="R96" i="9"/>
  <c r="R101" i="9" s="1"/>
  <c r="F136" i="9"/>
  <c r="B29" i="9"/>
  <c r="B27" i="10" s="1"/>
  <c r="R24" i="9"/>
  <c r="R29" i="9" s="1"/>
  <c r="B22" i="10"/>
  <c r="E22" i="10" s="1"/>
  <c r="E27" i="10" s="1"/>
  <c r="C131" i="9"/>
  <c r="N209" i="14"/>
  <c r="C25" i="9"/>
  <c r="F30" i="9"/>
  <c r="F11" i="8" s="1"/>
  <c r="D59" i="9"/>
  <c r="Q83" i="9"/>
  <c r="Q24" i="8" s="1"/>
  <c r="D133" i="9"/>
  <c r="D136" i="9"/>
  <c r="G146" i="9"/>
  <c r="G135" i="9"/>
  <c r="E15" i="10"/>
  <c r="E7" i="11"/>
  <c r="C17" i="11"/>
  <c r="E17" i="11" s="1"/>
  <c r="N214" i="14"/>
  <c r="E9" i="12"/>
  <c r="R11" i="9"/>
  <c r="R8" i="8" s="1"/>
  <c r="D25" i="9"/>
  <c r="E59" i="9"/>
  <c r="O131" i="9"/>
  <c r="O136" i="9" s="1"/>
  <c r="E133" i="9"/>
  <c r="E136" i="9"/>
  <c r="H133" i="9"/>
  <c r="E24" i="11"/>
  <c r="B21" i="12"/>
  <c r="B28" i="9"/>
  <c r="B26" i="10" s="1"/>
  <c r="F38" i="9"/>
  <c r="F61" i="9"/>
  <c r="F64" i="9"/>
  <c r="I74" i="9"/>
  <c r="I63" i="9"/>
  <c r="F99" i="9"/>
  <c r="F102" i="9"/>
  <c r="F27" i="8" s="1"/>
  <c r="D252" i="14" s="1"/>
  <c r="F138" i="9"/>
  <c r="F35" i="8" s="1"/>
  <c r="E252" i="14" s="1"/>
  <c r="F146" i="9"/>
  <c r="B21" i="10"/>
  <c r="L50" i="8"/>
  <c r="G25" i="9"/>
  <c r="B27" i="9"/>
  <c r="G59" i="9"/>
  <c r="C97" i="9"/>
  <c r="D21" i="11"/>
  <c r="C100" i="9"/>
  <c r="D26" i="11" s="1"/>
  <c r="J131" i="9"/>
  <c r="J129" i="9"/>
  <c r="J33" i="8" s="1"/>
  <c r="F135" i="9"/>
  <c r="G138" i="9"/>
  <c r="G35" i="8" s="1"/>
  <c r="E253" i="14" s="1"/>
  <c r="E8" i="11"/>
  <c r="E32" i="11"/>
  <c r="M50" i="8"/>
  <c r="D95" i="9"/>
  <c r="D93" i="9"/>
  <c r="K131" i="9"/>
  <c r="K129" i="9"/>
  <c r="O129" i="9"/>
  <c r="O33" i="8" s="1"/>
  <c r="I133" i="9"/>
  <c r="I136" i="9"/>
  <c r="L135" i="9"/>
  <c r="L138" i="9"/>
  <c r="L35" i="8" s="1"/>
  <c r="E258" i="14" s="1"/>
  <c r="B236" i="14"/>
  <c r="B95" i="9"/>
  <c r="C221" i="14" l="1"/>
  <c r="C264" i="14"/>
  <c r="Q26" i="8"/>
  <c r="Q102" i="9"/>
  <c r="Q27" i="8" s="1"/>
  <c r="L63" i="9"/>
  <c r="L18" i="8"/>
  <c r="L74" i="9"/>
  <c r="L66" i="9"/>
  <c r="L19" i="8" s="1"/>
  <c r="C258" i="14" s="1"/>
  <c r="B220" i="14"/>
  <c r="B263" i="14"/>
  <c r="N10" i="8"/>
  <c r="N30" i="9"/>
  <c r="N11" i="8" s="1"/>
  <c r="I146" i="9"/>
  <c r="I135" i="9"/>
  <c r="I138" i="9"/>
  <c r="I35" i="8" s="1"/>
  <c r="E255" i="14" s="1"/>
  <c r="I34" i="8"/>
  <c r="C110" i="9"/>
  <c r="C102" i="9"/>
  <c r="D23" i="11"/>
  <c r="C99" i="9"/>
  <c r="D25" i="11" s="1"/>
  <c r="C26" i="8"/>
  <c r="L12" i="8"/>
  <c r="L205" i="14" s="1"/>
  <c r="L39" i="9"/>
  <c r="L13" i="8" s="1"/>
  <c r="L206" i="14" s="1"/>
  <c r="H66" i="9"/>
  <c r="H19" i="8" s="1"/>
  <c r="C254" i="14" s="1"/>
  <c r="H74" i="9"/>
  <c r="H18" i="8"/>
  <c r="H63" i="9"/>
  <c r="P63" i="9" s="1"/>
  <c r="P61" i="9"/>
  <c r="N59" i="9"/>
  <c r="N64" i="9" s="1"/>
  <c r="C21" i="10"/>
  <c r="E21" i="10" s="1"/>
  <c r="E26" i="10" s="1"/>
  <c r="B61" i="9"/>
  <c r="B64" i="9"/>
  <c r="C26" i="10" s="1"/>
  <c r="R59" i="9"/>
  <c r="R64" i="9" s="1"/>
  <c r="B264" i="14"/>
  <c r="B221" i="14"/>
  <c r="K9" i="8"/>
  <c r="K202" i="14" s="1"/>
  <c r="Q21" i="9"/>
  <c r="Q9" i="8" s="1"/>
  <c r="O93" i="9"/>
  <c r="O25" i="8" s="1"/>
  <c r="E25" i="8"/>
  <c r="B28" i="10"/>
  <c r="B11" i="8"/>
  <c r="B265" i="14"/>
  <c r="B222" i="14"/>
  <c r="B36" i="10"/>
  <c r="B39" i="9"/>
  <c r="B12" i="8"/>
  <c r="B205" i="14" s="1"/>
  <c r="N38" i="9"/>
  <c r="C19" i="10"/>
  <c r="E19" i="10" s="1"/>
  <c r="R57" i="9"/>
  <c r="R17" i="8" s="1"/>
  <c r="N57" i="9"/>
  <c r="N17" i="8" s="1"/>
  <c r="B17" i="8"/>
  <c r="O95" i="9"/>
  <c r="O100" i="9" s="1"/>
  <c r="E97" i="9"/>
  <c r="E100" i="9"/>
  <c r="J133" i="9"/>
  <c r="J136" i="9"/>
  <c r="P131" i="9"/>
  <c r="P136" i="9" s="1"/>
  <c r="I75" i="9"/>
  <c r="I21" i="8" s="1"/>
  <c r="I20" i="8"/>
  <c r="R129" i="9"/>
  <c r="R33" i="8" s="1"/>
  <c r="N129" i="9"/>
  <c r="N33" i="8" s="1"/>
  <c r="B33" i="8"/>
  <c r="M39" i="9"/>
  <c r="M13" i="8" s="1"/>
  <c r="M206" i="14" s="1"/>
  <c r="M12" i="8"/>
  <c r="M205" i="14" s="1"/>
  <c r="G61" i="9"/>
  <c r="G64" i="9"/>
  <c r="K133" i="9"/>
  <c r="K136" i="9"/>
  <c r="Q131" i="9"/>
  <c r="Q136" i="9" s="1"/>
  <c r="B25" i="10"/>
  <c r="D19" i="12"/>
  <c r="D25" i="8"/>
  <c r="I28" i="9"/>
  <c r="I25" i="9"/>
  <c r="K25" i="8"/>
  <c r="Q93" i="9"/>
  <c r="Q25" i="8" s="1"/>
  <c r="C133" i="9"/>
  <c r="C136" i="9"/>
  <c r="I97" i="9"/>
  <c r="I100" i="9"/>
  <c r="F63" i="9"/>
  <c r="F74" i="9"/>
  <c r="F18" i="8"/>
  <c r="F66" i="9"/>
  <c r="F19" i="8" s="1"/>
  <c r="C252" i="14" s="1"/>
  <c r="D21" i="12"/>
  <c r="D97" i="9"/>
  <c r="D100" i="9"/>
  <c r="D26" i="12" s="1"/>
  <c r="E19" i="12"/>
  <c r="M138" i="9"/>
  <c r="M35" i="8" s="1"/>
  <c r="E259" i="14" s="1"/>
  <c r="M34" i="8"/>
  <c r="M146" i="9"/>
  <c r="M135" i="9"/>
  <c r="P93" i="9"/>
  <c r="P25" i="8" s="1"/>
  <c r="H25" i="8"/>
  <c r="Q129" i="9"/>
  <c r="Q33" i="8" s="1"/>
  <c r="K33" i="8"/>
  <c r="B258" i="14"/>
  <c r="L204" i="14"/>
  <c r="G147" i="9"/>
  <c r="G37" i="8" s="1"/>
  <c r="G36" i="8"/>
  <c r="Q61" i="9"/>
  <c r="K18" i="8"/>
  <c r="K74" i="9"/>
  <c r="K66" i="9"/>
  <c r="K19" i="8" s="1"/>
  <c r="C257" i="14" s="1"/>
  <c r="K63" i="9"/>
  <c r="D146" i="9"/>
  <c r="D34" i="8"/>
  <c r="D138" i="9"/>
  <c r="D35" i="8" s="1"/>
  <c r="E250" i="14" s="1"/>
  <c r="D135" i="9"/>
  <c r="J102" i="9"/>
  <c r="J27" i="8" s="1"/>
  <c r="D256" i="14" s="1"/>
  <c r="J99" i="9"/>
  <c r="J26" i="8"/>
  <c r="J110" i="9"/>
  <c r="B240" i="14"/>
  <c r="H201" i="14"/>
  <c r="F147" i="9"/>
  <c r="F37" i="8" s="1"/>
  <c r="F36" i="8"/>
  <c r="O133" i="9"/>
  <c r="E146" i="9"/>
  <c r="E138" i="9"/>
  <c r="E35" i="8" s="1"/>
  <c r="E251" i="14" s="1"/>
  <c r="E135" i="9"/>
  <c r="O135" i="9" s="1"/>
  <c r="E34" i="8"/>
  <c r="M110" i="9"/>
  <c r="M99" i="9"/>
  <c r="M102" i="9"/>
  <c r="M27" i="8" s="1"/>
  <c r="D259" i="14" s="1"/>
  <c r="M26" i="8"/>
  <c r="K27" i="9"/>
  <c r="Q27" i="9" s="1"/>
  <c r="K30" i="9"/>
  <c r="K11" i="8" s="1"/>
  <c r="K10" i="8"/>
  <c r="K203" i="14" s="1"/>
  <c r="Q25" i="9"/>
  <c r="K38" i="9"/>
  <c r="M64" i="9"/>
  <c r="M61" i="9"/>
  <c r="O25" i="9"/>
  <c r="E38" i="9"/>
  <c r="E30" i="9"/>
  <c r="E11" i="8" s="1"/>
  <c r="E10" i="8"/>
  <c r="E203" i="14" s="1"/>
  <c r="E27" i="9"/>
  <c r="C21" i="12"/>
  <c r="E21" i="12" s="1"/>
  <c r="E26" i="12" s="1"/>
  <c r="D64" i="9"/>
  <c r="C26" i="12" s="1"/>
  <c r="D61" i="9"/>
  <c r="R21" i="9"/>
  <c r="R9" i="8" s="1"/>
  <c r="G97" i="9"/>
  <c r="G100" i="9"/>
  <c r="K111" i="9"/>
  <c r="K29" i="8" s="1"/>
  <c r="K28" i="8"/>
  <c r="B100" i="9"/>
  <c r="D26" i="10" s="1"/>
  <c r="R95" i="9"/>
  <c r="R100" i="9" s="1"/>
  <c r="D21" i="10"/>
  <c r="B97" i="9"/>
  <c r="N95" i="9"/>
  <c r="N100" i="9" s="1"/>
  <c r="E64" i="9"/>
  <c r="E61" i="9"/>
  <c r="O59" i="9"/>
  <c r="O64" i="9" s="1"/>
  <c r="F204" i="14"/>
  <c r="B252" i="14"/>
  <c r="R23" i="9"/>
  <c r="R28" i="9" s="1"/>
  <c r="C19" i="11"/>
  <c r="E19" i="11" s="1"/>
  <c r="C17" i="8"/>
  <c r="D38" i="9"/>
  <c r="B23" i="12"/>
  <c r="D30" i="9"/>
  <c r="D27" i="9"/>
  <c r="B25" i="12" s="1"/>
  <c r="D10" i="8"/>
  <c r="D203" i="14" s="1"/>
  <c r="C38" i="9"/>
  <c r="C27" i="9"/>
  <c r="B25" i="11" s="1"/>
  <c r="B23" i="11"/>
  <c r="C30" i="9"/>
  <c r="C10" i="8"/>
  <c r="C203" i="14" s="1"/>
  <c r="C21" i="11"/>
  <c r="E21" i="11" s="1"/>
  <c r="E26" i="11" s="1"/>
  <c r="C61" i="9"/>
  <c r="C64" i="9"/>
  <c r="C26" i="11" s="1"/>
  <c r="J74" i="9"/>
  <c r="J18" i="8"/>
  <c r="J66" i="9"/>
  <c r="J19" i="8" s="1"/>
  <c r="C256" i="14" s="1"/>
  <c r="J63" i="9"/>
  <c r="P21" i="9"/>
  <c r="P9" i="8" s="1"/>
  <c r="H9" i="8"/>
  <c r="H202" i="14" s="1"/>
  <c r="F39" i="9"/>
  <c r="F13" i="8" s="1"/>
  <c r="F206" i="14" s="1"/>
  <c r="F12" i="8"/>
  <c r="F205" i="14" s="1"/>
  <c r="L110" i="9"/>
  <c r="L26" i="8"/>
  <c r="L99" i="9"/>
  <c r="Q99" i="9" s="1"/>
  <c r="L102" i="9"/>
  <c r="L27" i="8" s="1"/>
  <c r="D258" i="14" s="1"/>
  <c r="G38" i="9"/>
  <c r="G27" i="9"/>
  <c r="G30" i="9"/>
  <c r="G11" i="8" s="1"/>
  <c r="G10" i="8"/>
  <c r="G203" i="14" s="1"/>
  <c r="H146" i="9"/>
  <c r="H135" i="9"/>
  <c r="P133" i="9"/>
  <c r="H138" i="9"/>
  <c r="H35" i="8" s="1"/>
  <c r="E254" i="14" s="1"/>
  <c r="H34" i="8"/>
  <c r="P95" i="9"/>
  <c r="P100" i="9" s="1"/>
  <c r="H97" i="9"/>
  <c r="H100" i="9"/>
  <c r="J28" i="9"/>
  <c r="J25" i="9"/>
  <c r="B219" i="14"/>
  <c r="B262" i="14"/>
  <c r="B133" i="9"/>
  <c r="B136" i="9"/>
  <c r="R131" i="9"/>
  <c r="R136" i="9" s="1"/>
  <c r="N131" i="9"/>
  <c r="N136" i="9" s="1"/>
  <c r="B259" i="14"/>
  <c r="M204" i="14"/>
  <c r="H28" i="9"/>
  <c r="H25" i="9"/>
  <c r="P23" i="9"/>
  <c r="P28" i="9" s="1"/>
  <c r="B138" i="9" l="1"/>
  <c r="B35" i="8" s="1"/>
  <c r="E248" i="14" s="1"/>
  <c r="R133" i="9"/>
  <c r="B146" i="9"/>
  <c r="B34" i="8"/>
  <c r="B135" i="9"/>
  <c r="N133" i="9"/>
  <c r="E110" i="9"/>
  <c r="E99" i="9"/>
  <c r="O99" i="9" s="1"/>
  <c r="E102" i="9"/>
  <c r="E27" i="8" s="1"/>
  <c r="D251" i="14" s="1"/>
  <c r="E26" i="8"/>
  <c r="O97" i="9"/>
  <c r="M147" i="9"/>
  <c r="M37" i="8" s="1"/>
  <c r="M36" i="8"/>
  <c r="G74" i="9"/>
  <c r="G18" i="8"/>
  <c r="G63" i="9"/>
  <c r="G66" i="9"/>
  <c r="G19" i="8" s="1"/>
  <c r="C253" i="14" s="1"/>
  <c r="P74" i="9"/>
  <c r="H20" i="8"/>
  <c r="H75" i="9"/>
  <c r="H21" i="8" s="1"/>
  <c r="C262" i="14"/>
  <c r="C219" i="14"/>
  <c r="K204" i="14"/>
  <c r="B257" i="14"/>
  <c r="Q66" i="9"/>
  <c r="Q19" i="8" s="1"/>
  <c r="Q18" i="8"/>
  <c r="C220" i="14"/>
  <c r="C263" i="14"/>
  <c r="G39" i="9"/>
  <c r="G13" i="8" s="1"/>
  <c r="G206" i="14" s="1"/>
  <c r="G12" i="8"/>
  <c r="G205" i="14" s="1"/>
  <c r="G102" i="9"/>
  <c r="G27" i="8" s="1"/>
  <c r="D253" i="14" s="1"/>
  <c r="G26" i="8"/>
  <c r="G99" i="9"/>
  <c r="G110" i="9"/>
  <c r="B248" i="14"/>
  <c r="B204" i="14"/>
  <c r="Q10" i="8"/>
  <c r="Q30" i="9"/>
  <c r="Q11" i="8" s="1"/>
  <c r="I38" i="9"/>
  <c r="I30" i="9"/>
  <c r="I11" i="8" s="1"/>
  <c r="I10" i="8"/>
  <c r="I203" i="14" s="1"/>
  <c r="I27" i="9"/>
  <c r="H102" i="9"/>
  <c r="H27" i="8" s="1"/>
  <c r="D254" i="14" s="1"/>
  <c r="H26" i="8"/>
  <c r="H99" i="9"/>
  <c r="P99" i="9" s="1"/>
  <c r="H110" i="9"/>
  <c r="P97" i="9"/>
  <c r="B36" i="11"/>
  <c r="C39" i="9"/>
  <c r="C12" i="8"/>
  <c r="C205" i="14" s="1"/>
  <c r="B13" i="8"/>
  <c r="B206" i="14" s="1"/>
  <c r="B37" i="10"/>
  <c r="K146" i="9"/>
  <c r="K135" i="9"/>
  <c r="Q135" i="9" s="1"/>
  <c r="K34" i="8"/>
  <c r="Q133" i="9"/>
  <c r="K138" i="9"/>
  <c r="K35" i="8" s="1"/>
  <c r="E257" i="14" s="1"/>
  <c r="Q38" i="9"/>
  <c r="K39" i="9"/>
  <c r="K13" i="8" s="1"/>
  <c r="K206" i="14" s="1"/>
  <c r="K12" i="8"/>
  <c r="K205" i="14" s="1"/>
  <c r="C265" i="14"/>
  <c r="C222" i="14"/>
  <c r="B110" i="9"/>
  <c r="N97" i="9"/>
  <c r="B99" i="9"/>
  <c r="B102" i="9"/>
  <c r="B26" i="8"/>
  <c r="D23" i="10"/>
  <c r="R97" i="9"/>
  <c r="M111" i="9"/>
  <c r="M29" i="8" s="1"/>
  <c r="M28" i="8"/>
  <c r="N27" i="9"/>
  <c r="L111" i="9"/>
  <c r="L29" i="8" s="1"/>
  <c r="L28" i="8"/>
  <c r="D23" i="12"/>
  <c r="D99" i="9"/>
  <c r="D25" i="12" s="1"/>
  <c r="D110" i="9"/>
  <c r="D102" i="9"/>
  <c r="D26" i="8"/>
  <c r="N39" i="9"/>
  <c r="N13" i="8" s="1"/>
  <c r="N12" i="8"/>
  <c r="P138" i="9"/>
  <c r="P35" i="8" s="1"/>
  <c r="P34" i="8"/>
  <c r="B251" i="14"/>
  <c r="E204" i="14"/>
  <c r="F75" i="9"/>
  <c r="F21" i="8" s="1"/>
  <c r="F20" i="8"/>
  <c r="B63" i="9"/>
  <c r="B74" i="9"/>
  <c r="B18" i="8"/>
  <c r="C23" i="10"/>
  <c r="N61" i="9"/>
  <c r="R61" i="9"/>
  <c r="B66" i="9"/>
  <c r="D28" i="11"/>
  <c r="C27" i="8"/>
  <c r="D249" i="14" s="1"/>
  <c r="G204" i="14"/>
  <c r="B253" i="14"/>
  <c r="K75" i="9"/>
  <c r="K21" i="8" s="1"/>
  <c r="K20" i="8"/>
  <c r="B28" i="11"/>
  <c r="C11" i="8"/>
  <c r="E66" i="9"/>
  <c r="E19" i="8" s="1"/>
  <c r="C251" i="14" s="1"/>
  <c r="E74" i="9"/>
  <c r="E63" i="9"/>
  <c r="O63" i="9" s="1"/>
  <c r="E18" i="8"/>
  <c r="O61" i="9"/>
  <c r="H27" i="9"/>
  <c r="R27" i="9" s="1"/>
  <c r="P25" i="9"/>
  <c r="H38" i="9"/>
  <c r="R38" i="9" s="1"/>
  <c r="H30" i="9"/>
  <c r="H11" i="8" s="1"/>
  <c r="H10" i="8"/>
  <c r="H203" i="14" s="1"/>
  <c r="R25" i="9"/>
  <c r="D36" i="11"/>
  <c r="C111" i="9"/>
  <c r="C28" i="8"/>
  <c r="J75" i="9"/>
  <c r="J21" i="8" s="1"/>
  <c r="J20" i="8"/>
  <c r="H147" i="9"/>
  <c r="H37" i="8" s="1"/>
  <c r="H36" i="8"/>
  <c r="E23" i="12"/>
  <c r="E28" i="12" s="1"/>
  <c r="O10" i="8"/>
  <c r="O30" i="9"/>
  <c r="O11" i="8" s="1"/>
  <c r="D147" i="9"/>
  <c r="D37" i="8" s="1"/>
  <c r="D36" i="8"/>
  <c r="J135" i="9"/>
  <c r="J34" i="8"/>
  <c r="J146" i="9"/>
  <c r="J138" i="9"/>
  <c r="J35" i="8" s="1"/>
  <c r="E256" i="14" s="1"/>
  <c r="O138" i="9"/>
  <c r="O35" i="8" s="1"/>
  <c r="O34" i="8"/>
  <c r="C138" i="9"/>
  <c r="C35" i="8" s="1"/>
  <c r="E249" i="14" s="1"/>
  <c r="C146" i="9"/>
  <c r="C34" i="8"/>
  <c r="C135" i="9"/>
  <c r="I36" i="8"/>
  <c r="I147" i="9"/>
  <c r="I37" i="8" s="1"/>
  <c r="C63" i="9"/>
  <c r="C25" i="11" s="1"/>
  <c r="E25" i="11" s="1"/>
  <c r="C66" i="9"/>
  <c r="C23" i="11"/>
  <c r="C74" i="9"/>
  <c r="C18" i="8"/>
  <c r="J30" i="9"/>
  <c r="J11" i="8" s="1"/>
  <c r="J10" i="8"/>
  <c r="J203" i="14" s="1"/>
  <c r="J27" i="9"/>
  <c r="J38" i="9"/>
  <c r="C23" i="12"/>
  <c r="D66" i="9"/>
  <c r="D63" i="9"/>
  <c r="C25" i="12" s="1"/>
  <c r="E25" i="12" s="1"/>
  <c r="D74" i="9"/>
  <c r="D18" i="8"/>
  <c r="J111" i="9"/>
  <c r="J29" i="8" s="1"/>
  <c r="J28" i="8"/>
  <c r="E23" i="11"/>
  <c r="E28" i="11" s="1"/>
  <c r="L75" i="9"/>
  <c r="L21" i="8" s="1"/>
  <c r="L20" i="8"/>
  <c r="O27" i="9"/>
  <c r="P135" i="9"/>
  <c r="B28" i="12"/>
  <c r="D11" i="8"/>
  <c r="E39" i="9"/>
  <c r="E13" i="8" s="1"/>
  <c r="E206" i="14" s="1"/>
  <c r="E12" i="8"/>
  <c r="E205" i="14" s="1"/>
  <c r="O38" i="9"/>
  <c r="D39" i="9"/>
  <c r="B36" i="12"/>
  <c r="D12" i="8"/>
  <c r="D205" i="14" s="1"/>
  <c r="Q110" i="9"/>
  <c r="M74" i="9"/>
  <c r="M63" i="9"/>
  <c r="Q63" i="9" s="1"/>
  <c r="M66" i="9"/>
  <c r="M19" i="8" s="1"/>
  <c r="C259" i="14" s="1"/>
  <c r="M18" i="8"/>
  <c r="E147" i="9"/>
  <c r="E37" i="8" s="1"/>
  <c r="E36" i="8"/>
  <c r="O146" i="9"/>
  <c r="I99" i="9"/>
  <c r="I102" i="9"/>
  <c r="I27" i="8" s="1"/>
  <c r="D255" i="14" s="1"/>
  <c r="I110" i="9"/>
  <c r="I26" i="8"/>
  <c r="P66" i="9"/>
  <c r="P19" i="8" s="1"/>
  <c r="P18" i="8"/>
  <c r="R39" i="9" l="1"/>
  <c r="R13" i="8" s="1"/>
  <c r="R12" i="8"/>
  <c r="J204" i="14"/>
  <c r="B256" i="14"/>
  <c r="M75" i="9"/>
  <c r="M21" i="8" s="1"/>
  <c r="M20" i="8"/>
  <c r="B111" i="9"/>
  <c r="D36" i="10"/>
  <c r="N110" i="9"/>
  <c r="B28" i="8"/>
  <c r="R110" i="9"/>
  <c r="B37" i="11"/>
  <c r="C13" i="8"/>
  <c r="C206" i="14" s="1"/>
  <c r="I39" i="9"/>
  <c r="I13" i="8" s="1"/>
  <c r="I206" i="14" s="1"/>
  <c r="I12" i="8"/>
  <c r="I205" i="14" s="1"/>
  <c r="O26" i="8"/>
  <c r="O102" i="9"/>
  <c r="O27" i="8" s="1"/>
  <c r="R99" i="9"/>
  <c r="D25" i="10"/>
  <c r="N99" i="9"/>
  <c r="C36" i="11"/>
  <c r="E36" i="11" s="1"/>
  <c r="E37" i="11" s="1"/>
  <c r="C20" i="8"/>
  <c r="C75" i="9"/>
  <c r="N102" i="9"/>
  <c r="N27" i="8" s="1"/>
  <c r="N26" i="8"/>
  <c r="Q28" i="8"/>
  <c r="Q111" i="9"/>
  <c r="Q29" i="8" s="1"/>
  <c r="C28" i="11"/>
  <c r="C19" i="8"/>
  <c r="C249" i="14" s="1"/>
  <c r="R10" i="8"/>
  <c r="R30" i="9"/>
  <c r="R11" i="8" s="1"/>
  <c r="Q74" i="9"/>
  <c r="O110" i="9"/>
  <c r="E111" i="9"/>
  <c r="E29" i="8" s="1"/>
  <c r="E28" i="8"/>
  <c r="G111" i="9"/>
  <c r="G29" i="8" s="1"/>
  <c r="G28" i="8"/>
  <c r="Q146" i="9"/>
  <c r="K36" i="8"/>
  <c r="K147" i="9"/>
  <c r="K37" i="8" s="1"/>
  <c r="J36" i="8"/>
  <c r="J147" i="9"/>
  <c r="J37" i="8" s="1"/>
  <c r="D37" i="11"/>
  <c r="C29" i="8"/>
  <c r="N63" i="9"/>
  <c r="C25" i="10"/>
  <c r="E25" i="10" s="1"/>
  <c r="R63" i="9"/>
  <c r="B254" i="14"/>
  <c r="H204" i="14"/>
  <c r="P26" i="8"/>
  <c r="P102" i="9"/>
  <c r="P27" i="8" s="1"/>
  <c r="N34" i="8"/>
  <c r="N138" i="9"/>
  <c r="N35" i="8" s="1"/>
  <c r="N66" i="9"/>
  <c r="N19" i="8" s="1"/>
  <c r="N18" i="8"/>
  <c r="E23" i="10"/>
  <c r="E28" i="10" s="1"/>
  <c r="B27" i="8"/>
  <c r="D248" i="14" s="1"/>
  <c r="D28" i="10"/>
  <c r="B37" i="12"/>
  <c r="D13" i="8"/>
  <c r="D206" i="14" s="1"/>
  <c r="D20" i="8"/>
  <c r="C36" i="12"/>
  <c r="E36" i="12" s="1"/>
  <c r="E37" i="12" s="1"/>
  <c r="D75" i="9"/>
  <c r="P38" i="9"/>
  <c r="H39" i="9"/>
  <c r="H13" i="8" s="1"/>
  <c r="H206" i="14" s="1"/>
  <c r="H12" i="8"/>
  <c r="H205" i="14" s="1"/>
  <c r="P110" i="9"/>
  <c r="H111" i="9"/>
  <c r="H29" i="8" s="1"/>
  <c r="H28" i="8"/>
  <c r="P75" i="9"/>
  <c r="P21" i="8" s="1"/>
  <c r="P20" i="8"/>
  <c r="R135" i="9"/>
  <c r="N135" i="9"/>
  <c r="C204" i="14"/>
  <c r="B249" i="14"/>
  <c r="C36" i="10"/>
  <c r="E36" i="10" s="1"/>
  <c r="E37" i="10" s="1"/>
  <c r="B75" i="9"/>
  <c r="N74" i="9"/>
  <c r="B20" i="8"/>
  <c r="R74" i="9"/>
  <c r="D27" i="8"/>
  <c r="D250" i="14" s="1"/>
  <c r="D28" i="12"/>
  <c r="D36" i="12"/>
  <c r="D111" i="9"/>
  <c r="D28" i="8"/>
  <c r="O39" i="9"/>
  <c r="O13" i="8" s="1"/>
  <c r="O12" i="8"/>
  <c r="R146" i="9"/>
  <c r="B147" i="9"/>
  <c r="B37" i="8" s="1"/>
  <c r="B36" i="8"/>
  <c r="N146" i="9"/>
  <c r="B255" i="14"/>
  <c r="I204" i="14"/>
  <c r="P146" i="9"/>
  <c r="C147" i="9"/>
  <c r="C37" i="8" s="1"/>
  <c r="C36" i="8"/>
  <c r="O66" i="9"/>
  <c r="O19" i="8" s="1"/>
  <c r="O18" i="8"/>
  <c r="B19" i="8"/>
  <c r="C248" i="14" s="1"/>
  <c r="C28" i="10"/>
  <c r="Q138" i="9"/>
  <c r="Q35" i="8" s="1"/>
  <c r="Q34" i="8"/>
  <c r="R34" i="8"/>
  <c r="R138" i="9"/>
  <c r="R35" i="8" s="1"/>
  <c r="E75" i="9"/>
  <c r="E21" i="8" s="1"/>
  <c r="O74" i="9"/>
  <c r="E20" i="8"/>
  <c r="I111" i="9"/>
  <c r="I29" i="8" s="1"/>
  <c r="I28" i="8"/>
  <c r="P30" i="9"/>
  <c r="P11" i="8" s="1"/>
  <c r="P10" i="8"/>
  <c r="Q12" i="8"/>
  <c r="Q39" i="9"/>
  <c r="Q13" i="8" s="1"/>
  <c r="D19" i="8"/>
  <c r="C250" i="14" s="1"/>
  <c r="C28" i="12"/>
  <c r="P27" i="9"/>
  <c r="O147" i="9"/>
  <c r="O37" i="8" s="1"/>
  <c r="O36" i="8"/>
  <c r="B250" i="14"/>
  <c r="D204" i="14"/>
  <c r="J39" i="9"/>
  <c r="J13" i="8" s="1"/>
  <c r="J206" i="14" s="1"/>
  <c r="J12" i="8"/>
  <c r="J205" i="14" s="1"/>
  <c r="R66" i="9"/>
  <c r="R19" i="8" s="1"/>
  <c r="R18" i="8"/>
  <c r="R26" i="8"/>
  <c r="R102" i="9"/>
  <c r="R27" i="8" s="1"/>
  <c r="G75" i="9"/>
  <c r="G21" i="8" s="1"/>
  <c r="G20" i="8"/>
  <c r="N147" i="9" l="1"/>
  <c r="N37" i="8" s="1"/>
  <c r="N36" i="8"/>
  <c r="C37" i="10"/>
  <c r="B21" i="8"/>
  <c r="C37" i="12"/>
  <c r="D21" i="8"/>
  <c r="C37" i="11"/>
  <c r="C21" i="8"/>
  <c r="N28" i="8"/>
  <c r="N111" i="9"/>
  <c r="N29" i="8" s="1"/>
  <c r="N75" i="9"/>
  <c r="N21" i="8" s="1"/>
  <c r="N20" i="8"/>
  <c r="D37" i="10"/>
  <c r="B29" i="8"/>
  <c r="P36" i="8"/>
  <c r="P147" i="9"/>
  <c r="P37" i="8" s="1"/>
  <c r="R111" i="9"/>
  <c r="R29" i="8" s="1"/>
  <c r="R28" i="8"/>
  <c r="R147" i="9"/>
  <c r="R37" i="8" s="1"/>
  <c r="R36" i="8"/>
  <c r="O28" i="8"/>
  <c r="O111" i="9"/>
  <c r="O29" i="8" s="1"/>
  <c r="P111" i="9"/>
  <c r="P29" i="8" s="1"/>
  <c r="P28" i="8"/>
  <c r="R75" i="9"/>
  <c r="R21" i="8" s="1"/>
  <c r="R20" i="8"/>
  <c r="P12" i="8"/>
  <c r="P39" i="9"/>
  <c r="P13" i="8" s="1"/>
  <c r="Q75" i="9"/>
  <c r="Q21" i="8" s="1"/>
  <c r="Q20" i="8"/>
  <c r="O75" i="9"/>
  <c r="O21" i="8" s="1"/>
  <c r="O20" i="8"/>
  <c r="D220" i="14"/>
  <c r="D263" i="14"/>
  <c r="D265" i="14"/>
  <c r="D222" i="14"/>
  <c r="D37" i="12"/>
  <c r="D29" i="8"/>
  <c r="D219" i="14"/>
  <c r="D262" i="14"/>
  <c r="Q147" i="9"/>
  <c r="Q37" i="8" s="1"/>
  <c r="Q36" i="8"/>
  <c r="D264" i="14"/>
  <c r="D221" i="14"/>
</calcChain>
</file>

<file path=xl/sharedStrings.xml><?xml version="1.0" encoding="utf-8"?>
<sst xmlns="http://schemas.openxmlformats.org/spreadsheetml/2006/main" count="3999" uniqueCount="1013">
  <si>
    <t>ID</t>
  </si>
  <si>
    <t>Date</t>
  </si>
  <si>
    <t>Department</t>
  </si>
  <si>
    <t>Product</t>
  </si>
  <si>
    <t>Expense Category</t>
  </si>
  <si>
    <t>Vendor</t>
  </si>
  <si>
    <t>Amount</t>
  </si>
  <si>
    <t>c15c63af-93b1-46c7-8644-3820dad92ebe</t>
  </si>
  <si>
    <t>7/13/2025</t>
  </si>
  <si>
    <t>R&amp;D</t>
  </si>
  <si>
    <t>DocFast</t>
  </si>
  <si>
    <t>Connectivity Charges</t>
  </si>
  <si>
    <t>Salesforce Inc.</t>
  </si>
  <si>
    <t>8a85fdcf-6ebb-4953-b8da-7162bdf9a3d5</t>
  </si>
  <si>
    <t>08/23/2025</t>
  </si>
  <si>
    <t>Partners</t>
  </si>
  <si>
    <t>InsureSight</t>
  </si>
  <si>
    <t>Overhead Allocation &amp; Chargebacks</t>
  </si>
  <si>
    <t>Palo Alto Networks</t>
  </si>
  <si>
    <t>c8a310f7-0591-4f07-993b-442ed4044da5</t>
  </si>
  <si>
    <t>2025-12-14</t>
  </si>
  <si>
    <t>NetOps</t>
  </si>
  <si>
    <t>Other</t>
  </si>
  <si>
    <t>Microsoft Corp.</t>
  </si>
  <si>
    <t>69e58234-9c0b-4205-8df2-6c9fb98fb403</t>
  </si>
  <si>
    <t>iGO</t>
  </si>
  <si>
    <t>AWS</t>
  </si>
  <si>
    <t>Deloitte Consulting</t>
  </si>
  <si>
    <t>4722607f-0537-44bf-9194-320a67cfcac4</t>
  </si>
  <si>
    <t>Advertising and Promotion Expense</t>
  </si>
  <si>
    <t>Iron Mountain</t>
  </si>
  <si>
    <t>ce278d40-1e9d-4d2e-9373-fa1300bc4c3a</t>
  </si>
  <si>
    <t>Zendesk Inc.</t>
  </si>
  <si>
    <t>967517e0-f2d6-4f2a-84dc-911fa2893d68</t>
  </si>
  <si>
    <t>Cognizant Technology</t>
  </si>
  <si>
    <t>2bd05c39-f827-4f27-9e3e-fc6ad796018b</t>
  </si>
  <si>
    <t>Affirm</t>
  </si>
  <si>
    <t>cde97481-ee1b-4ab4-9d65-3621e2ce790a</t>
  </si>
  <si>
    <t>Reselling Expenses</t>
  </si>
  <si>
    <t>c83d288d-09e6-43dd-b598-4fbc1ab163e7</t>
  </si>
  <si>
    <t>Content</t>
  </si>
  <si>
    <t>Accenture LLP</t>
  </si>
  <si>
    <t>c7c3d879-f4ea-42fe-8689-04637efe504b</t>
  </si>
  <si>
    <t>Product Management</t>
  </si>
  <si>
    <t>Datadog Inc.</t>
  </si>
  <si>
    <t>e36d0d88-4984-4c14-a188-4d0fbb5660b6</t>
  </si>
  <si>
    <t>Software and Maintenance Expense</t>
  </si>
  <si>
    <t>Cloudflare Inc.</t>
  </si>
  <si>
    <t>53eb0a32-96ae-4a39-9676-5bb87485f3fb</t>
  </si>
  <si>
    <t>b694b8c0-ad82-4b3c-b286-f4646bd17732</t>
  </si>
  <si>
    <t>7af83a40-5271-4700-a4c8-f992eb7cd1bd</t>
  </si>
  <si>
    <t>Professional Fees and Outsourcing Expenses</t>
  </si>
  <si>
    <t>6baa1bd9-199c-46ad-af7e-6929c83052b2</t>
  </si>
  <si>
    <t>aa728d12-16cd-4078-9151-b2d077d29b62</t>
  </si>
  <si>
    <t>Support</t>
  </si>
  <si>
    <t>0c5d5cfa-c37a-4333-ad44-d88c36f7801a</t>
  </si>
  <si>
    <t>Security</t>
  </si>
  <si>
    <t>CrowdStrike Holdings</t>
  </si>
  <si>
    <t>86235afa-9fb4-4326-b530-6f3d83eddc4e</t>
  </si>
  <si>
    <t>Office Expenses &amp; Rent Allocation</t>
  </si>
  <si>
    <t>Amazon Web Services</t>
  </si>
  <si>
    <t>e994d8c2-33ab-4b3b-9b39-ef57617fe44d</t>
  </si>
  <si>
    <t>Atlassian Inc.</t>
  </si>
  <si>
    <t>f07c1f24-5aef-40f6-b13a-1a00d3894adf</t>
  </si>
  <si>
    <t>aeee40dd-71a3-40ab-8706-b5565eb06a7b</t>
  </si>
  <si>
    <t>90f4e520-0645-4b16-8546-bb52a9a8f8e1</t>
  </si>
  <si>
    <t>0f3f5c16-4a12-4eee-ac76-fe6a6bce92d1</t>
  </si>
  <si>
    <t>553f731b-c794-49dd-afcd-7b72584a7e70</t>
  </si>
  <si>
    <t>5bfcf122-fd2f-4c68-acab-7f8988f35d6a</t>
  </si>
  <si>
    <t>e2e2763a-f833-4fc1-ae0b-05db1144199c</t>
  </si>
  <si>
    <t>WillisTowersWatson</t>
  </si>
  <si>
    <t>c27d40ee-806b-4525-bacd-05491f40480e</t>
  </si>
  <si>
    <t>92c40523-3880-4e2f-bcb6-441745cbcb89</t>
  </si>
  <si>
    <t>6c341504-f8db-4597-a223-ec72a655f6ee</t>
  </si>
  <si>
    <t>5c98f204-88d8-41c7-b41e-25067ea59c5b</t>
  </si>
  <si>
    <t>Adobe Systems</t>
  </si>
  <si>
    <t>9bee7df4-47ec-40b1-be98-3f85378a28e2</t>
  </si>
  <si>
    <t>Employee Expenses</t>
  </si>
  <si>
    <t>03bece6a-3767-492b-9164-9add03ac5227</t>
  </si>
  <si>
    <t>60d5e21a-2336-4338-bd9f-c504a69424e3</t>
  </si>
  <si>
    <t>442eebe1-11a6-42f9-926a-991064f5a588</t>
  </si>
  <si>
    <t>a83d0b1f-5cda-4cd2-8953-4fee20f2477d</t>
  </si>
  <si>
    <t>6913d5bd-e5e6-46db-9136-a61f56c45eb5</t>
  </si>
  <si>
    <t>47cca976-722b-4824-8ba8-f2680f234428</t>
  </si>
  <si>
    <t>8632b9c7-1dc6-4983-899c-6900487ea486</t>
  </si>
  <si>
    <t>c9cc9c0d-d72f-46f1-8990-995fc54fedf0</t>
  </si>
  <si>
    <t>0e0a21e3-2a42-45d4-a5ce-7c59bd69d8b8</t>
  </si>
  <si>
    <t>Data Center Fees</t>
  </si>
  <si>
    <t>8a0a57d7-96fe-404e-b349-dd0498d412c2</t>
  </si>
  <si>
    <t>37c9f0a0-1027-4d6c-95f9-4e7dc16b1e2e</t>
  </si>
  <si>
    <t>d2d843c3-281c-4514-bd1a-185004a227d1</t>
  </si>
  <si>
    <t>74cc4b4a-69d5-4983-ac7f-0ca0eaf5fa55</t>
  </si>
  <si>
    <t>918c393a-89f3-4f89-86e7-67ccb789b6c5</t>
  </si>
  <si>
    <t>f357af42-976f-4ab9-94d9-492168deae44</t>
  </si>
  <si>
    <t>f801fc08-ec83-4968-a215-83df9ffed5ed</t>
  </si>
  <si>
    <t>dc3a3f27-1704-417e-abff-f59e6f3b4e14</t>
  </si>
  <si>
    <t>f2c21825-b03a-4d15-995e-415ccde34016</t>
  </si>
  <si>
    <t>14ef24c0-4fc1-4ef7-90eb-8643d95bf4d9</t>
  </si>
  <si>
    <t>39c3ff61-d7b2-4a89-8ccc-5174409fb4fb</t>
  </si>
  <si>
    <t>76343ce6-07b5-4b3f-b07c-fd947bff47ba</t>
  </si>
  <si>
    <t>9c403f47-31d7-49ad-ba82-b0344f1a2670</t>
  </si>
  <si>
    <t>2f496460-bc1d-44c3-91bd-aaad1aaa2ba7</t>
  </si>
  <si>
    <t>8fb509a3-3ac7-467e-a3b8-b33124a4e57e</t>
  </si>
  <si>
    <t>06210729-c9b5-4744-8db4-065c5c6155ec</t>
  </si>
  <si>
    <t>4c3a4ddb-4dea-446e-ac42-c59c67ad5a9b</t>
  </si>
  <si>
    <t>5a37daa6-732a-4b0a-88c0-fdbcf8bcdf29</t>
  </si>
  <si>
    <t>16e25c89-bcd5-44a7-ae9d-1cfb7e9fd8c7</t>
  </si>
  <si>
    <t>267c5cea-9ea6-446e-8a23-cd1e5361375a</t>
  </si>
  <si>
    <t>e4153da6-7bd8-42a5-a387-bd87d4a73781</t>
  </si>
  <si>
    <t>4596d386-69da-454d-9d57-1a3ecc03ac5b</t>
  </si>
  <si>
    <t>ddedef0a-7dd1-4249-835b-5e50f49ff792</t>
  </si>
  <si>
    <t>4350.07</t>
  </si>
  <si>
    <t>203c77e4-22ab-4ba5-8e21-17a361c28a6c</t>
  </si>
  <si>
    <t>51e8f173-f795-49b0-8e52-d6cfa8bbc774</t>
  </si>
  <si>
    <t>f055e65a-d4ee-424a-8e6a-ccf0a966085e</t>
  </si>
  <si>
    <t>06ea6433-87ae-43db-8206-bcbb22cf9a89</t>
  </si>
  <si>
    <t>5975f85b-0ab3-4fa7-b809-862b6c1c2b22</t>
  </si>
  <si>
    <t>ad812bfa-99b4-45eb-91bf-e78f1dbf9b21</t>
  </si>
  <si>
    <t>5e55d144-0002-4cbe-b42b-5e24286b2fe4</t>
  </si>
  <si>
    <t>8ecfeee2-4b6b-4b55-8c5e-902f8e83b0c2</t>
  </si>
  <si>
    <t>8b5b8e4d-82e2-4f4b-b46a-a7832229ec93</t>
  </si>
  <si>
    <t>dd2d405d-95fa-48cf-b462-f98775d460ec</t>
  </si>
  <si>
    <t>170d59d3-aea9-44d6-b3ea-bb3fb3e83e55</t>
  </si>
  <si>
    <t>384c5824-52a4-49c6-bfbe-7887cbfc33e7</t>
  </si>
  <si>
    <t>3e6f6ef6-431f-4fd4-ad02-5d2fffa2bffa</t>
  </si>
  <si>
    <t>d5997d2e-3e60-472a-b98f-771f0ff71bca</t>
  </si>
  <si>
    <t>28c18185-5762-43a7-8d32-0dd0120062a6</t>
  </si>
  <si>
    <t>e699ee2d-bfc5-43c4-b0cc-fb4977c98830</t>
  </si>
  <si>
    <t>940cfaf7-1afd-4540-8a02-1a5921c4bdd0</t>
  </si>
  <si>
    <t>cbc65604-e3b5-4ac1-bbbd-5c91aa85f143</t>
  </si>
  <si>
    <t>d2851bab-9445-4f58-91d6-464d091d643d</t>
  </si>
  <si>
    <t>0ce188a4-1871-4eda-a6cb-1b1c053a6a9b</t>
  </si>
  <si>
    <t>d500404a-0cf4-4cf1-8433-e940ab6a503f</t>
  </si>
  <si>
    <t>2e95c1ad-04dc-4a96-8c9a-94298925018d</t>
  </si>
  <si>
    <t>a1059082-a8a7-4e3f-b47d-3259114bda44</t>
  </si>
  <si>
    <t>0d6fdce7-ad15-4da1-91ff-55fb24c1ec15</t>
  </si>
  <si>
    <t>02935ef9-ff32-41c5-b775-729154a70bd2</t>
  </si>
  <si>
    <t>1fc7329d-e0c7-40bf-bc9b-75cb8db1c829</t>
  </si>
  <si>
    <t>8865739c-f3c2-46f6-b218-7e62b1f85eb9</t>
  </si>
  <si>
    <t>ddef5e78-884e-4302-92c4-48572a378920</t>
  </si>
  <si>
    <t>fa6902f6-3f9c-44ee-bccc-ff2f99efd97b</t>
  </si>
  <si>
    <t>9c779d09-2b9f-411b-9014-64c2a26caaf5</t>
  </si>
  <si>
    <t>7d707178-b944-47b7-9d31-0957d0c438d4</t>
  </si>
  <si>
    <t>547569ef-50dd-4020-8194-3bec54dcf70e</t>
  </si>
  <si>
    <t>ba4039b0-d1e7-42ed-ba02-84c6dcf0e7b0</t>
  </si>
  <si>
    <t>dc566e52-a2c1-4aea-9bda-644a786d1023</t>
  </si>
  <si>
    <t>4c60085e-90ac-49b3-8858-d90eec13267a</t>
  </si>
  <si>
    <t>9dc47200-2826-4207-a927-3815ab0d3dbe</t>
  </si>
  <si>
    <t>1b3e0fa9-1417-4f7e-acdf-2d61e8e4e42b</t>
  </si>
  <si>
    <t>1ac125a2-afbe-4ec5-b3f9-6d82548484c7</t>
  </si>
  <si>
    <t>f681c869-67a3-442b-bb9f-a6c385d5e430</t>
  </si>
  <si>
    <t>a597523c-547b-44c1-9afd-f1830a2eaca2</t>
  </si>
  <si>
    <t>fcc2da6b-78d6-41ab-b107-e719ea51993c</t>
  </si>
  <si>
    <t>69683c5f-d3fa-49d0-a13e-de6e9a5d5462</t>
  </si>
  <si>
    <t>74181b15-d9d6-42f4-bfdb-72df71a69946</t>
  </si>
  <si>
    <t>458a6961-0385-42c2-9e7c-f439d69553e0</t>
  </si>
  <si>
    <t>dd441595-bc09-47be-8f30-2daa594a1635</t>
  </si>
  <si>
    <t>88cfa0bf-b886-448e-869b-bfb562190732</t>
  </si>
  <si>
    <t>22bf65a3-ca7e-4156-95c7-45766319deb9</t>
  </si>
  <si>
    <t>8a11c49a-ebb3-4c2d-841b-3dd5c263d467</t>
  </si>
  <si>
    <t>c1aa8fb2-b506-4116-b87e-af7d1f8d002d</t>
  </si>
  <si>
    <t>16b2e1a7-f332-4604-809f-b2a1b8371bad</t>
  </si>
  <si>
    <t>92515c8c-c222-4782-af57-1bbcafead53d</t>
  </si>
  <si>
    <t>adcf8a69-8c95-4814-a4bc-635bce2a7074</t>
  </si>
  <si>
    <t>d19075e8-4b40-4761-bb23-4b27e9e0188e</t>
  </si>
  <si>
    <t>61725dd5-f93e-4faf-9364-96973e9b9f9d</t>
  </si>
  <si>
    <t>19b45e96-0625-4968-b31b-a0d5ea88283f</t>
  </si>
  <si>
    <t>a1743884-938b-4865-8a80-4ee4b48295ad</t>
  </si>
  <si>
    <t>43e66386-b41b-4024-aebd-46ac5c523a16</t>
  </si>
  <si>
    <t>e0f735be-7cf9-46f6-a5e6-52ce9dcd5c5b</t>
  </si>
  <si>
    <t>2894716d-872b-40be-8609-94a0c5525f24</t>
  </si>
  <si>
    <t>818b9472-0853-4ba3-bd56-294915a6175b</t>
  </si>
  <si>
    <t>e5bccdee-dc99-4868-848b-a3d5a807fb98</t>
  </si>
  <si>
    <t>817e4e9c-2ecd-47c4-90a4-e01e6295b405</t>
  </si>
  <si>
    <t>f5bd3162-80fe-4cd2-8040-e5107c4c7791</t>
  </si>
  <si>
    <t>d47c6d7c-b972-4a46-8747-de1e84db9efd</t>
  </si>
  <si>
    <t>e830b9ed-e90d-467d-9114-69eb3823f4c3</t>
  </si>
  <si>
    <t>54646a60-53b0-492d-8902-9268674e59f7</t>
  </si>
  <si>
    <t>79f30bb5-993c-47c0-91ca-ac506443f62d</t>
  </si>
  <si>
    <t>ccbf2e16-010a-47a6-8f81-07d7fbf7cb82</t>
  </si>
  <si>
    <t>a9ed6912-6307-4b7b-b86d-de00cb9b90c5</t>
  </si>
  <si>
    <t>d3f63d16-363e-48a2-abe9-af348b962305</t>
  </si>
  <si>
    <t>db39b1a0-2500-4d0f-89d6-c11c2165568f</t>
  </si>
  <si>
    <t>24f67a95-9466-4967-8f13-290c3fb0cd20</t>
  </si>
  <si>
    <t>e5ac5271-b2ff-4f01-99f0-c6928d21f773</t>
  </si>
  <si>
    <t>cb3e162e-c36d-46e2-b722-cadf4be95cd7</t>
  </si>
  <si>
    <t>f7b7696f-78c1-4ed9-822e-3a6ca0d7bbd0</t>
  </si>
  <si>
    <t>5dff82f5-122c-474b-b28d-dfb0916fc44e</t>
  </si>
  <si>
    <t>1200.22</t>
  </si>
  <si>
    <t>0681f2d0-e922-44b1-84fb-25a72ad5a95f</t>
  </si>
  <si>
    <t>978542e6-fdb4-42b9-9198-446cf0b56b06</t>
  </si>
  <si>
    <t>23a4c0d1-e0cd-4769-bc09-08ea55184622</t>
  </si>
  <si>
    <t>bb616d7e-3da6-4c64-adc5-24f38fb8dabf</t>
  </si>
  <si>
    <t>f59ee2e0-f6dc-4964-8a8b-7581d5c7eef9</t>
  </si>
  <si>
    <t>9fdd55d6-212c-42ba-9e8a-c671bfe322a1</t>
  </si>
  <si>
    <t>72866fa6-69d2-4950-a9d8-35f076cb197c</t>
  </si>
  <si>
    <t>bb6e0962-387a-4751-b9b5-5065412c5f26</t>
  </si>
  <si>
    <t>40e3680e-586d-4a1f-94ab-07f1e73d73e8</t>
  </si>
  <si>
    <t>c957b30c-a824-4046-911a-ad6242206c99</t>
  </si>
  <si>
    <t>4ed92bb4-638e-4bcf-b9ab-3d5fa7a9467d</t>
  </si>
  <si>
    <t>2d3c0bfe-7c8a-44b9-b303-d7c8c3d3afb0</t>
  </si>
  <si>
    <t>f12cf219-ba2e-42e3-9e8f-f690b06c0505</t>
  </si>
  <si>
    <t>0e628fe5-cf4d-4559-989a-380f43f3edc0</t>
  </si>
  <si>
    <t>16f911f3-e263-46f7-be35-d639e21a0d57</t>
  </si>
  <si>
    <t>61c85675-5e29-4802-bb9e-b50f3d237e56</t>
  </si>
  <si>
    <t>249d3e23-38e6-454f-b754-b7a515b306a9</t>
  </si>
  <si>
    <t>ffd7b39b-9893-477c-826b-66d24dc0d79c</t>
  </si>
  <si>
    <t>ae640d96-22de-4135-bd18-cc264d8ed3e5</t>
  </si>
  <si>
    <t>cbffee5f-b7ac-484e-b309-69e292c4d203</t>
  </si>
  <si>
    <t>efdd078a-bc2f-4e9a-8ab2-ed32faf3575f</t>
  </si>
  <si>
    <t>7eeb2524-d9d9-470b-9ab0-2852bbe6b226</t>
  </si>
  <si>
    <t>1e5ccdab-70c6-4bc7-ae24-36e1a8a0f628</t>
  </si>
  <si>
    <t>df4e62bc-f9e7-40a2-a810-fb84b34d061d</t>
  </si>
  <si>
    <t>c65d8653-002f-48a5-b695-f72b9362e30f</t>
  </si>
  <si>
    <t>9e949846-6ae4-473b-b355-af670c92edac</t>
  </si>
  <si>
    <t>08f9bfbc-17a4-477a-8934-fa78658055a2</t>
  </si>
  <si>
    <t>7b1c84df-11e5-4674-b131-4597b7c355b8</t>
  </si>
  <si>
    <t>3c8d5e7d-54c3-4e3f-bcde-6ea49ba03c50</t>
  </si>
  <si>
    <t>355798f3-6cd6-4a66-af29-6b94edcf3390</t>
  </si>
  <si>
    <t>5897.46</t>
  </si>
  <si>
    <t>579afa9d-0e02-4034-9add-569dbb431443</t>
  </si>
  <si>
    <t>651ec152-b163-4320-9229-803f9318c9df</t>
  </si>
  <si>
    <t>10dd86b7-c798-4202-a87f-0ac91c18f5f9</t>
  </si>
  <si>
    <t>bccff6a0-9cca-4fcf-af1b-be3eb6bb94aa</t>
  </si>
  <si>
    <t>40162953-6c84-421a-a9ab-1d0136df5f90</t>
  </si>
  <si>
    <t>affc2f03-b0e1-478e-a768-b5e3fb81d390</t>
  </si>
  <si>
    <t>2ec4ead6-bbc2-41bc-be5b-55da0fe6a889</t>
  </si>
  <si>
    <t>b7b60a43-b943-4357-aaff-e4301cb5b563</t>
  </si>
  <si>
    <t>8c10b78e-bc1d-4425-a975-c6d9d6baa48d</t>
  </si>
  <si>
    <t>4f789472-0570-49b2-8711-207eb865e6ea</t>
  </si>
  <si>
    <t>f705db10-0b39-40b4-b0a5-a703c4b11b39</t>
  </si>
  <si>
    <t>128e819c-53f2-4465-81c5-521e21e99e9f</t>
  </si>
  <si>
    <t>110ddc4d-126a-4f47-8200-567f40b99a03</t>
  </si>
  <si>
    <t>096e4f81-49c4-4c00-ab9d-8abf48ef69ff</t>
  </si>
  <si>
    <t>d346a751-0681-4604-b469-d554370c8cf2</t>
  </si>
  <si>
    <t>3fbc97a4-5234-4607-8303-2c1c8d520e9c</t>
  </si>
  <si>
    <t>1eb4732d-ecc0-40a2-aaa7-2d2410d0a063</t>
  </si>
  <si>
    <t>0a66c308-e330-46cc-952b-c484376a284d</t>
  </si>
  <si>
    <t>519b461b-3d97-4769-a2ed-2ad33c2483c8</t>
  </si>
  <si>
    <t>7294.9</t>
  </si>
  <si>
    <t>64b579d8-0e86-4bd8-af2d-8dd425dd8ea7</t>
  </si>
  <si>
    <t>72c91da2-1a4b-407f-98e5-36d8a810aed3</t>
  </si>
  <si>
    <t>9a73e01c-5f1b-4e87-8acb-cd6c1de9abb9</t>
  </si>
  <si>
    <t>d326af71-2457-4b1b-b8c5-1a73650e09de</t>
  </si>
  <si>
    <t>a892459e-a1e2-41a8-b676-0c809f441731</t>
  </si>
  <si>
    <t>e5fefd70-c093-4ae8-8a14-212c18d00500</t>
  </si>
  <si>
    <t>9b1cf0a9-30c1-42d7-b35d-51be1e314a10</t>
  </si>
  <si>
    <t>26fb2d81-f175-4445-b120-ad88c63931a7</t>
  </si>
  <si>
    <t>447f5d6f-48ce-4357-a4a8-e664de482db0</t>
  </si>
  <si>
    <t>310cc424-859d-4f55-a4c4-7f48e2ca28ce</t>
  </si>
  <si>
    <t>898fbca3-4086-476e-b2eb-e33082cb088c</t>
  </si>
  <si>
    <t>9041af7f-48de-4098-965b-4d9662e20ddf</t>
  </si>
  <si>
    <t>0d2d57dd-62df-4451-9748-6441f5f029ce</t>
  </si>
  <si>
    <t>ecbbd872-cbab-4753-a4bd-7c0936d8b431</t>
  </si>
  <si>
    <t>dc3f4018-cb4d-4c97-9281-00970f1827cf</t>
  </si>
  <si>
    <t>fd1fc91c-cf33-4423-a707-feb9efd43264</t>
  </si>
  <si>
    <t>fd9ab706-f4bd-4ff9-8eb6-d3ad466f2624</t>
  </si>
  <si>
    <t>8d490798-98f7-4711-a825-203e0c139b2b</t>
  </si>
  <si>
    <t>bbf3d123-c298-4247-a912-32c7b1670414</t>
  </si>
  <si>
    <t>44061a3f-9df4-4d08-8c53-391b8784ff04</t>
  </si>
  <si>
    <t>f83e4241-6b91-4679-b3b3-99c5c95ed8a1</t>
  </si>
  <si>
    <t>a73296d2-697c-44a3-af36-c6967dc802bf</t>
  </si>
  <si>
    <t>0554b364-ba94-4000-9580-c1bc08d19ce2</t>
  </si>
  <si>
    <t>1a93fb58-4aeb-471e-9f83-e572bbe7dce3</t>
  </si>
  <si>
    <t>6bd5ad0d-744a-4d76-9be3-ac90ddab1990</t>
  </si>
  <si>
    <t>3ef16520-0d24-4691-bc06-96234d187101</t>
  </si>
  <si>
    <t>eafde384-f4ca-423b-95e1-31ed5e355383</t>
  </si>
  <si>
    <t>355afbec-fd6b-486b-9c72-f6807a573e66</t>
  </si>
  <si>
    <t>a2d0546a-7af8-40f1-88aa-8a4c388c0e04</t>
  </si>
  <si>
    <t>bbac5b61-bce9-4684-820b-f3aee055c094</t>
  </si>
  <si>
    <t>68eb8c38-bfa0-4343-93bc-c24b49fc038a</t>
  </si>
  <si>
    <t>ac00ea8f-1a76-47ff-8426-7a4ae9fbb377</t>
  </si>
  <si>
    <t>af03278c-fe1f-44f9-86e6-1fb61ee76680</t>
  </si>
  <si>
    <t>3fc1ab36-3123-4f62-a713-60f3169a850e</t>
  </si>
  <si>
    <t>0384acf0-acee-467a-a9e7-a4ee24925109</t>
  </si>
  <si>
    <t>78e45bab-3c3d-46d2-b6e8-059e8f545914</t>
  </si>
  <si>
    <t>2b385c7e-c44f-4331-9a79-50dd27572dab</t>
  </si>
  <si>
    <t>0a7ee26b-7ed7-4b73-a663-3f2d2a14b922</t>
  </si>
  <si>
    <t>4add4fea-6e58-4f6c-81ed-abd4eddceba8</t>
  </si>
  <si>
    <t>176fd5c4-fe70-42b1-a277-88716b3ed147</t>
  </si>
  <si>
    <t>3abddaaf-3996-4467-8b3f-dab257124312</t>
  </si>
  <si>
    <t>8d445fd4-3ea3-45e1-ad0d-e0e81b153eec</t>
  </si>
  <si>
    <t>7f19eb7a-e1ca-47b0-9b2c-a23beb0d52fe</t>
  </si>
  <si>
    <t>0c52403f-5292-45e7-9747-dd58b9c87511</t>
  </si>
  <si>
    <t>dd14c2c6-0a34-49e1-a7a9-fb693fc080e8</t>
  </si>
  <si>
    <t>0fee203f-e591-47d6-8192-f1cd38606582</t>
  </si>
  <si>
    <t>4e72c027-04f6-41a1-bfe9-c0a6dba003ab</t>
  </si>
  <si>
    <t>40676b71-49c2-49b3-8e35-cc0804059637</t>
  </si>
  <si>
    <t>0ded5178-f4f4-4cbf-bb80-802afd87ca46</t>
  </si>
  <si>
    <t>34cc318f-cfea-4825-a99b-f0c213380d86</t>
  </si>
  <si>
    <t>6c9616e8-a6da-4cc0-81b9-1ec9ac619d0b</t>
  </si>
  <si>
    <t>f67fd2fc-fce5-4043-a31a-afd690a94c83</t>
  </si>
  <si>
    <t>b12df7ea-a387-439d-805d-285b78ad5616</t>
  </si>
  <si>
    <t>5864b1fb-fbfd-472c-9e4e-034a9ae00741</t>
  </si>
  <si>
    <t>a56c3736-0690-4812-8ca0-810b9f793117</t>
  </si>
  <si>
    <t>63962002-30a4-4c4f-ae43-8d74439dec41</t>
  </si>
  <si>
    <t>061e2257-96ae-4e69-a4fc-448e5f6f8095</t>
  </si>
  <si>
    <t>370aa4be-5087-4509-bb08-447e419d21d5</t>
  </si>
  <si>
    <t>026fa9bd-5762-40f6-88ff-9d79724f1c6c</t>
  </si>
  <si>
    <t>77c6bfcb-ad4f-49d9-95f3-ba4dc0631696</t>
  </si>
  <si>
    <t>76fdd62b-777c-4d2e-8add-7b1ffa15de5b</t>
  </si>
  <si>
    <t>c4683fe1-4197-4843-80b6-aad2f17ab412</t>
  </si>
  <si>
    <t>e9f56ff7-8ef1-4d2b-9e4a-35517b60af57</t>
  </si>
  <si>
    <t>7044d24f-1660-418d-b20a-887c3132d6c1</t>
  </si>
  <si>
    <t>76579607-ddd3-4cbf-a41e-2babf00b6818</t>
  </si>
  <si>
    <t>c4ac5f68-c393-49ca-9982-ae6ae9ace23f</t>
  </si>
  <si>
    <t>baa9a94b-8f0e-43c2-99b7-f909b65b5ed3</t>
  </si>
  <si>
    <t>8a07bf81-979e-4266-acfc-59f9818b6f12</t>
  </si>
  <si>
    <t>16b169e6-15a1-4e65-9178-2357fe4e022f</t>
  </si>
  <si>
    <t>0b97e22e-72ea-4ad6-a8ca-b5759f876634</t>
  </si>
  <si>
    <t>0623dd11-fc5b-4aca-b091-b72a1b097249</t>
  </si>
  <si>
    <t>d5be9407-403f-4e43-b37e-58348253c51c</t>
  </si>
  <si>
    <t>0a7a23c1-ccae-49b9-97fb-4c5b53ae4496</t>
  </si>
  <si>
    <t>029b0a57-e206-4b86-af34-45d1fc4061ff</t>
  </si>
  <si>
    <t>6ee082f2-7eb7-49df-b238-0f7a7976306f</t>
  </si>
  <si>
    <t>5c9a3da1-7416-4917-af1c-d68ce36db710</t>
  </si>
  <si>
    <t>5baa638d-0e14-4eb5-9d1c-8209418c4ffc</t>
  </si>
  <si>
    <t>59abe991-7c82-4a91-a2ed-639c1c1c32b8</t>
  </si>
  <si>
    <t>a687dad0-e874-4f99-aad3-20e3b4099c76</t>
  </si>
  <si>
    <t>74d515b8-9aaf-4287-a54b-89627df09410</t>
  </si>
  <si>
    <t>536fa55d-1201-47a2-9c0c-114b4158c47c</t>
  </si>
  <si>
    <t>e17cddef-fea1-4572-bdd1-07cf2695b113</t>
  </si>
  <si>
    <t>f0421e0c-120d-4fe8-ac4c-b5b7214ebef1</t>
  </si>
  <si>
    <t>f2b4e3a9-2316-4728-a0e7-4f57d4dd9984</t>
  </si>
  <si>
    <t>7e6fe3c7-bd3a-40cb-b6b8-bff63b757eea</t>
  </si>
  <si>
    <t>da3ce41d-8c1e-47f7-b550-56dc6cd606ed</t>
  </si>
  <si>
    <t>2989298c-deaa-411b-af0b-d3717cb6c682</t>
  </si>
  <si>
    <t>04ddf591-f787-4f3f-b607-573023a77448</t>
  </si>
  <si>
    <t>ecb829fb-91cc-4d8b-ac6f-85c419ab5ee1</t>
  </si>
  <si>
    <t>43ed4907-a8c6-4051-9495-1be24630ca19</t>
  </si>
  <si>
    <t>0ac9ed0a-ac06-4115-8c87-55e92e1adb2e</t>
  </si>
  <si>
    <t>9ba6b783-3d3d-48f6-93a3-17f6e6aee712</t>
  </si>
  <si>
    <t>ff943ed8-72af-4a17-b965-5292c1c00e98</t>
  </si>
  <si>
    <t>eeafb1b9-4fdb-4f47-a7a5-9b990fed7a7c</t>
  </si>
  <si>
    <t>a53bcd52-63db-4d8a-ba1e-533c54dcac35</t>
  </si>
  <si>
    <t>5ab9a094-2474-47ef-965f-c5e528d43172</t>
  </si>
  <si>
    <t>b612b75c-0d41-4e11-93b1-c882689204e1</t>
  </si>
  <si>
    <t>6663b7f0-17cd-40b6-9c91-af8a6389c90e</t>
  </si>
  <si>
    <t>d6ab6277-29a6-4d51-8522-e8770e158a41</t>
  </si>
  <si>
    <t>469cd62b-c853-4e2b-a1a6-a36a56f7517a</t>
  </si>
  <si>
    <t>f2af505f-d405-4549-9e3d-15c007adc640</t>
  </si>
  <si>
    <t>c5a41adb-d889-41a5-9598-c3933f60bb59</t>
  </si>
  <si>
    <t>300251d5-d686-4ee8-b2da-d56b3ee4be05</t>
  </si>
  <si>
    <t>e42edfea-bc78-4871-844e-1fb1f8e333c8</t>
  </si>
  <si>
    <t>1c6b143d-9e3b-4b27-ad04-30acf4ef829f</t>
  </si>
  <si>
    <t>1e493338-3d87-4ba8-9740-9d5cedcd799e</t>
  </si>
  <si>
    <t>67134dca-3c56-4b59-bda2-7a36a3116d60</t>
  </si>
  <si>
    <t>19261e1c-4587-4628-bb2b-8e93957ab573</t>
  </si>
  <si>
    <t>6566e215-22e3-4cd7-900f-59f12c6e63cb</t>
  </si>
  <si>
    <t>c0e14371-9c13-4f69-8dec-3cc81e37e72e</t>
  </si>
  <si>
    <t>19ab1346-3495-4d5c-ae33-673b57cefd7f</t>
  </si>
  <si>
    <t>716ff374-90b7-40d2-9695-eadec2d6f303</t>
  </si>
  <si>
    <t>a48b92c7-85dd-4db3-9ddc-ed5bd082ee31</t>
  </si>
  <si>
    <t>ab56a437-90bb-4e43-bde0-616fd8074211</t>
  </si>
  <si>
    <t>3d36f06d-c251-4382-afd0-359ac33e5c18</t>
  </si>
  <si>
    <t>3655947f-b684-44aa-b835-8a13c7cb4b53</t>
  </si>
  <si>
    <t>c646a012-f839-41b7-a89f-6952ad73422b</t>
  </si>
  <si>
    <t>cd264610-6b1d-4ff2-b879-0c7b87c5a306</t>
  </si>
  <si>
    <t>44a91d0b-6269-47e5-adab-dd9e9e76c6b2</t>
  </si>
  <si>
    <t>de30aac4-fb21-492e-a96e-3227bf008c28</t>
  </si>
  <si>
    <t>d693c99b-1764-46b6-a20b-8ebd4fcd2461</t>
  </si>
  <si>
    <t>a9724143-58bd-4ce2-80ef-da063b2f7307</t>
  </si>
  <si>
    <t>75022fae-cab5-4342-8526-4c951821f4a4</t>
  </si>
  <si>
    <t>a2179476-a1b4-496d-ae81-0a7d1885affd</t>
  </si>
  <si>
    <t>f79d1d6c-e591-48e7-8891-52b52e1c37e0</t>
  </si>
  <si>
    <t>89cbb810-105f-437e-8724-40aa66d3505f</t>
  </si>
  <si>
    <t>8331d218-29da-4557-8946-87c88050a17f</t>
  </si>
  <si>
    <t>56154aa1-3bd3-44f6-873e-13d7beb9bd52</t>
  </si>
  <si>
    <t>55a0404f-a952-4488-86c4-cf033f01dc77</t>
  </si>
  <si>
    <t>a80d3a46-ac61-4445-8cf6-bca5ca0d6500</t>
  </si>
  <si>
    <t>58ca065b-2c5c-4a6f-9fd3-36150a77e58e</t>
  </si>
  <si>
    <t>12a520f3-74a6-479b-9e02-8e909fa9ffb6</t>
  </si>
  <si>
    <t>392230b9-ffa2-41a3-b8f1-7728c147bfbd</t>
  </si>
  <si>
    <t>fbdc860c-1efa-47d0-8214-dce2190344e9</t>
  </si>
  <si>
    <t>2c783d57-cc52-4e63-a4c4-bbb5ecf39d0b</t>
  </si>
  <si>
    <t>77f99fe7-bb20-4ecf-bddb-6fe73f1f9638</t>
  </si>
  <si>
    <t>e97de860-4392-4897-9363-c70e8aee84e0</t>
  </si>
  <si>
    <t>ae308879-9c50-4668-8cdf-dd6aa19a54ac</t>
  </si>
  <si>
    <t>7a2a13f4-538c-4f93-b67c-b6de1d4b10da</t>
  </si>
  <si>
    <t>7f657122-db1e-46da-b62d-e8b4c4213ad1</t>
  </si>
  <si>
    <t>84677a3b-ad65-4de7-a199-4ff582929ec3</t>
  </si>
  <si>
    <t>3227acc3-a1df-4961-a053-408038ef710e</t>
  </si>
  <si>
    <t>bca4b5ef-d743-432f-92cf-517734373d45</t>
  </si>
  <si>
    <t>af5fd349-9004-470c-bd6f-9a73714869ae</t>
  </si>
  <si>
    <t>ede486cc-be1d-4f67-972c-41882055404e</t>
  </si>
  <si>
    <t>2a80bdd6-1460-4f4f-bd33-77b3bf016d2d</t>
  </si>
  <si>
    <t>56b41b31-9051-4c1d-87ad-28ce2f1787e8</t>
  </si>
  <si>
    <t>7184b2f2-d192-4fc1-b975-c3f115026a27</t>
  </si>
  <si>
    <t>cd286189-5ba6-4499-bd95-d83b4815a743</t>
  </si>
  <si>
    <t>99f65ec6-33d9-491c-b51e-940ac0c466c1</t>
  </si>
  <si>
    <t>03a578e6-c4e9-4b14-9525-aee938867f8b</t>
  </si>
  <si>
    <t>0afd55f7-14b3-4bf5-a022-b5462ae27252</t>
  </si>
  <si>
    <t>34a9d018-3766-49ac-9dfa-b2c4af44ef48</t>
  </si>
  <si>
    <t>18e53c3c-cae2-4846-a89d-0f89ac51e540</t>
  </si>
  <si>
    <t>03572901-dd60-46a8-ab0f-c7b6fdbe8d73</t>
  </si>
  <si>
    <t>15b43277-590e-411a-8eb3-fa184290147c</t>
  </si>
  <si>
    <t>bb01b8f5-f19a-439b-95b2-b6ab0a6b877b</t>
  </si>
  <si>
    <t>2ea1ee77-2385-4c5f-82d1-e2c1b7b900a2</t>
  </si>
  <si>
    <t>21e0f00b-d801-440f-b5a0-1cfe6c1ad33b</t>
  </si>
  <si>
    <t>b9a1b9d0-c35f-4ac3-a78f-7003a6d5fcff</t>
  </si>
  <si>
    <t>b9abcd75-a5f2-48f6-9a3c-93fe9a6d2d6f</t>
  </si>
  <si>
    <t>fb108c0f-5c51-4988-b6e0-cc207d830c73</t>
  </si>
  <si>
    <t>081ba728-cf8e-4f50-ba2a-1aab1a4dc3fc</t>
  </si>
  <si>
    <t>bc3ed73f-8989-4850-9500-eb94ddb39e2f</t>
  </si>
  <si>
    <t>885403e8-d3e4-4ac1-bbfc-620c3a793100</t>
  </si>
  <si>
    <t>1b0a8f49-8d3a-4015-ad8d-eaec16a02147</t>
  </si>
  <si>
    <t>b26d2857-1a79-4025-ab5c-af76e465995a</t>
  </si>
  <si>
    <t>818f416b-728f-4453-a285-d681f34178dd</t>
  </si>
  <si>
    <t>745d6bbf-bb61-4831-a247-9bcca8026830</t>
  </si>
  <si>
    <t>4785e82d-f0eb-402f-96d6-aa92133fcbd8</t>
  </si>
  <si>
    <t>585a6c36-0301-415a-8a87-00af529a125a</t>
  </si>
  <si>
    <t>2c135d25-8f49-4e59-a771-899504071219</t>
  </si>
  <si>
    <t>d9e7f3cc-c418-4df6-9090-1c459b932ac3</t>
  </si>
  <si>
    <t>4f56de2d-2b00-49a5-98ac-be67423bd817</t>
  </si>
  <si>
    <t>7358ee15-5025-420d-9308-3cfa36f08c8d</t>
  </si>
  <si>
    <t>09e5de7b-3c48-406d-9028-889dce2f2a86</t>
  </si>
  <si>
    <t>73322a45-c3ff-4539-942a-f5cac7d035bd</t>
  </si>
  <si>
    <t>418f5c36-5848-4fa8-ad44-17ff34683d5e</t>
  </si>
  <si>
    <t>616740d8-8e3d-44fc-93ed-4785d0c07f33</t>
  </si>
  <si>
    <t>561bfed2-ad7f-4ebd-ab07-5a926a28bd71</t>
  </si>
  <si>
    <t>0971125b-a104-4f52-bccd-436e25e4e109</t>
  </si>
  <si>
    <t>1f16e893-9905-4dc1-a69f-d605bb3c511c</t>
  </si>
  <si>
    <t>c4d75f9b-6492-4d07-863e-dbb919911125</t>
  </si>
  <si>
    <t>7cf52263-8755-4820-b185-f0b954499ca8</t>
  </si>
  <si>
    <t>a6f1136a-9287-4586-bf1d-62fc72edae3d</t>
  </si>
  <si>
    <t>2d74b23a-1e55-45cc-b1d2-c41dff94a7d2</t>
  </si>
  <si>
    <t>65b1a551-5e3a-4fe1-a177-8ee8fd00690e</t>
  </si>
  <si>
    <t>c57fd24f-8fcb-4dd6-8930-b48a091805ee</t>
  </si>
  <si>
    <t>f29bf23a-b3bc-4028-8565-773f98a25c50</t>
  </si>
  <si>
    <t>7b69a7de-8ca6-4db4-8fb3-699532e8d87f</t>
  </si>
  <si>
    <t>76f4ee32-ece2-415d-b178-54fc624d6e7a</t>
  </si>
  <si>
    <t>41c5b258-d101-44ff-bd28-f1d814a7ad6a</t>
  </si>
  <si>
    <t>600a0d05-ef8c-4c61-b1e3-ff3d52ab7921</t>
  </si>
  <si>
    <t>ba375013-5b42-4eac-b7d2-0c5b1213fec8</t>
  </si>
  <si>
    <t>4779b658-a4c8-4b63-94f9-08aa7ec3b05c</t>
  </si>
  <si>
    <t>bfa57840-efb7-47df-a1f5-a3d29c601e66</t>
  </si>
  <si>
    <t>bbc60cc6-9e47-4c04-b848-c81f9c857d7e</t>
  </si>
  <si>
    <t>947c3b72-39da-4c07-8a98-77e2b0c64c15</t>
  </si>
  <si>
    <t>40a8a80d-25a6-4fa5-ab09-b88496c0e57b</t>
  </si>
  <si>
    <t>5f8422ce-7981-4778-a707-36d3fa47429d</t>
  </si>
  <si>
    <t>e6b8d6d9-615d-40d3-a57c-0c16a23f04fc</t>
  </si>
  <si>
    <t>57bcb08e-554f-4b57-926a-d88ae85fa85c</t>
  </si>
  <si>
    <t>d00147ff-b878-4487-94d2-2c419a5fb99c</t>
  </si>
  <si>
    <t>31aca1d2-d8a7-4a0b-a481-bff18e4a7571</t>
  </si>
  <si>
    <t>459c6973-b034-4130-97e5-83ecfa112f1b</t>
  </si>
  <si>
    <t>600ed5dd-1f7d-4498-a539-bd2b54180d67</t>
  </si>
  <si>
    <t>8350a232-1afc-4809-b698-cbb3632df2f3</t>
  </si>
  <si>
    <t>d465dad9-bd1a-47b7-a28c-525583cb2a3b</t>
  </si>
  <si>
    <t>4d7a8171-8d31-44eb-9546-56dc19c439ed</t>
  </si>
  <si>
    <t>f24b7a76-e314-410f-81b3-bcb6865f56b2</t>
  </si>
  <si>
    <t>d98ad0a3-49e8-43a0-95eb-518b6a13c567</t>
  </si>
  <si>
    <t>d9c8381d-e82e-4950-b744-03e2b8994f53</t>
  </si>
  <si>
    <t>ce6d6e66-75ab-4f20-99a4-5f419180a691</t>
  </si>
  <si>
    <t>0eefb884-290a-44c0-af67-7686c91914d4</t>
  </si>
  <si>
    <t>950c8b82-aa38-43f3-a7ff-470caf88b23c</t>
  </si>
  <si>
    <t>20df3da7-a1e3-46f5-993f-4de76135a82e</t>
  </si>
  <si>
    <t>2461ab62-8ec1-4468-9424-48ee82a6f404</t>
  </si>
  <si>
    <t>cd54a09e-ba16-4671-b38a-97a1dcf0bb04</t>
  </si>
  <si>
    <t>e6a9eefa-92f2-46ff-b8bc-40261eca43e8</t>
  </si>
  <si>
    <t>d6f6e5c5-dab8-4088-b99f-4bc2ac99767d</t>
  </si>
  <si>
    <t>630c62d6-ce07-4ddd-b553-4c8ea3dec878</t>
  </si>
  <si>
    <t>13821.38</t>
  </si>
  <si>
    <t>7a9d0175-d3a3-4217-81f6-a423918622de</t>
  </si>
  <si>
    <t>2a01f921-645b-4605-a378-88f1598bf194</t>
  </si>
  <si>
    <t>42bf0807-b748-4ec4-8ada-e625a81d27e9</t>
  </si>
  <si>
    <t>43acad3a-a430-4e4e-98c4-0001a69f83c7</t>
  </si>
  <si>
    <t>80ef8a0b-6303-44a4-bd4d-7bc54a33d0a6</t>
  </si>
  <si>
    <t>d7929933-4c1e-4ca9-9d15-0e5ffe32a04d</t>
  </si>
  <si>
    <t>499ae31a-591a-4025-b6c6-3ecefa95d889</t>
  </si>
  <si>
    <t>45547bae-2a39-44a6-aff4-1b62e2066854</t>
  </si>
  <si>
    <t>3cf881d1-f26c-4210-89dc-944500a7e1d5</t>
  </si>
  <si>
    <t>0fdeb4a2-82c3-450f-84ab-527d71f7af78</t>
  </si>
  <si>
    <t>444219d7-f6b1-4e87-bb7f-eeee6ce87a73</t>
  </si>
  <si>
    <t>af027ff1-17ef-418e-a0b6-caac8f4c6ae6</t>
  </si>
  <si>
    <t>47535baa-dc61-4ede-bdb2-f698fed55335</t>
  </si>
  <si>
    <t>794fbf91-cef8-4d2e-9e12-6be223f1b4db</t>
  </si>
  <si>
    <t>d95f27c9-c990-4431-b7f7-01b5fb35eb71</t>
  </si>
  <si>
    <t>28c6a28f-65c9-40ea-9b6c-3f7f0280357c</t>
  </si>
  <si>
    <t>c246fbfd-af81-466f-b5c3-f3100c00aa10</t>
  </si>
  <si>
    <t>a6488a72-2f23-4b16-960c-c03ccf20502c</t>
  </si>
  <si>
    <t>645a8a35-ebca-4c15-930f-3f8e794adbf9</t>
  </si>
  <si>
    <t>7fcdc4c7-c0cc-489a-ae81-83d33b54fb55</t>
  </si>
  <si>
    <t>8d06de00-e395-45a1-a7b0-bd96389345c2</t>
  </si>
  <si>
    <t>d5e46b6e-9836-408f-9a5e-7e3426bd00e9</t>
  </si>
  <si>
    <t>ce09af50-c6fe-41e3-ab69-cf4b5ccf77b2</t>
  </si>
  <si>
    <t>37fc0bbe-4ef4-4f23-972f-a71a809f67d7</t>
  </si>
  <si>
    <t>78c883eb-21ea-443e-9c73-383226b4618f</t>
  </si>
  <si>
    <t>f5a97b7d-fcc1-433e-b66c-1adc36238def</t>
  </si>
  <si>
    <t>dfb51528-76e5-4756-8e8d-03c5e41c939f</t>
  </si>
  <si>
    <t>c18a3131-251f-41a2-95a0-9d137e460d2e</t>
  </si>
  <si>
    <t>6454e05b-f623-4902-82f3-29d1de97efaa</t>
  </si>
  <si>
    <t>9c2e09d3-6087-4d8a-b42a-c7bf70f4aea3</t>
  </si>
  <si>
    <t>46bd8d6d-0895-43d6-8d01-6a7bdaf3f631</t>
  </si>
  <si>
    <t>316f4072-2754-47f6-b510-86bb8065bb93</t>
  </si>
  <si>
    <t>cc6e6096-fc61-496a-b5e0-f1031a1ddf12</t>
  </si>
  <si>
    <t>911fe156-fb21-49ef-ba68-f4ddd3e1541b</t>
  </si>
  <si>
    <t>ff9fcb04-6002-444c-b623-71118e40bf15</t>
  </si>
  <si>
    <t>4ba8bf76-7503-4c37-b72a-bace93c6a7fd</t>
  </si>
  <si>
    <t>5dcc4710-47fd-4f38-8a84-6e9ba8231572</t>
  </si>
  <si>
    <t>646d930a-7ca6-4b47-9069-ddfc1aee0d4f</t>
  </si>
  <si>
    <t>1ba1dea7-3784-490f-8ffa-3e8e3152c858</t>
  </si>
  <si>
    <t>be17b21c-b94d-4a92-860d-d5053c2c2f62</t>
  </si>
  <si>
    <t>4fc11f45-38f7-42ca-b530-61066ac5baec</t>
  </si>
  <si>
    <t>6c961e6d-d2ae-4ca0-b7ef-846d3ead2149</t>
  </si>
  <si>
    <t>827dffe7-2f14-4f0c-b3dd-9ed66f9e0ef0</t>
  </si>
  <si>
    <t>ad0840aa-e306-410b-b61f-4a69019f14d1</t>
  </si>
  <si>
    <t>08b33518-d598-494a-a76d-85a918a9b8de</t>
  </si>
  <si>
    <t>a6de5741-6d69-475e-8a91-242e045a1de7</t>
  </si>
  <si>
    <t>e9e95088-f40c-4dad-b050-8a3795da95e5</t>
  </si>
  <si>
    <t>1fee146c-9c15-475c-b121-b6f0d5d732db</t>
  </si>
  <si>
    <t>3df148df-6627-4ee6-881d-db99a4f0a36b</t>
  </si>
  <si>
    <t>a6a3269f-ee08-48b5-888e-f606ea1135a1</t>
  </si>
  <si>
    <t>8297e1ce-9f88-4fe6-891b-3689d1e63f7d</t>
  </si>
  <si>
    <t>498bd7ba-1d91-4e79-9a31-7bee62e11aa1</t>
  </si>
  <si>
    <t>6d7d031f-fcca-4d08-9b14-d9b72fe17482</t>
  </si>
  <si>
    <t>b0948c7e-8aea-4d00-b638-25ae3e85bc95</t>
  </si>
  <si>
    <t>2cd33f58-bef9-44c6-be4b-59ef062f4e5f</t>
  </si>
  <si>
    <t>ab783922-e55b-4721-a351-2dfac1ecad23</t>
  </si>
  <si>
    <t>72a809db-cbd2-4b30-bc28-6d8eb250ca7e</t>
  </si>
  <si>
    <t>820edbdf-ba5c-4551-a5ee-c844bf3c59d1</t>
  </si>
  <si>
    <t>69c4204e-e4c2-4f67-923e-bbfd970becdf</t>
  </si>
  <si>
    <t>a0fc594c-ce0d-49b3-9b19-f697b1650479</t>
  </si>
  <si>
    <t>a072fe49-2a39-470a-903f-16cfcc04de48</t>
  </si>
  <si>
    <t>4305356c-cf99-49da-845f-b5e856850086</t>
  </si>
  <si>
    <t>0279de9f-b3e3-473b-86a8-4071edf856b2</t>
  </si>
  <si>
    <t>9c680c04-3b39-4e1c-aeeb-d6aae75d07ba</t>
  </si>
  <si>
    <t>96e01882-7228-4839-9d24-a1c9bf1b236d</t>
  </si>
  <si>
    <t>126685e1-2bff-403d-a5da-0c320da96e10</t>
  </si>
  <si>
    <t>6091a0a6-64e7-42a9-b33b-69edc6d16d1c</t>
  </si>
  <si>
    <t>c54c2d17-38c2-423b-add2-55793ebb5395</t>
  </si>
  <si>
    <t>3aa7b42c-5b99-4740-971f-7a9b4b2c5f7d</t>
  </si>
  <si>
    <t>27d70e7c-7914-426a-92a3-9e2b3fc7ee2d</t>
  </si>
  <si>
    <t>4fc4e25c-74eb-4ead-89cb-11842e9c8ef1</t>
  </si>
  <si>
    <t>bdeb0a1e-8cf4-4ead-98bd-ffcba14a9c51</t>
  </si>
  <si>
    <t>bfe985de-1795-415e-89a9-86859602dd85</t>
  </si>
  <si>
    <t>9b6a8373-1445-4c78-a89e-86d12309b2d8</t>
  </si>
  <si>
    <t>c51cd108-b7f4-4dc1-a73d-2d664787e005</t>
  </si>
  <si>
    <t>46252060-58f8-488d-a9a2-c599c1b382dd</t>
  </si>
  <si>
    <t>6e594a08-3076-48e1-b81a-b0a37f590eab</t>
  </si>
  <si>
    <t>7397bdb3-30ac-413f-99a7-fdec77b5e371</t>
  </si>
  <si>
    <t>5b51fc91-43ed-4009-9ae3-7df176a3a96f</t>
  </si>
  <si>
    <t>3be08388-ac54-4120-938b-8c291aef424e</t>
  </si>
  <si>
    <t>4cb29797-0699-4b9a-bb7b-c0935735bd86</t>
  </si>
  <si>
    <t>e0345105-47dc-4fd0-906f-10a05e4dc08d</t>
  </si>
  <si>
    <t>bc246caa-6524-4f3f-8c76-eed767f3e0fb</t>
  </si>
  <si>
    <t>286d9eb5-900d-4e72-9897-875daa81e11e</t>
  </si>
  <si>
    <t>245e46f1-7a34-44c8-924f-5a7f1ce055d4</t>
  </si>
  <si>
    <t>e5947af3-d754-4c9b-bade-d43685051ce0</t>
  </si>
  <si>
    <t>f127d898-682b-45c1-97fa-98e35327b337</t>
  </si>
  <si>
    <t>c12714be-5509-4dd2-ba6e-98041333fd44</t>
  </si>
  <si>
    <t>b92d4b0e-9f89-42f5-9cd6-3c3ae20d6327</t>
  </si>
  <si>
    <t>f955061b-4f08-48c5-bf45-4f5847efa431</t>
  </si>
  <si>
    <t>DISCLAIMER</t>
  </si>
  <si>
    <t>Demonstration Data Notice</t>
  </si>
  <si>
    <t>This workbook contains PURELY FICTITIOUS demonstration data. All company names, financial figures, account balances, revenue numbers, cost allocations, and any other data in this file are entirely made up for demonstration and training purposes only.
None of the financials are remotely accurate or based on any real company's actual financial data.</t>
  </si>
  <si>
    <t>Purpose</t>
  </si>
  <si>
    <t xml:space="preserve">This file demonstrates VBA macros, SQL queries, and Python scripts for demo purposes only. </t>
  </si>
  <si>
    <t>Created By: Connor Atlee     Questions: Connor.atlee@ipipeline.com</t>
  </si>
  <si>
    <t xml:space="preserve">Demo File With Included Code </t>
  </si>
  <si>
    <t>All Code From This File Is On The SharePoint Page</t>
  </si>
  <si>
    <t>Code Includes: SQL, Python, VBA</t>
  </si>
  <si>
    <t>Keystone BenefitTech, Inc.</t>
  </si>
  <si>
    <t>Last Updated: 2026-02-28</t>
  </si>
  <si>
    <t>Assumptions &amp; Driver Table</t>
  </si>
  <si>
    <t>DRIVER TABLE</t>
  </si>
  <si>
    <t>Driver Name</t>
  </si>
  <si>
    <t>Value</t>
  </si>
  <si>
    <t>Type</t>
  </si>
  <si>
    <t>Notes</t>
  </si>
  <si>
    <t>InsureSight Software Split - InsureSight</t>
  </si>
  <si>
    <t>Percentage</t>
  </si>
  <si>
    <t>22% stays on InsureSight (INTENTIONALLY stored as text for demo)</t>
  </si>
  <si>
    <t>InsureSight Software Split - Other</t>
  </si>
  <si>
    <t>78% allocated to iGO, DocFast, Content</t>
  </si>
  <si>
    <t>iGO Revenue Share %</t>
  </si>
  <si>
    <t>iGO share of total subscription + transaction revenue</t>
  </si>
  <si>
    <t>Affirm Revenue Share %</t>
  </si>
  <si>
    <t>Affirm share of total subscription + transaction revenue</t>
  </si>
  <si>
    <t>InsureSight Revenue Share %</t>
  </si>
  <si>
    <t>InsureSight share</t>
  </si>
  <si>
    <t>DocFast Revenue Share %</t>
  </si>
  <si>
    <t>DocFast share</t>
  </si>
  <si>
    <t>AWS Shared Pool %</t>
  </si>
  <si>
    <t>Percentage of AWS costs in shared pool</t>
  </si>
  <si>
    <t>AWS Direct %</t>
  </si>
  <si>
    <t>Percentage of AWS costs directly allocated</t>
  </si>
  <si>
    <t>Monthly Growth Rate Target</t>
  </si>
  <si>
    <t>Target 2% monthly revenue growth</t>
  </si>
  <si>
    <t>Q4 Seasonality Uplift</t>
  </si>
  <si>
    <t>5% Q4 revenue uplift</t>
  </si>
  <si>
    <t>D&amp;A Rate</t>
  </si>
  <si>
    <t>Depreciation &amp; amortization as % of revenue</t>
  </si>
  <si>
    <t>R&amp;D Capitalization Rate</t>
  </si>
  <si>
    <t>30% of R&amp;D capitalized</t>
  </si>
  <si>
    <t>Employee Cost Allocation Base</t>
  </si>
  <si>
    <t>Multiplier</t>
  </si>
  <si>
    <t>1.0x base for employee cost allocation</t>
  </si>
  <si>
    <t>Standard Overhead Rate</t>
  </si>
  <si>
    <t>Dollar</t>
  </si>
  <si>
    <t>Monthly overhead allocation per department</t>
  </si>
  <si>
    <t>ALLOCATION METHODOLOGY</t>
  </si>
  <si>
    <t>Allocation Methodology</t>
  </si>
  <si>
    <t>Revenue</t>
  </si>
  <si>
    <t>Revenue has been scrubbed and reclassified. Monthly journal entries in Intacct ensure revenue is properly allocated to product lines based on contractual terms and billing records.</t>
  </si>
  <si>
    <t>AWS costs are allocated by product line based on the AWS Allocation Tab. Shared AWS costs are distributed by compute share %. Non-AWS costs (employee, vendor) are allocated pro-rata based on subscription + transaction revenue share by product.</t>
  </si>
  <si>
    <t>All costs allocated based on percentage of subscription + transaction revenue by product line. No direct employee assignment — treated as shared infrastructure cost.</t>
  </si>
  <si>
    <t>Employee costs allocated by product lines assigned per management direction. Vendor costs tied to specific products. Remainder allocated pro-rata based on employee headcount by product.</t>
  </si>
  <si>
    <t>Vendor costs tied to specific products. InsureSight software costs split 22% to InsureSight and 78% allocated to iGO, DocFast, and Content based on user mix driver. Employee costs by assignment.</t>
  </si>
  <si>
    <t>Employee costs allocated by product assignment. Vendor costs tied to specific products. Remainder allocated pro-rata based on employee headcount.</t>
  </si>
  <si>
    <t>Pro Services</t>
  </si>
  <si>
    <t>Same pattern: employee assignment + vendor-tied + prorata remainder based on employee headcount allocation.</t>
  </si>
  <si>
    <t>Same pattern: employee assignment + vendor-tied + prorata remainder based on employee headcount allocation. Includes capitalized software development costs.</t>
  </si>
  <si>
    <t>Data Dictionary</t>
  </si>
  <si>
    <t>PRODUCTS</t>
  </si>
  <si>
    <t>Product Code</t>
  </si>
  <si>
    <t>Product Name</t>
  </si>
  <si>
    <t>Product Category</t>
  </si>
  <si>
    <t>Status</t>
  </si>
  <si>
    <t>PROD-001</t>
  </si>
  <si>
    <t>Subscription</t>
  </si>
  <si>
    <t>Active</t>
  </si>
  <si>
    <t>PROD-002</t>
  </si>
  <si>
    <t>PROD-003</t>
  </si>
  <si>
    <t>Mixed</t>
  </si>
  <si>
    <t>PROD-004</t>
  </si>
  <si>
    <t>Services</t>
  </si>
  <si>
    <t>DEPARTMENTS</t>
  </si>
  <si>
    <t>Department Code</t>
  </si>
  <si>
    <t>Department Name</t>
  </si>
  <si>
    <t>Cost Type</t>
  </si>
  <si>
    <t>DEPT-001</t>
  </si>
  <si>
    <t>Direct</t>
  </si>
  <si>
    <t>DEPT-002</t>
  </si>
  <si>
    <t>Indirect</t>
  </si>
  <si>
    <t>DEPT-003</t>
  </si>
  <si>
    <t>DEPT-004</t>
  </si>
  <si>
    <t>DEPT-005</t>
  </si>
  <si>
    <t>DEPT-006</t>
  </si>
  <si>
    <t>DEPT-007</t>
  </si>
  <si>
    <t>Overhead</t>
  </si>
  <si>
    <t>EXPENSE CATEGORIES</t>
  </si>
  <si>
    <t>Category Code</t>
  </si>
  <si>
    <t>Category Name</t>
  </si>
  <si>
    <t>GL Account Range</t>
  </si>
  <si>
    <t>Typical Department</t>
  </si>
  <si>
    <t>EXP-001</t>
  </si>
  <si>
    <t>5000-5199</t>
  </si>
  <si>
    <t>All</t>
  </si>
  <si>
    <t>EXP-002</t>
  </si>
  <si>
    <t>5200-5299</t>
  </si>
  <si>
    <t>EXP-003</t>
  </si>
  <si>
    <t>5300-5399</t>
  </si>
  <si>
    <t>EXP-004</t>
  </si>
  <si>
    <t>5400-5499</t>
  </si>
  <si>
    <t>EXP-005</t>
  </si>
  <si>
    <t>5500-5549</t>
  </si>
  <si>
    <t>EXP-006</t>
  </si>
  <si>
    <t>5550-5599</t>
  </si>
  <si>
    <t>EXP-007</t>
  </si>
  <si>
    <t>5600-5649</t>
  </si>
  <si>
    <t>EXP-008</t>
  </si>
  <si>
    <t>5700-5799</t>
  </si>
  <si>
    <t>EXP-009</t>
  </si>
  <si>
    <t>5800-5899</t>
  </si>
  <si>
    <t>EXP-010</t>
  </si>
  <si>
    <t>5900-5999</t>
  </si>
  <si>
    <t>EXP-011</t>
  </si>
  <si>
    <t>6000-6099</t>
  </si>
  <si>
    <t>VENDORS</t>
  </si>
  <si>
    <t>Vendor Code</t>
  </si>
  <si>
    <t>Vendor Name</t>
  </si>
  <si>
    <t>Primary Department</t>
  </si>
  <si>
    <t>Primary Product</t>
  </si>
  <si>
    <t>VEND-001</t>
  </si>
  <si>
    <t>VEND-002</t>
  </si>
  <si>
    <t>VEND-003</t>
  </si>
  <si>
    <t>VEND-004</t>
  </si>
  <si>
    <t>VEND-005</t>
  </si>
  <si>
    <t>VEND-006</t>
  </si>
  <si>
    <t>VEND-007</t>
  </si>
  <si>
    <t>VEND-008</t>
  </si>
  <si>
    <t>VEND-009</t>
  </si>
  <si>
    <t>VEND-010</t>
  </si>
  <si>
    <t>VEND-011</t>
  </si>
  <si>
    <t>VEND-012</t>
  </si>
  <si>
    <t>VEND-013</t>
  </si>
  <si>
    <t>VEND-014</t>
  </si>
  <si>
    <t>VEND-015</t>
  </si>
  <si>
    <t>AWS Cost Allocation Model</t>
  </si>
  <si>
    <t>SECTION 1: Product Compute Shares</t>
  </si>
  <si>
    <t>Compute Share %</t>
  </si>
  <si>
    <t>Monthly AWS Pool ($)</t>
  </si>
  <si>
    <t>See Section 2</t>
  </si>
  <si>
    <t>Total</t>
  </si>
  <si>
    <t>SECTION 2: Monthly AWS Cost Pool</t>
  </si>
  <si>
    <t>Month</t>
  </si>
  <si>
    <t>Total AWS Cost Pool ($)</t>
  </si>
  <si>
    <t>Shared AWS %</t>
  </si>
  <si>
    <t>Direct AWS %</t>
  </si>
  <si>
    <t>Jan 2025</t>
  </si>
  <si>
    <t>Feb 2025</t>
  </si>
  <si>
    <t>Mar 2025</t>
  </si>
  <si>
    <t>Apr 2025</t>
  </si>
  <si>
    <t>May 2025</t>
  </si>
  <si>
    <t>Jun 2025</t>
  </si>
  <si>
    <t>Jul 2025</t>
  </si>
  <si>
    <t>Aug 2025</t>
  </si>
  <si>
    <t>Sep 2025</t>
  </si>
  <si>
    <t>Oct 2025</t>
  </si>
  <si>
    <t>Nov 2025</t>
  </si>
  <si>
    <t>Dec 2025</t>
  </si>
  <si>
    <t>SECTION 3: Allocated AWS by Product by Month</t>
  </si>
  <si>
    <t>P&amp;L Reporting &amp; Allocation Model — FY2025</t>
  </si>
  <si>
    <t>Last Updated: 2026-03-31</t>
  </si>
  <si>
    <t>EXECUTIVE SUMMARY</t>
  </si>
  <si>
    <t>FULL YEAR REVENUE</t>
  </si>
  <si>
    <t>CONTRIBUTION MARGIN %</t>
  </si>
  <si>
    <t>TOP PRODUCT BY REVENUE</t>
  </si>
  <si>
    <t>BEST MONTH (REVENUE)</t>
  </si>
  <si>
    <t>TOTAL COST OF REVENUE</t>
  </si>
  <si>
    <t>Q4 vs Q1 REVENUE GROWTH</t>
  </si>
  <si>
    <t>December</t>
  </si>
  <si>
    <t>TABLE OF CONTENTS</t>
  </si>
  <si>
    <t>Data Dictionary — Products, Departments, Vendors</t>
  </si>
  <si>
    <t>P&amp;L Monthly Trend — Consolidated &amp; By Product</t>
  </si>
  <si>
    <t>Product Line Summary — Revenue &amp; Expenses</t>
  </si>
  <si>
    <t>Functional P&amp;L — Monthly Trend by Product</t>
  </si>
  <si>
    <t>Functional P&amp;L Summary — January 2025</t>
  </si>
  <si>
    <t>Functional P&amp;L Summary — February 2025</t>
  </si>
  <si>
    <t>Functional P&amp;L Summary — March 2025</t>
  </si>
  <si>
    <t>US Natural P&amp;L — January 2025</t>
  </si>
  <si>
    <t>Charts &amp; Visuals — FY2025</t>
  </si>
  <si>
    <t>Reconciliation Checks — Model Health</t>
  </si>
  <si>
    <t>P&amp;L - Monthly Trend</t>
  </si>
  <si>
    <t>Line Item</t>
  </si>
  <si>
    <t>Q1 2025</t>
  </si>
  <si>
    <t>Q2 2025</t>
  </si>
  <si>
    <t>Q3 2025</t>
  </si>
  <si>
    <t>Q4 2025</t>
  </si>
  <si>
    <t>2025 Total</t>
  </si>
  <si>
    <t>FY2025 Budget</t>
  </si>
  <si>
    <t>Consolidated</t>
  </si>
  <si>
    <t>Cost of Revenue</t>
  </si>
  <si>
    <t>Contribution Margin $</t>
  </si>
  <si>
    <t>Contribution Margin %</t>
  </si>
  <si>
    <t>Contribution Margin + R&amp;D $</t>
  </si>
  <si>
    <t>Contribution Margin + R&amp;D %</t>
  </si>
  <si>
    <t>CONSOLIDATED P&amp;L SUMMARY</t>
  </si>
  <si>
    <t>Metric</t>
  </si>
  <si>
    <t>Total Revenue</t>
  </si>
  <si>
    <t>Gross Profit</t>
  </si>
  <si>
    <t>Operating Expenses</t>
  </si>
  <si>
    <t>Net Income</t>
  </si>
  <si>
    <t>Product Line Summary — FY2025</t>
  </si>
  <si>
    <t>SECTION 1: P&amp;L Summary</t>
  </si>
  <si>
    <t>Insuresight</t>
  </si>
  <si>
    <t>SECTION 2: Expenses by Department</t>
  </si>
  <si>
    <t>Research &amp; Development</t>
  </si>
  <si>
    <t>Total Expenses</t>
  </si>
  <si>
    <t>Functional P&amp;L - Monthly Trend</t>
  </si>
  <si>
    <t>Transactions</t>
  </si>
  <si>
    <t>Cost of Subscription</t>
  </si>
  <si>
    <t>Cost of Services</t>
  </si>
  <si>
    <t>Subscriptions Contribution</t>
  </si>
  <si>
    <t>Services Contribution</t>
  </si>
  <si>
    <t>Contribution Margin</t>
  </si>
  <si>
    <t>D&amp;A</t>
  </si>
  <si>
    <t>Contribution Margin GAAP</t>
  </si>
  <si>
    <t>Subscription Margin %</t>
  </si>
  <si>
    <t>Services Margin %</t>
  </si>
  <si>
    <t>Total Margin %</t>
  </si>
  <si>
    <t>R&amp;D (includes Cap Software)</t>
  </si>
  <si>
    <t>Capitalized R&amp;D</t>
  </si>
  <si>
    <t>US</t>
  </si>
  <si>
    <t>US January 2025 Natural P&amp;L</t>
  </si>
  <si>
    <t>Subscriptions</t>
  </si>
  <si>
    <t>Total NetOps</t>
  </si>
  <si>
    <t>Total Security</t>
  </si>
  <si>
    <t>Total Support</t>
  </si>
  <si>
    <t>Total Partners</t>
  </si>
  <si>
    <t>Total Content</t>
  </si>
  <si>
    <t>Total R&amp;D</t>
  </si>
  <si>
    <t>Total Product Management</t>
  </si>
  <si>
    <t>Charts &amp; Visuals Dashboard — FY2025</t>
  </si>
  <si>
    <t>PRODUCT SELECTOR — Choose a product to filter Section 1 charts</t>
  </si>
  <si>
    <t>Product:</t>
  </si>
  <si>
    <t>Click the dropdown arrow to select iGO, Affirm, InsureSight, or DocFast</t>
  </si>
  <si>
    <t>SECTION 1  |  SELECTED PRODUCT DASHBOARD</t>
  </si>
  <si>
    <t>Revenue vs Cost of Revenue — Monthly ($K)</t>
  </si>
  <si>
    <t>Contribution Margin % — Monthly Trend</t>
  </si>
  <si>
    <t>Expense Breakdown by Department — Full Year</t>
  </si>
  <si>
    <t>SECTION 2  |  ALL-PRODUCTS COMPARISON</t>
  </si>
  <si>
    <t>Monthly Revenue by Product ($K)</t>
  </si>
  <si>
    <t>Contribution Margin % by Product</t>
  </si>
  <si>
    <t>Full Year Revenue Mix — FY2025</t>
  </si>
  <si>
    <t>SECTION 3  |  ADVANCED ANALYTICS</t>
  </si>
  <si>
    <t>Revenue vs COGS vs Contribution Margin — By Product</t>
  </si>
  <si>
    <t>Department Cost Distribution Across Products</t>
  </si>
  <si>
    <t>LOOKUP TABLES — DO NOT EDIT (used by charts above)</t>
  </si>
  <si>
    <t>Jan</t>
  </si>
  <si>
    <t>Feb</t>
  </si>
  <si>
    <t>Mar</t>
  </si>
  <si>
    <t>Apr</t>
  </si>
  <si>
    <t>May</t>
  </si>
  <si>
    <t>Jun</t>
  </si>
  <si>
    <t>Jul</t>
  </si>
  <si>
    <t>Aug</t>
  </si>
  <si>
    <t>Sep</t>
  </si>
  <si>
    <t>Oct</t>
  </si>
  <si>
    <t>Nov</t>
  </si>
  <si>
    <t>Dec</t>
  </si>
  <si>
    <t>CM + R&amp;D $</t>
  </si>
  <si>
    <t>CM + R&amp;D %</t>
  </si>
  <si>
    <t>FY Revenue</t>
  </si>
  <si>
    <t>FY COGS</t>
  </si>
  <si>
    <t>FY CM$</t>
  </si>
  <si>
    <t>Product Mgmt</t>
  </si>
  <si>
    <t>RECONCILIATION CHECKS</t>
  </si>
  <si>
    <t>Keystone BenefitTech, Inc. - FY2025 P&amp;L Model</t>
  </si>
  <si>
    <t>Last Run: 2026-03-31</t>
  </si>
  <si>
    <t>Check Name</t>
  </si>
  <si>
    <t>Expected</t>
  </si>
  <si>
    <t>Actual</t>
  </si>
  <si>
    <t>Difference</t>
  </si>
  <si>
    <t>Details</t>
  </si>
  <si>
    <t>Timestamp</t>
  </si>
  <si>
    <t>GL Row Count Validation</t>
  </si>
  <si>
    <t>-</t>
  </si>
  <si>
    <t>PASS</t>
  </si>
  <si>
    <t>All GL rows accounted for</t>
  </si>
  <si>
    <t>2026-03-31 13:00</t>
  </si>
  <si>
    <t>GL Amount Column Non-Null</t>
  </si>
  <si>
    <t>No null amounts in GL column G</t>
  </si>
  <si>
    <t>GL Date Range Check</t>
  </si>
  <si>
    <t>01/01/2025 - 03/31/2025</t>
  </si>
  <si>
    <t>01/02/2025 - 03/28/2025</t>
  </si>
  <si>
    <t>All dates within FY2025 Q1-Q3</t>
  </si>
  <si>
    <t>Revenue Total: GL vs P&amp;L Trend</t>
  </si>
  <si>
    <t>FAIL</t>
  </si>
  <si>
    <t>GL covers Q1 only; P&amp;L has full year projections</t>
  </si>
  <si>
    <t>Department Sum Check</t>
  </si>
  <si>
    <t>GL dept totals match GL grand total</t>
  </si>
  <si>
    <t>Product Allocation Balance</t>
  </si>
  <si>
    <t>100.0%</t>
  </si>
  <si>
    <t>Product revenue shares sum to 100%</t>
  </si>
  <si>
    <t>Duplicate GL Entry Scan</t>
  </si>
  <si>
    <t>12 potential duplicate rows flagged in GL data</t>
  </si>
  <si>
    <t>Assumptions Driver Completeness</t>
  </si>
  <si>
    <t>All expected drivers present with values</t>
  </si>
  <si>
    <t>Cross-Sheet Product Match</t>
  </si>
  <si>
    <t>iGO, Affirm, InsureSight, DocFast on all sheets</t>
  </si>
  <si>
    <t>Functional P&amp;L Tab Count</t>
  </si>
  <si>
    <t>Jan, Feb, Mar summary tabs present</t>
  </si>
  <si>
    <t>Budget Column Present</t>
  </si>
  <si>
    <t>Yes</t>
  </si>
  <si>
    <t>FY2025 Budget column found on P&amp;L Trend</t>
  </si>
  <si>
    <t>Net Income Sign Check</t>
  </si>
  <si>
    <t>Positive</t>
  </si>
  <si>
    <t>Net Income is positive - model is healthy</t>
  </si>
  <si>
    <t>Operating Expense Ratio</t>
  </si>
  <si>
    <t>&lt; 35%</t>
  </si>
  <si>
    <t>33.4%</t>
  </si>
  <si>
    <t>OpEx ratio within acceptable range</t>
  </si>
  <si>
    <t>Contribution Margin Check</t>
  </si>
  <si>
    <t>&gt; 50%</t>
  </si>
  <si>
    <t>58.0%</t>
  </si>
  <si>
    <t>CM% above 50% threshold</t>
  </si>
  <si>
    <t>January GL vs Functional P&amp;L</t>
  </si>
  <si>
    <t>January GL totals don't match Functional P&amp;L</t>
  </si>
  <si>
    <t>User</t>
  </si>
  <si>
    <t>Module</t>
  </si>
  <si>
    <t>Procedure</t>
  </si>
  <si>
    <t>Message</t>
  </si>
  <si>
    <t>Data Quality Grade</t>
  </si>
  <si>
    <t>F</t>
  </si>
  <si>
    <t>Failing - Significant data quality problems</t>
  </si>
  <si>
    <t>Data Quality Report - Keystone BenefitTech</t>
  </si>
  <si>
    <t>Scan Date: March 31, 2026 5:28 PM | Issues Found: 19 (5 Critical, 12 Warning, 2 Info)</t>
  </si>
  <si>
    <t>Sheet</t>
  </si>
  <si>
    <t>Cell</t>
  </si>
  <si>
    <t>Issue Type</t>
  </si>
  <si>
    <t>Current Value</t>
  </si>
  <si>
    <t>Severity</t>
  </si>
  <si>
    <t>Fix Available</t>
  </si>
  <si>
    <t>CrossfireHiddenWorksheet</t>
  </si>
  <si>
    <t>Row 502</t>
  </si>
  <si>
    <t>Duplicate Row</t>
  </si>
  <si>
    <t>Duplicate of row 81</t>
  </si>
  <si>
    <t>Warning</t>
  </si>
  <si>
    <t>Row 503</t>
  </si>
  <si>
    <t>Duplicate of row 220</t>
  </si>
  <si>
    <t>Row 504</t>
  </si>
  <si>
    <t>Duplicate of row 335</t>
  </si>
  <si>
    <t>Row 505</t>
  </si>
  <si>
    <t>Duplicate of row 301</t>
  </si>
  <si>
    <t>Row 506</t>
  </si>
  <si>
    <t>Duplicate of row 131</t>
  </si>
  <si>
    <t>Row 507</t>
  </si>
  <si>
    <t>Duplicate of row 135</t>
  </si>
  <si>
    <t>Row 508</t>
  </si>
  <si>
    <t>Duplicate of row 439</t>
  </si>
  <si>
    <t>Row 509</t>
  </si>
  <si>
    <t>Duplicate of row 276</t>
  </si>
  <si>
    <t>Row 510</t>
  </si>
  <si>
    <t>Duplicate of row 218</t>
  </si>
  <si>
    <t>Row 511</t>
  </si>
  <si>
    <t>Duplicate of row 291</t>
  </si>
  <si>
    <t>$B$2</t>
  </si>
  <si>
    <t>Non-padded Date (text)</t>
  </si>
  <si>
    <t>Info</t>
  </si>
  <si>
    <t>$B$3</t>
  </si>
  <si>
    <t>Zero-padded Date (text)</t>
  </si>
  <si>
    <t>$B$4</t>
  </si>
  <si>
    <t>ISO Date Format (text)</t>
  </si>
  <si>
    <t>$G$65</t>
  </si>
  <si>
    <t>Amount Stored as Text</t>
  </si>
  <si>
    <t>Critical</t>
  </si>
  <si>
    <t>$G$141</t>
  </si>
  <si>
    <t>$G$171</t>
  </si>
  <si>
    <t>$G$190</t>
  </si>
  <si>
    <t>$G$411</t>
  </si>
  <si>
    <t>Product Line Summary</t>
  </si>
  <si>
    <t>$A$23</t>
  </si>
  <si>
    <t>Product Name Misspelling</t>
  </si>
  <si>
    <t>Insuresight (should be InsureSight)</t>
  </si>
  <si>
    <t>Connor Atlee</t>
  </si>
  <si>
    <t>modDataQuality</t>
  </si>
  <si>
    <t>ScanAll</t>
  </si>
  <si>
    <t>Grade F | 19 issues (5 critical, 12 warning, 2 info) (0.21s)</t>
  </si>
  <si>
    <t>OK</t>
  </si>
  <si>
    <t>modReconciliation</t>
  </si>
  <si>
    <t>RunAllChecks</t>
  </si>
  <si>
    <t>12/15 passed. 3 failures. (0.07s)</t>
  </si>
  <si>
    <t>y</t>
  </si>
  <si>
    <t>Month-over-Month Variance Analysis</t>
  </si>
  <si>
    <t>Comparing: Functional P&amp;L Summary - Jan 25 -&gt; Functional P&amp;L Summary - Feb 25</t>
  </si>
  <si>
    <t>Threshold: 15% | Generated: 2026-03-31 17:30</t>
  </si>
  <si>
    <t>Prior Month ($)</t>
  </si>
  <si>
    <t>Current Month ($)</t>
  </si>
  <si>
    <t>Variance ($)</t>
  </si>
  <si>
    <t>Variance (%)</t>
  </si>
  <si>
    <t>Flag</t>
  </si>
  <si>
    <t>Flat</t>
  </si>
  <si>
    <t>Favorable</t>
  </si>
  <si>
    <t>Unfavorable</t>
  </si>
  <si>
    <t>FLAG</t>
  </si>
  <si>
    <t>modVarianceAnalysis</t>
  </si>
  <si>
    <t>RunVarianceAnalysis</t>
  </si>
  <si>
    <t>29 line items, 3 flagged (0.22s)</t>
  </si>
  <si>
    <t>VARIANCE COMMENTARY - FY2025 Budget vs Actual</t>
  </si>
  <si>
    <t>#</t>
  </si>
  <si>
    <t>FY Actual</t>
  </si>
  <si>
    <t>Budget</t>
  </si>
  <si>
    <t>Commentary</t>
  </si>
  <si>
    <t>Top 5 variances by absolute dollar impact</t>
  </si>
  <si>
    <t>Contribution Margin + R&amp;D $ shows a favorable variance of $66,501,681 (0.0%). This subtotal variance flows from line items above. See individual drivers for root cause.</t>
  </si>
  <si>
    <t>Contribution Margin + R&amp;D $ shows a favorable variance of $37,552,284 (0.0%). This subtotal variance flows from line items above. See individual drivers for root cause.</t>
  </si>
  <si>
    <t>Contribution Margin + R&amp;D $ shows a favorable variance of $18,480,276 (0.0%). This subtotal variance flows from line items above. See individual drivers for root cause.</t>
  </si>
  <si>
    <t>Revenue shows a favorable variance of $13,188,224 (11.9%). Revenue exceeded plan, suggesting stronger-than-expected demand or pricing uplift. Review by product line to identify drivers.</t>
  </si>
  <si>
    <t>Revenue shows a favorable variance of $7,584,395 (12.5%). Revenue exceeded plan, suggesting stronger-than-expected demand or pricing uplift. Review by product line to identify drivers.</t>
  </si>
  <si>
    <t>GenerateCommentary</t>
  </si>
  <si>
    <t>5 of 25 variances detailed (0.14s)</t>
  </si>
  <si>
    <t>Year-over-Year Variance Analysis</t>
  </si>
  <si>
    <t>Comparing: FY2025 Budget vs 2025 Total</t>
  </si>
  <si>
    <t>Threshold: 15% | Generated: 2026-03-31 17:31</t>
  </si>
  <si>
    <t>FY2025 Budget ($)</t>
  </si>
  <si>
    <t>2025 Total ($)</t>
  </si>
  <si>
    <t>YoY Change ($)</t>
  </si>
  <si>
    <t>YoY Change (%)</t>
  </si>
  <si>
    <t>RunYoYVarianceAnalysis</t>
  </si>
  <si>
    <t>35 items, 0 flagged (0.14s)</t>
  </si>
  <si>
    <t>modDashboard</t>
  </si>
  <si>
    <t>BuildDashboard</t>
  </si>
  <si>
    <t>3 charts created (12 months of data) (0.1s)</t>
  </si>
  <si>
    <t>EXECUTIVE DASHBOARD - FY2025</t>
  </si>
  <si>
    <t>Generated: March 31, 2026 5:32 PM</t>
  </si>
  <si>
    <t>Gross Margin %</t>
  </si>
  <si>
    <t>vs Budget</t>
  </si>
  <si>
    <t>Variance $</t>
  </si>
  <si>
    <t>Variance %</t>
  </si>
  <si>
    <t>PRODUCT REVENUE BREAKDOWN</t>
  </si>
  <si>
    <t>% of Total</t>
  </si>
  <si>
    <t>● Strong</t>
  </si>
  <si>
    <t>● Stable</t>
  </si>
  <si>
    <t>● Watch</t>
  </si>
  <si>
    <t>MONTHLY REVENUE TREND</t>
  </si>
  <si>
    <t>MoM Growth</t>
  </si>
  <si>
    <t>● +3.3% vs Budget</t>
  </si>
  <si>
    <t>modDashboardAdvanced</t>
  </si>
  <si>
    <t>CreateExecutiveDashboard</t>
  </si>
  <si>
    <t>4 KPIs + summary + products + trend (0.2s)</t>
  </si>
  <si>
    <t>EXECUTIVE BRIEF</t>
  </si>
  <si>
    <t>Keystone BenefitTech, Inc. - P&amp;L Model Summary</t>
  </si>
  <si>
    <t>Generated: March 31, 2026 5:33 PM</t>
  </si>
  <si>
    <t>1. REVENUE &amp; P&amp;L HIGHLIGHTS</t>
  </si>
  <si>
    <t xml:space="preserve">- Total Revenue (latest month): $11,350,000 (up 2.7% MoM)_x000D_
- Net Income (latest month): $2,933,000 (margin: 25.8%)_x000D_
- Data covers 12 month(s) of FY25_x000D_
</t>
  </si>
  <si>
    <t>2. RECONCILIATION STATUS</t>
  </si>
  <si>
    <t xml:space="preserve">- 16 reconciliation checks evaluated_x000D_
- 12 PASS, 3 FAIL_x000D_
- ATTENTION: 3 check(s) failing:_x000D_
    - Revenue Total: GL vs P&amp;L Trend_x000D_
    - Duplicate GL Entry Scan_x000D_
    - January GL vs Functional P&amp;L_x000D_
</t>
  </si>
  <si>
    <t>3. KEY ASSUMPTIONS &amp; DRIVERS</t>
  </si>
  <si>
    <t xml:space="preserve">- InsureSight Software Split - InsureSight: 22.0%_x000D_
- InsureSight Software Split - Other: 78.0%_x000D_
- iGO Revenue Share %: 55.0%_x000D_
- Affirm Revenue Share %: 28.0%_x000D_
- InsureSight Revenue Share %: 12.0%_x000D_
- DocFast Revenue Share %: 5.0%_x000D_
- AWS Shared Pool %: 30.0%_x000D_
- AWS Direct %: 70.0%_x000D_
- ... and 17 more drivers_x000D_
- Total: 25 assumption drivers configured_x000D_
</t>
  </si>
  <si>
    <t>4. PRODUCT LINE OVERVIEW</t>
  </si>
  <si>
    <t xml:space="preserve">- 4 product lines: iGO,Affirm,InsureSight,DocFast_x000D_
</t>
  </si>
  <si>
    <t>5. WORKBOOK HEALTH</t>
  </si>
  <si>
    <t xml:space="preserve">- Total sheets: 22 (20 visible, 2 hidden)_x000D_
- File size: 892 KB_x000D_
- VBA modules: 70_x000D_
- Toolkit version: 2.1.0 (Build 2026-02-18)_x000D_
- Fiscal year: FY2025_x000D_
</t>
  </si>
  <si>
    <t>Generated by Keystone BenefitTech Automation Toolkit v2.1.0</t>
  </si>
  <si>
    <t>This brief can be copied and pasted into an email or printed for leadership review.</t>
  </si>
  <si>
    <t>modExecBrief</t>
  </si>
  <si>
    <t>GenerateExecBrief</t>
  </si>
  <si>
    <t>Executive brief generated with 5 sections</t>
  </si>
  <si>
    <t>modNavigation</t>
  </si>
  <si>
    <t>ToggleExecutiveMode</t>
  </si>
  <si>
    <t>Executive mode OFF â€” all sheets visible</t>
  </si>
  <si>
    <t>Executive mode ON â€” showing report sheets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</si>
</sst>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0.0&quot;K&quot;"/>
    <numFmt numFmtId="165" formatCode="yyyy\-mm\-dd\ h:mm:ss"/>
    <numFmt numFmtId="166" formatCode="0.0%"/>
    <numFmt numFmtId="167" formatCode="\$#,##0.00_);[Red]&quot;($&quot;#,##0.00\)"/>
    <numFmt numFmtId="168" formatCode="yyyy\-mm\-dd\ hh:mm:ss"/>
    <numFmt numFmtId="169" formatCode="\$#,##0"/>
    <numFmt numFmtId="170" formatCode="mm/dd/yyyy"/>
    <numFmt numFmtId="171" formatCode="&quot;$&quot;#,##0.00"/>
    <numFmt numFmtId="172" formatCode="&quot;$&quot;#,##0"/>
    <numFmt numFmtId="173" formatCode="&quot;$&quot;#,##0;\(&quot;$&quot;#,##0\)"/>
  </numFmts>
  <fonts count="79" x14ac:knownFonts="1">
    <font>
      <sz val="11"/>
      <color theme="1"/>
      <name val="Calibri"/>
      <family val="2"/>
      <charset val="1"/>
    </font>
    <font>
      <b/>
      <sz val="16"/>
      <color rgb="FF0B4779"/>
      <name val="Arial"/>
      <family val="2"/>
    </font>
    <font>
      <b/>
      <sz val="12"/>
      <color rgb="FF0B4779"/>
      <name val="Arial"/>
      <family val="2"/>
    </font>
    <font>
      <i/>
      <sz val="9"/>
      <color rgb="FF4B9BCB"/>
      <name val="Arial"/>
      <family val="2"/>
    </font>
    <font>
      <b/>
      <sz val="11"/>
      <color rgb="FFF9F9F9"/>
      <name val="Arial"/>
      <family val="2"/>
    </font>
    <font>
      <b/>
      <sz val="11"/>
      <color rgb="FF4B9BCB"/>
      <name val="Arial"/>
      <family val="2"/>
    </font>
    <font>
      <b/>
      <sz val="10"/>
      <color rgb="FFF9F9F9"/>
      <name val="Arial"/>
      <family val="2"/>
    </font>
    <font>
      <sz val="10"/>
      <color rgb="FF161616"/>
      <name val="Arial"/>
      <family val="2"/>
    </font>
    <font>
      <b/>
      <sz val="13"/>
      <color rgb="FF0B4779"/>
      <name val="Arial"/>
      <family val="2"/>
    </font>
    <font>
      <sz val="11"/>
      <name val="Calibri"/>
      <family val="2"/>
    </font>
    <font>
      <b/>
      <sz val="11"/>
      <color rgb="FF0B4779"/>
      <name val="Arial"/>
      <family val="2"/>
    </font>
    <font>
      <b/>
      <sz val="14"/>
      <color rgb="FF112E51"/>
      <name val="Arial"/>
      <family val="2"/>
    </font>
    <font>
      <b/>
      <sz val="8"/>
      <color rgb="FF999999"/>
      <name val="Arial"/>
      <family val="2"/>
    </font>
    <font>
      <sz val="9"/>
      <color rgb="FF161616"/>
      <name val="Arial"/>
      <family val="2"/>
    </font>
    <font>
      <b/>
      <sz val="18"/>
      <color rgb="FFF9F9F9"/>
      <name val="Arial"/>
      <family val="2"/>
    </font>
    <font>
      <i/>
      <sz val="8"/>
      <color rgb="FF4B9BCB"/>
      <name val="Arial"/>
      <family val="2"/>
    </font>
    <font>
      <b/>
      <sz val="12"/>
      <color rgb="FFF9F9F9"/>
      <name val="Arial"/>
      <family val="2"/>
    </font>
    <font>
      <b/>
      <sz val="13"/>
      <color rgb="FF112E51"/>
      <name val="Arial"/>
      <family val="2"/>
    </font>
    <font>
      <i/>
      <sz val="9"/>
      <color rgb="FF666666"/>
      <name val="Arial"/>
      <family val="2"/>
    </font>
    <font>
      <sz val="11"/>
      <color theme="1"/>
      <name val="Calibri"/>
      <family val="2"/>
      <scheme val="minor"/>
    </font>
    <font>
      <b/>
      <sz val="22"/>
      <color rgb="FF0B4779"/>
      <name val="Arial"/>
      <family val="2"/>
    </font>
    <font>
      <sz val="11"/>
      <color rgb="FF161616"/>
      <name val="Arial"/>
      <family val="2"/>
    </font>
    <font>
      <b/>
      <sz val="11"/>
      <color rgb="FFFFFFFF"/>
      <name val="Calibri"/>
      <family val="2"/>
    </font>
    <font>
      <b/>
      <sz val="11"/>
      <color rgb="FFFF0000"/>
      <name val="Arial"/>
      <family val="2"/>
    </font>
    <font>
      <b/>
      <sz val="12"/>
      <color rgb="FF0B4779"/>
      <name val="Arial"/>
      <family val="2"/>
    </font>
    <font>
      <b/>
      <sz val="11"/>
      <color rgb="FFFFFFFF"/>
      <name val="Arial"/>
      <family val="2"/>
    </font>
    <font>
      <b/>
      <sz val="10"/>
      <name val="Arial"/>
      <family val="2"/>
    </font>
    <font>
      <b/>
      <sz val="10"/>
      <color rgb="FFFFFFFF"/>
      <name val="Arial"/>
      <family val="2"/>
    </font>
    <font>
      <b/>
      <sz val="10"/>
      <color rgb="FF006100"/>
      <name val="Arial"/>
      <family val="2"/>
    </font>
    <font>
      <b/>
      <sz val="10"/>
      <color rgb="FF9C0006"/>
      <name val="Arial"/>
      <family val="2"/>
    </font>
    <font>
      <sz val="10"/>
      <color rgb="FF006100"/>
      <name val="Arial"/>
      <family val="2"/>
    </font>
    <font>
      <b/>
      <i/>
      <sz val="11"/>
      <color theme="3"/>
      <name val="Calibri"/>
      <family val="2"/>
      <scheme val="minor"/>
    </font>
    <font>
      <b/>
      <i/>
      <sz val="12"/>
      <color theme="3"/>
      <name val="Calibri"/>
      <family val="2"/>
      <scheme val="minor"/>
    </font>
    <font>
      <b/>
      <sz val="26"/>
      <color rgb="FFFFFFFF"/>
      <name val="Arial"/>
      <family val="2"/>
    </font>
    <font>
      <sz val="14"/>
      <color rgb="FFFFFFFF"/>
      <name val="Arial"/>
      <family val="2"/>
    </font>
    <font>
      <i/>
      <sz val="10"/>
      <color rgb="FF4B9BCB"/>
      <name val="Arial"/>
      <family val="2"/>
    </font>
    <font>
      <b/>
      <sz val="16"/>
      <color rgb="FF112E51"/>
      <name val="Arial"/>
      <family val="2"/>
    </font>
    <font>
      <b/>
      <sz val="22"/>
      <color rgb="FF112E51"/>
      <name val="Arial"/>
      <family val="2"/>
    </font>
    <font>
      <b/>
      <sz val="20"/>
      <color rgb="FFFFFFFF"/>
      <name val="Arial"/>
      <family val="2"/>
    </font>
    <font>
      <b/>
      <sz val="14"/>
      <color rgb="FF112E51"/>
      <name val="Arial"/>
      <family val="2"/>
    </font>
    <font>
      <u/>
      <sz val="11"/>
      <color rgb="FF0B4779"/>
      <name val="Arial"/>
      <family val="2"/>
    </font>
    <font>
      <u/>
      <sz val="11"/>
      <color rgb="FF112E51"/>
      <name val="Arial"/>
      <family val="2"/>
    </font>
    <font>
      <sz val="11"/>
      <name val="Calibri"/>
      <family val="2"/>
    </font>
    <font>
      <b/>
      <sz val="14"/>
      <color rgb="FF0B4779"/>
      <name val="Arial"/>
      <family val="2"/>
    </font>
    <font>
      <i/>
      <sz val="10"/>
      <name val="Arial"/>
      <family val="2"/>
    </font>
    <font>
      <sz val="9"/>
      <color rgb="FF888888"/>
      <name val="Arial"/>
      <family val="2"/>
    </font>
    <font>
      <b/>
      <sz val="10"/>
      <color rgb="FFFFFFFF"/>
      <name val="Arial"/>
      <family val="2"/>
    </font>
    <font>
      <sz val="9"/>
      <color rgb="FF555555"/>
      <name val="Arial"/>
      <family val="2"/>
    </font>
    <font>
      <sz val="11"/>
      <color rgb="FF006100"/>
      <name val="Calibri"/>
      <family val="2"/>
      <charset val="1"/>
    </font>
    <font>
      <b/>
      <sz val="12"/>
      <color theme="1"/>
      <name val="Calibri"/>
      <family val="2"/>
    </font>
    <font>
      <b/>
      <sz val="28"/>
      <color rgb="FFB40000"/>
      <name val="Calibri"/>
      <family val="2"/>
    </font>
    <font>
      <i/>
      <sz val="11"/>
      <color theme="1"/>
      <name val="Calibri"/>
      <family val="2"/>
    </font>
    <font>
      <b/>
      <sz val="14"/>
      <color theme="1"/>
      <name val="Calibri"/>
      <family val="2"/>
    </font>
    <font>
      <b/>
      <sz val="11"/>
      <color theme="1"/>
      <name val="Calibri"/>
      <family val="2"/>
    </font>
    <font>
      <sz val="11"/>
      <color rgb="FF9C6500"/>
      <name val="Calibri"/>
      <family val="2"/>
      <charset val="1"/>
    </font>
    <font>
      <sz val="11"/>
      <color rgb="FF9C0006"/>
      <name val="Calibri"/>
      <family val="2"/>
      <charset val="1"/>
    </font>
    <font>
      <sz val="11"/>
      <color rgb="FF008000"/>
      <name val="Calibri"/>
      <family val="2"/>
      <charset val="1"/>
    </font>
    <font>
      <sz val="11"/>
      <color rgb="FFC80000"/>
      <name val="Calibri"/>
      <family val="2"/>
      <charset val="1"/>
    </font>
    <font>
      <b/>
      <sz val="11"/>
      <color rgb="FFC80000"/>
      <name val="Calibri"/>
      <family val="2"/>
    </font>
    <font>
      <b/>
      <sz val="14"/>
      <color rgb="FF1F4E79"/>
      <name val="Calibri"/>
      <family val="2"/>
    </font>
    <font>
      <b/>
      <sz val="18"/>
      <color rgb="FF003366"/>
      <name val="Calibri"/>
      <family val="2"/>
    </font>
    <font>
      <i/>
      <sz val="11"/>
      <color rgb="FF808080"/>
      <name val="Calibri"/>
      <family val="2"/>
    </font>
    <font>
      <sz val="9"/>
      <color rgb="FF646464"/>
      <name val="Calibri"/>
      <family val="2"/>
      <charset val="1"/>
    </font>
    <font>
      <b/>
      <sz val="22"/>
      <color rgb="FF003366"/>
      <name val="Calibri"/>
      <family val="2"/>
    </font>
    <font>
      <sz val="9"/>
      <color rgb="FF808080"/>
      <name val="Calibri"/>
      <family val="2"/>
      <charset val="1"/>
    </font>
    <font>
      <sz val="11"/>
      <color rgb="FFC00000"/>
      <name val="Calibri"/>
      <family val="2"/>
      <charset val="1"/>
    </font>
    <font>
      <b/>
      <sz val="12"/>
      <color rgb="FF003366"/>
      <name val="Calibri"/>
      <family val="2"/>
    </font>
    <font>
      <b/>
      <sz val="11"/>
      <color rgb="FF008000"/>
      <name val="Calibri"/>
      <family val="2"/>
    </font>
    <font>
      <b/>
      <sz val="11"/>
      <color rgb="FFFFA500"/>
      <name val="Calibri"/>
      <family val="2"/>
    </font>
    <font>
      <b/>
      <sz val="11"/>
      <color rgb="FFC00000"/>
      <name val="Calibri"/>
      <family val="2"/>
    </font>
    <font>
      <b/>
      <sz val="9"/>
      <color theme="1"/>
      <name val="Calibri"/>
      <family val="2"/>
    </font>
    <font>
      <b/>
      <sz val="9"/>
      <color rgb="FFFFFFFF"/>
      <name val="Calibri"/>
      <family val="2"/>
    </font>
    <font>
      <b/>
      <sz val="11"/>
      <color rgb="FF006400"/>
      <name val="Calibri"/>
      <family val="2"/>
    </font>
    <font>
      <b/>
      <sz val="10"/>
      <color rgb="FF008000"/>
      <name val="Calibri"/>
      <family val="2"/>
    </font>
    <font>
      <sz val="11"/>
      <color rgb="FFFFFFFF"/>
      <name val="Arial"/>
      <family val="2"/>
    </font>
    <font>
      <i/>
      <sz val="9"/>
      <color theme="1"/>
      <name val="Calibri"/>
      <family val="2"/>
    </font>
    <font>
      <b/>
      <sz val="13"/>
      <color rgb="FFFFFFFF"/>
      <name val="Arial"/>
      <family val="2"/>
    </font>
    <font>
      <sz val="10"/>
      <color theme="1"/>
      <name val="Arial"/>
      <family val="2"/>
    </font>
    <font>
      <i/>
      <sz val="8"/>
      <color rgb="FF969696"/>
      <name val="Calibri"/>
      <family val="2"/>
    </font>
  </fonts>
  <fills count="47">
    <fill>
      <patternFill patternType="none"/>
    </fill>
    <fill>
      <patternFill patternType="gray125"/>
    </fill>
    <fill>
      <patternFill patternType="solid">
        <fgColor rgb="FF0B4779"/>
        <bgColor rgb="FF0B4779"/>
      </patternFill>
    </fill>
    <fill>
      <patternFill patternType="solid">
        <fgColor rgb="FFFFFFFF"/>
        <bgColor rgb="FFFFFFFF"/>
      </patternFill>
    </fill>
    <fill>
      <patternFill patternType="solid">
        <fgColor rgb="FFF9F9F9"/>
        <bgColor rgb="FFF9F9F9"/>
      </patternFill>
    </fill>
    <fill>
      <patternFill patternType="solid">
        <fgColor rgb="FF112E51"/>
        <bgColor rgb="FF112E51"/>
      </patternFill>
    </fill>
    <fill>
      <patternFill patternType="solid">
        <fgColor rgb="FFF0F0EE"/>
        <bgColor rgb="FFF0F0EE"/>
      </patternFill>
    </fill>
    <fill>
      <patternFill patternType="solid">
        <fgColor rgb="FF2BCCD3"/>
        <bgColor rgb="FF2BCCD3"/>
      </patternFill>
    </fill>
    <fill>
      <patternFill patternType="solid">
        <fgColor rgb="FFE8F4FD"/>
        <bgColor rgb="FFE8F4FD"/>
      </patternFill>
    </fill>
    <fill>
      <patternFill patternType="solid">
        <fgColor rgb="FFFFFF00"/>
        <bgColor indexed="64"/>
      </patternFill>
    </fill>
    <fill>
      <patternFill patternType="solid">
        <fgColor rgb="FFF9F9F9"/>
      </patternFill>
    </fill>
    <fill>
      <patternFill patternType="solid">
        <fgColor rgb="FF1F497D"/>
        <bgColor indexed="64"/>
      </patternFill>
    </fill>
    <fill>
      <patternFill patternType="solid">
        <fgColor rgb="FFFFFFC8"/>
        <bgColor rgb="FFF9F9F9"/>
      </patternFill>
    </fill>
    <fill>
      <patternFill patternType="solid">
        <fgColor rgb="FFFFFFC8"/>
        <bgColor rgb="FFF0F0EE"/>
      </patternFill>
    </fill>
    <fill>
      <patternFill patternType="solid">
        <fgColor rgb="FFFFC8C8"/>
        <bgColor rgb="FFF0F0EE"/>
      </patternFill>
    </fill>
    <fill>
      <patternFill patternType="solid">
        <fgColor rgb="FFFFC8C8"/>
        <bgColor rgb="FFF9F9F9"/>
      </patternFill>
    </fill>
    <fill>
      <patternFill patternType="solid">
        <fgColor rgb="FF0B4779"/>
        <bgColor rgb="FF0B4779"/>
      </patternFill>
    </fill>
    <fill>
      <patternFill patternType="solid">
        <fgColor rgb="FFC6EFCE"/>
        <bgColor indexed="64"/>
      </patternFill>
    </fill>
    <fill>
      <patternFill patternType="solid">
        <fgColor rgb="FFC6EFCE"/>
        <bgColor rgb="FFF2F7FB"/>
      </patternFill>
    </fill>
    <fill>
      <patternFill patternType="solid">
        <fgColor rgb="FF0B4779"/>
      </patternFill>
    </fill>
    <fill>
      <patternFill patternType="solid">
        <fgColor rgb="FF112E51"/>
      </patternFill>
    </fill>
    <fill>
      <patternFill patternType="solid">
        <fgColor rgb="FFF9F9F9"/>
      </patternFill>
    </fill>
    <fill>
      <patternFill patternType="solid">
        <fgColor rgb="FFFFFFFF"/>
      </patternFill>
    </fill>
    <fill>
      <patternFill patternType="solid">
        <fgColor rgb="FF2BCCD3"/>
      </patternFill>
    </fill>
    <fill>
      <patternFill patternType="solid">
        <fgColor rgb="FFBFF18C"/>
      </patternFill>
    </fill>
    <fill>
      <patternFill patternType="solid">
        <fgColor rgb="FFF2F7FB"/>
      </patternFill>
    </fill>
    <fill>
      <patternFill patternType="solid">
        <fgColor rgb="FF0B4779"/>
        <bgColor rgb="FF0B4779"/>
      </patternFill>
    </fill>
    <fill>
      <patternFill patternType="solid">
        <fgColor rgb="FFC6EFCE"/>
        <bgColor rgb="FFC6EFCE"/>
      </patternFill>
    </fill>
    <fill>
      <patternFill patternType="solid">
        <fgColor rgb="FFF2F7FB"/>
        <bgColor rgb="FFF2F7FB"/>
      </patternFill>
    </fill>
    <fill>
      <patternFill patternType="solid">
        <fgColor rgb="FFFFC7CE"/>
        <bgColor rgb="FFFFC7CE"/>
      </patternFill>
    </fill>
    <fill>
      <patternFill patternType="solid">
        <fgColor rgb="FFFFB4B4"/>
        <bgColor indexed="64"/>
      </patternFill>
    </fill>
    <fill>
      <patternFill patternType="solid">
        <fgColor rgb="FF1F4E79"/>
        <bgColor indexed="64"/>
      </patternFill>
    </fill>
    <fill>
      <patternFill patternType="solid">
        <fgColor rgb="FFFFEB9C"/>
        <bgColor indexed="64"/>
      </patternFill>
    </fill>
    <fill>
      <patternFill patternType="solid">
        <fgColor rgb="FFFFC7CE"/>
        <bgColor indexed="64"/>
      </patternFill>
    </fill>
    <fill>
      <patternFill patternType="solid">
        <fgColor rgb="FFEDF2F9"/>
        <bgColor indexed="64"/>
      </patternFill>
    </fill>
    <fill>
      <patternFill patternType="solid">
        <fgColor rgb="FFF5F6FA"/>
        <bgColor indexed="64"/>
      </patternFill>
    </fill>
    <fill>
      <patternFill patternType="solid">
        <fgColor rgb="FF0070C0"/>
        <bgColor indexed="64"/>
      </patternFill>
    </fill>
    <fill>
      <patternFill patternType="solid">
        <fgColor rgb="FF00B050"/>
        <bgColor indexed="64"/>
      </patternFill>
    </fill>
    <fill>
      <patternFill patternType="solid">
        <fgColor rgb="FFC00000"/>
        <bgColor indexed="64"/>
      </patternFill>
    </fill>
    <fill>
      <patternFill patternType="solid">
        <fgColor rgb="FF7030A0"/>
        <bgColor indexed="64"/>
      </patternFill>
    </fill>
    <fill>
      <patternFill patternType="solid">
        <fgColor rgb="FFF0F5FA"/>
        <bgColor indexed="64"/>
      </patternFill>
    </fill>
    <fill>
      <patternFill patternType="solid">
        <fgColor rgb="FF0B4779"/>
        <bgColor indexed="64"/>
      </patternFill>
    </fill>
    <fill>
      <patternFill patternType="solid">
        <fgColor rgb="FFFFEBEE"/>
        <bgColor indexed="64"/>
      </patternFill>
    </fill>
    <fill>
      <patternFill patternType="solid">
        <fgColor rgb="FFFFFFFF"/>
        <bgColor indexed="64"/>
      </patternFill>
    </fill>
    <fill>
      <patternFill patternType="solid">
        <fgColor rgb="FF008000"/>
        <bgColor indexed="64"/>
      </patternFill>
    </fill>
    <fill>
      <patternFill patternType="solid">
        <fgColor rgb="FFFFA500"/>
        <bgColor indexed="64"/>
      </patternFill>
    </fill>
    <fill>
      <patternFill patternType="solid">
        <fgColor rgb="FF008080"/>
        <bgColor indexed="64"/>
      </patternFill>
    </fill>
  </fills>
  <borders count="31">
    <border>
      <left/>
      <right/>
      <top/>
      <bottom/>
      <diagonal/>
    </border>
    <border>
      <left/>
      <right/>
      <top style="medium">
        <color auto="1"/>
      </top>
      <bottom/>
      <diagonal/>
    </border>
    <border>
      <left style="thin">
        <color rgb="FF4B9BCB"/>
      </left>
      <right style="thin">
        <color rgb="FF4B9BCB"/>
      </right>
      <top style="thin">
        <color rgb="FF4B9BCB"/>
      </top>
      <bottom style="thin">
        <color rgb="FF4B9BCB"/>
      </bottom>
      <diagonal/>
    </border>
    <border>
      <left/>
      <right/>
      <top/>
      <bottom/>
      <diagonal/>
    </border>
    <border>
      <left/>
      <right/>
      <top/>
      <bottom style="medium">
        <color rgb="FF4B9BCB"/>
      </bottom>
      <diagonal/>
    </border>
    <border>
      <left/>
      <right/>
      <top/>
      <bottom style="hair">
        <color rgb="FF4B9BCB"/>
      </bottom>
      <diagonal/>
    </border>
    <border>
      <left style="medium">
        <color rgb="FF0B4779"/>
      </left>
      <right style="medium">
        <color rgb="FF0B4779"/>
      </right>
      <top style="medium">
        <color rgb="FF0B4779"/>
      </top>
      <bottom style="medium">
        <color rgb="FF0B4779"/>
      </bottom>
      <diagonal/>
    </border>
    <border>
      <left/>
      <right/>
      <top/>
      <bottom/>
      <diagonal/>
    </border>
    <border>
      <left/>
      <right style="medium">
        <color rgb="FF0B4779"/>
      </right>
      <top style="medium">
        <color rgb="FF0B4779"/>
      </top>
      <bottom style="medium">
        <color rgb="FF0B4779"/>
      </bottom>
      <diagonal/>
    </border>
    <border>
      <left style="medium">
        <color rgb="FF0B4779"/>
      </left>
      <right/>
      <top/>
      <bottom/>
      <diagonal/>
    </border>
    <border>
      <left style="medium">
        <color rgb="FF112E51"/>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rgb="FF2BCCD3"/>
      </bottom>
      <diagonal/>
    </border>
    <border>
      <left/>
      <right/>
      <top/>
      <bottom style="thin">
        <color rgb="FF2BCCD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rgb="FF999999"/>
      </bottom>
      <diagonal/>
    </border>
    <border>
      <left/>
      <right/>
      <top style="double">
        <color rgb="FF000000"/>
      </top>
      <bottom style="double">
        <color rgb="FF000000"/>
      </bottom>
      <diagonal/>
    </border>
    <border>
      <left/>
      <right/>
      <top/>
      <bottom/>
      <diagonal/>
    </border>
    <border>
      <left/>
      <right/>
      <top/>
      <bottom style="medium">
        <color rgb="FF0B4779"/>
      </bottom>
      <diagonal/>
    </border>
    <border>
      <left/>
      <right/>
      <top/>
      <bottom style="hair">
        <color rgb="FFD9D9D9"/>
      </bottom>
      <diagonal/>
    </border>
    <border>
      <left/>
      <right/>
      <top/>
      <bottom style="medium">
        <color rgb="FF0B4779"/>
      </bottom>
      <diagonal/>
    </border>
    <border>
      <left/>
      <right/>
      <top/>
      <bottom style="medium">
        <color rgb="FF2BCCD3"/>
      </bottom>
      <diagonal/>
    </border>
    <border>
      <left/>
      <right/>
      <top/>
      <bottom/>
      <diagonal/>
    </border>
    <border>
      <left/>
      <right/>
      <top/>
      <bottom style="thin">
        <color rgb="FFD9D9D9"/>
      </bottom>
      <diagonal/>
    </border>
    <border>
      <left style="thin">
        <color rgb="FFBFBFBF"/>
      </left>
      <right style="thin">
        <color rgb="FFBFBFBF"/>
      </right>
      <top style="thin">
        <color rgb="FFBFBFBF"/>
      </top>
      <bottom style="thin">
        <color rgb="FFBFBFBF"/>
      </bottom>
      <diagonal/>
    </border>
    <border>
      <left/>
      <right/>
      <top/>
      <bottom style="thin">
        <color rgb="FF00B0F0"/>
      </bottom>
      <diagonal/>
    </border>
  </borders>
  <cellStyleXfs count="2">
    <xf numFmtId="0" fontId="0" fillId="0" borderId="22"/>
    <xf numFmtId="0" fontId="19" fillId="0" borderId="22"/>
  </cellStyleXfs>
  <cellXfs count="223">
    <xf numFmtId="0" fontId="0" fillId="0" borderId="0" xfId="0" applyBorder="1"/>
    <xf numFmtId="0" fontId="4" fillId="2" borderId="2" xfId="0" applyFont="1" applyFill="1" applyBorder="1" applyAlignment="1">
      <alignment horizontal="left" vertical="center"/>
    </xf>
    <xf numFmtId="0" fontId="4" fillId="2" borderId="2" xfId="0" applyFont="1" applyFill="1" applyBorder="1" applyAlignment="1">
      <alignment horizontal="center" vertical="center"/>
    </xf>
    <xf numFmtId="0" fontId="7" fillId="4" borderId="5" xfId="0" applyFont="1" applyFill="1" applyBorder="1" applyAlignment="1">
      <alignment horizontal="left" vertical="center"/>
    </xf>
    <xf numFmtId="164" fontId="7" fillId="4" borderId="5" xfId="0" applyNumberFormat="1" applyFont="1" applyFill="1" applyBorder="1" applyAlignment="1">
      <alignment horizontal="right" vertical="center"/>
    </xf>
    <xf numFmtId="0" fontId="7" fillId="6" borderId="5" xfId="0" applyFont="1" applyFill="1" applyBorder="1" applyAlignment="1">
      <alignment horizontal="left" vertical="center"/>
    </xf>
    <xf numFmtId="164" fontId="7" fillId="6" borderId="5" xfId="0" applyNumberFormat="1" applyFont="1" applyFill="1" applyBorder="1" applyAlignment="1">
      <alignment horizontal="right" vertical="center"/>
    </xf>
    <xf numFmtId="165" fontId="7" fillId="6" borderId="5" xfId="0" applyNumberFormat="1" applyFont="1" applyFill="1" applyBorder="1" applyAlignment="1">
      <alignment horizontal="left" vertical="center"/>
    </xf>
    <xf numFmtId="165" fontId="7" fillId="4" borderId="5" xfId="0" applyNumberFormat="1" applyFont="1" applyFill="1" applyBorder="1" applyAlignment="1">
      <alignment horizontal="left" vertical="center"/>
    </xf>
    <xf numFmtId="0" fontId="1" fillId="0" borderId="0" xfId="0" applyFont="1" applyBorder="1" applyAlignment="1">
      <alignment horizontal="left" vertical="center"/>
    </xf>
    <xf numFmtId="0" fontId="3" fillId="0" borderId="0" xfId="0" applyFont="1" applyBorder="1" applyAlignment="1">
      <alignment horizontal="right" vertical="center"/>
    </xf>
    <xf numFmtId="0" fontId="2" fillId="0" borderId="0" xfId="0" applyFont="1" applyBorder="1" applyAlignment="1">
      <alignment horizontal="left" vertical="center"/>
    </xf>
    <xf numFmtId="0" fontId="5" fillId="4" borderId="4" xfId="0" applyFont="1" applyFill="1" applyBorder="1" applyAlignment="1">
      <alignment horizontal="left" vertical="center"/>
    </xf>
    <xf numFmtId="0" fontId="7" fillId="4" borderId="5" xfId="0" applyFont="1" applyFill="1" applyBorder="1" applyAlignment="1">
      <alignment horizontal="right" vertical="center"/>
    </xf>
    <xf numFmtId="166" fontId="7" fillId="6" borderId="5" xfId="0" applyNumberFormat="1" applyFont="1" applyFill="1" applyBorder="1" applyAlignment="1">
      <alignment horizontal="right" vertical="center"/>
    </xf>
    <xf numFmtId="0" fontId="7" fillId="6" borderId="5" xfId="0" applyFont="1" applyFill="1" applyBorder="1" applyAlignment="1">
      <alignment horizontal="right" vertical="center"/>
    </xf>
    <xf numFmtId="166" fontId="7" fillId="4" borderId="5" xfId="0" applyNumberFormat="1" applyFont="1" applyFill="1" applyBorder="1" applyAlignment="1">
      <alignment horizontal="right" vertical="center"/>
    </xf>
    <xf numFmtId="167" fontId="7" fillId="6" borderId="5" xfId="0" applyNumberFormat="1" applyFont="1" applyFill="1" applyBorder="1" applyAlignment="1">
      <alignment horizontal="right" vertical="center"/>
    </xf>
    <xf numFmtId="0" fontId="0" fillId="3" borderId="3" xfId="0" applyFill="1" applyBorder="1"/>
    <xf numFmtId="0" fontId="7" fillId="4" borderId="5" xfId="0" applyFont="1" applyFill="1" applyBorder="1" applyAlignment="1">
      <alignment horizontal="left" vertical="center" wrapText="1"/>
    </xf>
    <xf numFmtId="0" fontId="7" fillId="6" borderId="5" xfId="0" applyFont="1" applyFill="1" applyBorder="1" applyAlignment="1">
      <alignment horizontal="left" vertical="center" wrapText="1"/>
    </xf>
    <xf numFmtId="0" fontId="6" fillId="5" borderId="2" xfId="0" applyFont="1" applyFill="1" applyBorder="1" applyAlignment="1">
      <alignment horizontal="left" vertical="center"/>
    </xf>
    <xf numFmtId="166" fontId="6" fillId="5" borderId="2" xfId="0" applyNumberFormat="1" applyFont="1" applyFill="1" applyBorder="1" applyAlignment="1">
      <alignment horizontal="right" vertical="center"/>
    </xf>
    <xf numFmtId="0" fontId="6" fillId="5" borderId="2" xfId="0" applyFont="1" applyFill="1" applyBorder="1" applyAlignment="1">
      <alignment horizontal="right" vertical="center"/>
    </xf>
    <xf numFmtId="0" fontId="7" fillId="3" borderId="3" xfId="0" applyFont="1" applyFill="1" applyBorder="1" applyAlignment="1">
      <alignment horizontal="left" vertical="center"/>
    </xf>
    <xf numFmtId="164" fontId="6" fillId="5" borderId="2" xfId="0" applyNumberFormat="1" applyFont="1" applyFill="1" applyBorder="1" applyAlignment="1">
      <alignment horizontal="right" vertical="center"/>
    </xf>
    <xf numFmtId="0" fontId="9" fillId="3" borderId="3" xfId="0" applyFont="1" applyFill="1" applyBorder="1"/>
    <xf numFmtId="0" fontId="9" fillId="0" borderId="3" xfId="0" applyFont="1" applyBorder="1"/>
    <xf numFmtId="0" fontId="15" fillId="2" borderId="3" xfId="0" applyFont="1" applyFill="1" applyBorder="1" applyAlignment="1">
      <alignment horizontal="right" vertical="center"/>
    </xf>
    <xf numFmtId="0" fontId="9" fillId="2" borderId="3" xfId="0" applyFont="1" applyFill="1" applyBorder="1"/>
    <xf numFmtId="0" fontId="9" fillId="7" borderId="3" xfId="0" applyFont="1" applyFill="1" applyBorder="1"/>
    <xf numFmtId="0" fontId="10" fillId="3" borderId="3" xfId="0" applyFont="1" applyFill="1" applyBorder="1" applyAlignment="1">
      <alignment horizontal="right" vertical="center"/>
    </xf>
    <xf numFmtId="0" fontId="17" fillId="8" borderId="6" xfId="0" applyFont="1" applyFill="1" applyBorder="1" applyAlignment="1">
      <alignment horizontal="center" vertical="center"/>
    </xf>
    <xf numFmtId="0" fontId="3" fillId="3" borderId="3" xfId="0" applyFont="1" applyFill="1" applyBorder="1" applyAlignment="1">
      <alignment vertical="center"/>
    </xf>
    <xf numFmtId="0" fontId="18" fillId="3" borderId="3" xfId="0" applyFont="1" applyFill="1" applyBorder="1"/>
    <xf numFmtId="164" fontId="9" fillId="3" borderId="3" xfId="0" applyNumberFormat="1" applyFont="1" applyFill="1" applyBorder="1"/>
    <xf numFmtId="164" fontId="18" fillId="3" borderId="3" xfId="0" applyNumberFormat="1" applyFont="1" applyFill="1" applyBorder="1"/>
    <xf numFmtId="166" fontId="9" fillId="3" borderId="3" xfId="0" applyNumberFormat="1" applyFont="1" applyFill="1" applyBorder="1"/>
    <xf numFmtId="0" fontId="12" fillId="0" borderId="3" xfId="0" applyFont="1" applyBorder="1"/>
    <xf numFmtId="0" fontId="13" fillId="0" borderId="3" xfId="0" applyFont="1" applyBorder="1"/>
    <xf numFmtId="164" fontId="9" fillId="0" borderId="3" xfId="0" applyNumberFormat="1" applyFont="1" applyBorder="1"/>
    <xf numFmtId="166" fontId="9" fillId="0" borderId="3" xfId="0" applyNumberFormat="1" applyFont="1" applyBorder="1"/>
    <xf numFmtId="0" fontId="19" fillId="9" borderId="7" xfId="1" applyFill="1" applyBorder="1"/>
    <xf numFmtId="0" fontId="19" fillId="0" borderId="7" xfId="1" applyBorder="1"/>
    <xf numFmtId="0" fontId="19" fillId="10" borderId="11" xfId="1" applyFill="1" applyBorder="1"/>
    <xf numFmtId="0" fontId="19" fillId="10" borderId="1" xfId="1" applyFill="1" applyBorder="1"/>
    <xf numFmtId="0" fontId="19" fillId="10" borderId="12" xfId="1" applyFill="1" applyBorder="1"/>
    <xf numFmtId="0" fontId="19" fillId="10" borderId="13" xfId="1" applyFill="1" applyBorder="1"/>
    <xf numFmtId="0" fontId="19" fillId="10" borderId="7" xfId="1" applyFill="1" applyBorder="1"/>
    <xf numFmtId="0" fontId="19" fillId="10" borderId="14" xfId="1" applyFill="1" applyBorder="1"/>
    <xf numFmtId="0" fontId="19" fillId="10" borderId="15" xfId="1" applyFill="1" applyBorder="1"/>
    <xf numFmtId="0" fontId="19" fillId="10" borderId="16" xfId="1" applyFill="1" applyBorder="1"/>
    <xf numFmtId="0" fontId="19" fillId="10" borderId="17" xfId="1" applyFill="1" applyBorder="1"/>
    <xf numFmtId="0" fontId="19" fillId="10" borderId="19" xfId="1" applyFill="1" applyBorder="1"/>
    <xf numFmtId="0" fontId="22" fillId="11" borderId="0" xfId="0" applyFont="1" applyFill="1" applyBorder="1"/>
    <xf numFmtId="168" fontId="22" fillId="11" borderId="0" xfId="0" applyNumberFormat="1" applyFont="1" applyFill="1" applyBorder="1"/>
    <xf numFmtId="168" fontId="0" fillId="0" borderId="0" xfId="0" applyNumberFormat="1" applyBorder="1"/>
    <xf numFmtId="0" fontId="7" fillId="12" borderId="5" xfId="0" applyFont="1" applyFill="1" applyBorder="1" applyAlignment="1">
      <alignment horizontal="left" vertical="center"/>
    </xf>
    <xf numFmtId="165" fontId="7" fillId="12" borderId="5" xfId="0" applyNumberFormat="1" applyFont="1" applyFill="1" applyBorder="1" applyAlignment="1">
      <alignment horizontal="left" vertical="center"/>
    </xf>
    <xf numFmtId="164" fontId="7" fillId="12" borderId="5" xfId="0" applyNumberFormat="1" applyFont="1" applyFill="1" applyBorder="1" applyAlignment="1">
      <alignment horizontal="right" vertical="center"/>
    </xf>
    <xf numFmtId="0" fontId="7" fillId="13" borderId="5" xfId="0" applyFont="1" applyFill="1" applyBorder="1" applyAlignment="1">
      <alignment horizontal="left" vertical="center"/>
    </xf>
    <xf numFmtId="165" fontId="7" fillId="13" borderId="5" xfId="0" applyNumberFormat="1" applyFont="1" applyFill="1" applyBorder="1" applyAlignment="1">
      <alignment horizontal="left" vertical="center"/>
    </xf>
    <xf numFmtId="164" fontId="7" fillId="13" borderId="5" xfId="0" applyNumberFormat="1" applyFont="1" applyFill="1" applyBorder="1" applyAlignment="1">
      <alignment horizontal="right" vertical="center"/>
    </xf>
    <xf numFmtId="164" fontId="7" fillId="14" borderId="5" xfId="0" applyNumberFormat="1" applyFont="1" applyFill="1" applyBorder="1" applyAlignment="1">
      <alignment horizontal="right" vertical="center"/>
    </xf>
    <xf numFmtId="164" fontId="7" fillId="15" borderId="5" xfId="0" applyNumberFormat="1" applyFont="1" applyFill="1" applyBorder="1" applyAlignment="1">
      <alignment horizontal="right" vertical="center"/>
    </xf>
    <xf numFmtId="0" fontId="23" fillId="4" borderId="4" xfId="0" applyFont="1" applyFill="1" applyBorder="1" applyAlignment="1">
      <alignment horizontal="left" vertical="center"/>
    </xf>
    <xf numFmtId="0" fontId="4" fillId="2" borderId="0" xfId="0" applyFont="1" applyFill="1" applyBorder="1" applyAlignment="1">
      <alignment horizontal="center" vertical="center"/>
    </xf>
    <xf numFmtId="0" fontId="24" fillId="0" borderId="0" xfId="0" applyFont="1" applyBorder="1"/>
    <xf numFmtId="0" fontId="25" fillId="16" borderId="0" xfId="0" applyFont="1" applyFill="1" applyBorder="1" applyAlignment="1">
      <alignment horizontal="center"/>
    </xf>
    <xf numFmtId="0" fontId="26" fillId="0" borderId="20" xfId="0" applyFont="1" applyBorder="1"/>
    <xf numFmtId="3" fontId="0" fillId="0" borderId="20" xfId="0" applyNumberFormat="1" applyBorder="1" applyAlignment="1">
      <alignment horizontal="right"/>
    </xf>
    <xf numFmtId="0" fontId="26" fillId="0" borderId="21" xfId="0" applyFont="1" applyBorder="1"/>
    <xf numFmtId="3" fontId="26" fillId="0" borderId="21" xfId="0" applyNumberFormat="1" applyFont="1" applyBorder="1" applyAlignment="1">
      <alignment horizontal="right"/>
    </xf>
    <xf numFmtId="3" fontId="6" fillId="5" borderId="2" xfId="0" applyNumberFormat="1" applyFont="1" applyFill="1" applyBorder="1" applyAlignment="1">
      <alignment horizontal="right" vertical="center"/>
    </xf>
    <xf numFmtId="3" fontId="0" fillId="0" borderId="0" xfId="0" applyNumberFormat="1" applyBorder="1"/>
    <xf numFmtId="3" fontId="7" fillId="4" borderId="5" xfId="0" applyNumberFormat="1" applyFont="1" applyFill="1" applyBorder="1" applyAlignment="1">
      <alignment horizontal="right" vertical="center"/>
    </xf>
    <xf numFmtId="0" fontId="0" fillId="0" borderId="0" xfId="0" applyBorder="1" applyAlignment="1">
      <alignment horizontal="center" vertical="center"/>
    </xf>
    <xf numFmtId="0" fontId="7" fillId="22" borderId="3" xfId="0" applyFont="1" applyFill="1" applyBorder="1" applyAlignment="1">
      <alignment horizontal="left" vertical="center"/>
    </xf>
    <xf numFmtId="170" fontId="7" fillId="22" borderId="3" xfId="0" applyNumberFormat="1" applyFont="1" applyFill="1" applyBorder="1" applyAlignment="1">
      <alignment horizontal="left" vertical="center"/>
    </xf>
    <xf numFmtId="0" fontId="7" fillId="22" borderId="23" xfId="0" applyFont="1" applyFill="1" applyBorder="1" applyAlignment="1">
      <alignment horizontal="left" vertical="center"/>
    </xf>
    <xf numFmtId="0" fontId="7" fillId="25" borderId="5" xfId="0" applyFont="1" applyFill="1" applyBorder="1" applyAlignment="1">
      <alignment horizontal="left" vertical="center"/>
    </xf>
    <xf numFmtId="0" fontId="40" fillId="25" borderId="24" xfId="0" applyFont="1" applyFill="1" applyBorder="1" applyAlignment="1">
      <alignment horizontal="left" vertical="center"/>
    </xf>
    <xf numFmtId="0" fontId="7" fillId="25" borderId="24" xfId="0" applyFont="1" applyFill="1" applyBorder="1" applyAlignment="1">
      <alignment horizontal="left" vertical="center"/>
    </xf>
    <xf numFmtId="0" fontId="7" fillId="22" borderId="5" xfId="0" applyFont="1" applyFill="1" applyBorder="1" applyAlignment="1">
      <alignment horizontal="left" vertical="center"/>
    </xf>
    <xf numFmtId="0" fontId="41" fillId="22" borderId="24" xfId="0" applyFont="1" applyFill="1" applyBorder="1" applyAlignment="1">
      <alignment horizontal="left" vertical="center"/>
    </xf>
    <xf numFmtId="0" fontId="7" fillId="22" borderId="24" xfId="0" applyFont="1" applyFill="1" applyBorder="1" applyAlignment="1">
      <alignment horizontal="left" vertical="center"/>
    </xf>
    <xf numFmtId="0" fontId="0" fillId="25" borderId="5" xfId="0" applyFill="1" applyBorder="1"/>
    <xf numFmtId="0" fontId="0" fillId="25" borderId="24" xfId="0" applyFill="1" applyBorder="1"/>
    <xf numFmtId="0" fontId="0" fillId="22" borderId="5" xfId="0" applyFill="1" applyBorder="1"/>
    <xf numFmtId="0" fontId="0" fillId="22" borderId="24" xfId="0" applyFill="1" applyBorder="1"/>
    <xf numFmtId="0" fontId="0" fillId="22" borderId="0" xfId="0" applyFill="1" applyBorder="1"/>
    <xf numFmtId="0" fontId="43" fillId="0" borderId="27" xfId="0" applyFont="1" applyBorder="1"/>
    <xf numFmtId="0" fontId="42" fillId="0" borderId="27" xfId="0" applyFont="1" applyBorder="1"/>
    <xf numFmtId="0" fontId="44" fillId="0" borderId="27" xfId="0" applyFont="1" applyBorder="1"/>
    <xf numFmtId="0" fontId="45" fillId="0" borderId="27" xfId="0" applyFont="1" applyBorder="1"/>
    <xf numFmtId="0" fontId="46" fillId="26" borderId="27" xfId="0" applyFont="1" applyFill="1" applyBorder="1" applyAlignment="1">
      <alignment horizontal="center" vertical="center"/>
    </xf>
    <xf numFmtId="0" fontId="42" fillId="28" borderId="28" xfId="0" applyFont="1" applyFill="1" applyBorder="1"/>
    <xf numFmtId="0" fontId="47" fillId="28" borderId="28" xfId="0" applyFont="1" applyFill="1" applyBorder="1"/>
    <xf numFmtId="0" fontId="45" fillId="28" borderId="28" xfId="0" applyFont="1" applyFill="1" applyBorder="1"/>
    <xf numFmtId="0" fontId="42" fillId="0" borderId="28" xfId="0" applyFont="1" applyBorder="1"/>
    <xf numFmtId="0" fontId="47" fillId="0" borderId="28" xfId="0" applyFont="1" applyBorder="1"/>
    <xf numFmtId="0" fontId="45" fillId="0" borderId="28" xfId="0" applyFont="1" applyBorder="1"/>
    <xf numFmtId="169" fontId="42" fillId="0" borderId="28" xfId="0" applyNumberFormat="1" applyFont="1" applyBorder="1"/>
    <xf numFmtId="169" fontId="42" fillId="28" borderId="28" xfId="0" applyNumberFormat="1" applyFont="1" applyFill="1" applyBorder="1"/>
    <xf numFmtId="0" fontId="28" fillId="27" borderId="28" xfId="0" applyFont="1" applyFill="1" applyBorder="1"/>
    <xf numFmtId="0" fontId="30" fillId="18" borderId="28" xfId="0" applyFont="1" applyFill="1" applyBorder="1"/>
    <xf numFmtId="0" fontId="30" fillId="17" borderId="28" xfId="0" applyFont="1" applyFill="1" applyBorder="1"/>
    <xf numFmtId="0" fontId="29" fillId="29" borderId="28" xfId="0" applyFont="1" applyFill="1" applyBorder="1"/>
    <xf numFmtId="0" fontId="32" fillId="9" borderId="22" xfId="1" applyFont="1" applyFill="1" applyAlignment="1">
      <alignment horizontal="center" vertical="center"/>
    </xf>
    <xf numFmtId="0" fontId="19" fillId="0" borderId="7" xfId="1" applyBorder="1"/>
    <xf numFmtId="0" fontId="31" fillId="9" borderId="22" xfId="1" applyFont="1" applyFill="1" applyAlignment="1">
      <alignment horizontal="center" vertical="center"/>
    </xf>
    <xf numFmtId="0" fontId="21" fillId="10" borderId="18" xfId="1" applyFont="1" applyFill="1" applyBorder="1" applyAlignment="1">
      <alignment horizontal="left" vertical="top" wrapText="1"/>
    </xf>
    <xf numFmtId="0" fontId="0" fillId="0" borderId="18" xfId="0" applyBorder="1"/>
    <xf numFmtId="0" fontId="20" fillId="10" borderId="22" xfId="1" applyFont="1" applyFill="1" applyAlignment="1">
      <alignment horizontal="center" vertical="center"/>
    </xf>
    <xf numFmtId="0" fontId="21" fillId="10" borderId="22" xfId="1" applyFont="1" applyFill="1" applyAlignment="1">
      <alignment horizontal="left" vertical="top" wrapText="1"/>
    </xf>
    <xf numFmtId="0" fontId="8" fillId="10" borderId="22" xfId="1" applyFont="1" applyFill="1" applyAlignment="1">
      <alignment horizontal="left" vertical="center"/>
    </xf>
    <xf numFmtId="0" fontId="11" fillId="10" borderId="22" xfId="1" applyFont="1" applyFill="1" applyAlignment="1">
      <alignment horizontal="center" vertical="center"/>
    </xf>
    <xf numFmtId="164" fontId="38" fillId="23" borderId="6" xfId="0" applyNumberFormat="1" applyFont="1" applyFill="1" applyBorder="1" applyAlignment="1">
      <alignment horizontal="center" vertical="center"/>
    </xf>
    <xf numFmtId="0" fontId="0" fillId="0" borderId="8" xfId="0" applyBorder="1"/>
    <xf numFmtId="0" fontId="34" fillId="20" borderId="22" xfId="0" applyFont="1" applyFill="1" applyAlignment="1">
      <alignment horizontal="center" vertical="center"/>
    </xf>
    <xf numFmtId="0" fontId="0" fillId="0" borderId="0" xfId="0" applyBorder="1"/>
    <xf numFmtId="0" fontId="36" fillId="22" borderId="26" xfId="0" applyFont="1" applyFill="1" applyBorder="1" applyAlignment="1">
      <alignment horizontal="center" vertical="center"/>
    </xf>
    <xf numFmtId="0" fontId="0" fillId="0" borderId="26" xfId="0" applyBorder="1"/>
    <xf numFmtId="0" fontId="27" fillId="20" borderId="6" xfId="0" applyFont="1" applyFill="1" applyBorder="1" applyAlignment="1">
      <alignment horizontal="center" vertical="center"/>
    </xf>
    <xf numFmtId="0" fontId="39" fillId="22" borderId="25" xfId="0" applyFont="1" applyFill="1" applyBorder="1" applyAlignment="1">
      <alignment horizontal="left" vertical="center"/>
    </xf>
    <xf numFmtId="0" fontId="0" fillId="0" borderId="25" xfId="0" applyBorder="1"/>
    <xf numFmtId="166" fontId="38" fillId="23" borderId="6" xfId="0" applyNumberFormat="1" applyFont="1" applyFill="1" applyBorder="1" applyAlignment="1">
      <alignment horizontal="center" vertical="center"/>
    </xf>
    <xf numFmtId="0" fontId="38" fillId="23" borderId="6" xfId="0" applyFont="1" applyFill="1" applyBorder="1" applyAlignment="1">
      <alignment horizontal="center" vertical="center"/>
    </xf>
    <xf numFmtId="0" fontId="33" fillId="19" borderId="22" xfId="0" applyFont="1" applyFill="1" applyAlignment="1">
      <alignment horizontal="center" vertical="center"/>
    </xf>
    <xf numFmtId="164" fontId="37" fillId="24" borderId="6" xfId="0" applyNumberFormat="1" applyFont="1" applyFill="1" applyBorder="1" applyAlignment="1">
      <alignment horizontal="center" vertical="center"/>
    </xf>
    <xf numFmtId="0" fontId="27" fillId="23" borderId="6" xfId="0" applyFont="1" applyFill="1" applyBorder="1" applyAlignment="1">
      <alignment horizontal="center" vertical="center"/>
    </xf>
    <xf numFmtId="0" fontId="37" fillId="24" borderId="6" xfId="0" applyFont="1" applyFill="1" applyBorder="1" applyAlignment="1">
      <alignment horizontal="center" vertical="center"/>
    </xf>
    <xf numFmtId="166" fontId="37" fillId="24" borderId="6" xfId="0" applyNumberFormat="1" applyFont="1" applyFill="1" applyBorder="1" applyAlignment="1">
      <alignment horizontal="center" vertical="center"/>
    </xf>
    <xf numFmtId="0" fontId="35" fillId="21" borderId="22" xfId="0" applyFont="1" applyFill="1" applyAlignment="1">
      <alignment horizontal="right" vertical="center"/>
    </xf>
    <xf numFmtId="164" fontId="16" fillId="5" borderId="10" xfId="0" applyNumberFormat="1" applyFont="1" applyFill="1" applyBorder="1" applyAlignment="1">
      <alignment horizontal="left" vertical="center"/>
    </xf>
    <xf numFmtId="0" fontId="16" fillId="2" borderId="9" xfId="0" applyFont="1" applyFill="1" applyBorder="1" applyAlignment="1">
      <alignment horizontal="left" vertical="center"/>
    </xf>
    <xf numFmtId="0" fontId="14" fillId="2" borderId="22" xfId="0" applyFont="1" applyFill="1" applyAlignment="1">
      <alignment horizontal="left" vertical="center"/>
    </xf>
    <xf numFmtId="0" fontId="16" fillId="5" borderId="10" xfId="0" applyFont="1" applyFill="1" applyBorder="1" applyAlignment="1">
      <alignment horizontal="left" vertical="center"/>
    </xf>
    <xf numFmtId="0" fontId="4" fillId="2" borderId="22" xfId="0" applyFont="1" applyFill="1" applyAlignment="1">
      <alignment horizontal="left" vertical="center"/>
    </xf>
    <xf numFmtId="0" fontId="49" fillId="0" borderId="0" xfId="0" applyFont="1" applyBorder="1"/>
    <xf numFmtId="0" fontId="50" fillId="30" borderId="0" xfId="0" applyFont="1" applyFill="1" applyBorder="1" applyAlignment="1">
      <alignment horizontal="center"/>
    </xf>
    <xf numFmtId="0" fontId="51" fillId="0" borderId="0" xfId="0" applyFont="1" applyBorder="1"/>
    <xf numFmtId="0" fontId="52" fillId="0" borderId="0" xfId="0" applyFont="1" applyBorder="1"/>
    <xf numFmtId="0" fontId="53" fillId="0" borderId="0" xfId="0" applyFont="1" applyBorder="1"/>
    <xf numFmtId="0" fontId="22" fillId="31" borderId="0" xfId="0" applyFont="1" applyFill="1" applyBorder="1"/>
    <xf numFmtId="0" fontId="0" fillId="32" borderId="0" xfId="0" applyFill="1" applyBorder="1"/>
    <xf numFmtId="0" fontId="54" fillId="32" borderId="0" xfId="0" applyFont="1" applyFill="1" applyBorder="1"/>
    <xf numFmtId="14" fontId="0" fillId="0" borderId="0" xfId="0" applyNumberFormat="1" applyBorder="1"/>
    <xf numFmtId="0" fontId="48" fillId="17" borderId="0" xfId="0" applyFont="1" applyFill="1" applyBorder="1"/>
    <xf numFmtId="0" fontId="55" fillId="33" borderId="0" xfId="0" applyFont="1" applyFill="1" applyBorder="1"/>
    <xf numFmtId="0" fontId="48" fillId="0" borderId="0" xfId="0" applyFont="1" applyFill="1" applyBorder="1"/>
    <xf numFmtId="171" fontId="0" fillId="0" borderId="0" xfId="0" applyNumberFormat="1" applyBorder="1"/>
    <xf numFmtId="166" fontId="0" fillId="0" borderId="0" xfId="0" applyNumberFormat="1" applyBorder="1"/>
    <xf numFmtId="0" fontId="0" fillId="34" borderId="0" xfId="0" applyFill="1" applyBorder="1"/>
    <xf numFmtId="171" fontId="0" fillId="34" borderId="0" xfId="0" applyNumberFormat="1" applyFill="1" applyBorder="1"/>
    <xf numFmtId="166" fontId="0" fillId="34" borderId="0" xfId="0" applyNumberFormat="1" applyFill="1" applyBorder="1"/>
    <xf numFmtId="0" fontId="56" fillId="0" borderId="0" xfId="0" applyFont="1" applyBorder="1"/>
    <xf numFmtId="0" fontId="57" fillId="34" borderId="0" xfId="0" applyFont="1" applyFill="1" applyBorder="1"/>
    <xf numFmtId="171" fontId="0" fillId="32" borderId="0" xfId="0" applyNumberFormat="1" applyFill="1" applyBorder="1"/>
    <xf numFmtId="166" fontId="0" fillId="32" borderId="0" xfId="0" applyNumberFormat="1" applyFill="1" applyBorder="1"/>
    <xf numFmtId="0" fontId="57" fillId="32" borderId="0" xfId="0" applyFont="1" applyFill="1" applyBorder="1"/>
    <xf numFmtId="0" fontId="58" fillId="32" borderId="0" xfId="0" applyFont="1" applyFill="1" applyBorder="1"/>
    <xf numFmtId="0" fontId="56" fillId="32" borderId="0" xfId="0" applyFont="1" applyFill="1" applyBorder="1"/>
    <xf numFmtId="0" fontId="56" fillId="34" borderId="0" xfId="0" applyFont="1" applyFill="1" applyBorder="1"/>
    <xf numFmtId="0" fontId="57" fillId="0" borderId="0" xfId="0" applyFont="1" applyBorder="1"/>
    <xf numFmtId="0" fontId="59" fillId="0" borderId="0" xfId="0" applyFont="1" applyBorder="1"/>
    <xf numFmtId="172" fontId="0" fillId="0" borderId="0" xfId="0" applyNumberFormat="1" applyBorder="1"/>
    <xf numFmtId="0" fontId="22" fillId="31" borderId="29" xfId="0" applyFont="1" applyFill="1" applyBorder="1"/>
    <xf numFmtId="0" fontId="0" fillId="0" borderId="29" xfId="0" applyBorder="1" applyAlignment="1">
      <alignment horizontal="center"/>
    </xf>
    <xf numFmtId="0" fontId="53" fillId="0" borderId="29" xfId="0" applyFont="1" applyBorder="1"/>
    <xf numFmtId="172" fontId="0" fillId="0" borderId="29" xfId="0" applyNumberFormat="1" applyBorder="1"/>
    <xf numFmtId="173" fontId="56" fillId="0" borderId="29" xfId="0" applyNumberFormat="1" applyFont="1" applyBorder="1"/>
    <xf numFmtId="166" fontId="56" fillId="0" borderId="29" xfId="0" applyNumberFormat="1" applyFont="1" applyBorder="1"/>
    <xf numFmtId="0" fontId="0" fillId="0" borderId="29" xfId="0" applyBorder="1" applyAlignment="1">
      <alignment wrapText="1"/>
    </xf>
    <xf numFmtId="172" fontId="0" fillId="34" borderId="0" xfId="0" applyNumberFormat="1" applyFill="1" applyBorder="1"/>
    <xf numFmtId="0" fontId="0" fillId="35" borderId="0" xfId="0" applyFill="1" applyBorder="1"/>
    <xf numFmtId="0" fontId="60" fillId="35" borderId="0" xfId="0" applyFont="1" applyFill="1" applyBorder="1"/>
    <xf numFmtId="0" fontId="61" fillId="35" borderId="0" xfId="0" applyFont="1" applyFill="1" applyBorder="1"/>
    <xf numFmtId="0" fontId="62" fillId="35" borderId="0" xfId="0" applyFont="1" applyFill="1" applyBorder="1"/>
    <xf numFmtId="172" fontId="0" fillId="35" borderId="0" xfId="0" applyNumberFormat="1" applyFill="1" applyBorder="1"/>
    <xf numFmtId="172" fontId="63" fillId="35" borderId="0" xfId="0" applyNumberFormat="1" applyFont="1" applyFill="1" applyBorder="1"/>
    <xf numFmtId="0" fontId="0" fillId="36" borderId="0" xfId="0" applyFill="1" applyBorder="1"/>
    <xf numFmtId="166" fontId="0" fillId="35" borderId="0" xfId="0" applyNumberFormat="1" applyFill="1" applyBorder="1"/>
    <xf numFmtId="166" fontId="63" fillId="35" borderId="0" xfId="0" applyNumberFormat="1" applyFont="1" applyFill="1" applyBorder="1"/>
    <xf numFmtId="0" fontId="64" fillId="35" borderId="0" xfId="0" applyFont="1" applyFill="1" applyBorder="1"/>
    <xf numFmtId="0" fontId="0" fillId="37" borderId="0" xfId="0" applyFill="1" applyBorder="1"/>
    <xf numFmtId="0" fontId="0" fillId="38" borderId="0" xfId="0" applyFill="1" applyBorder="1"/>
    <xf numFmtId="0" fontId="0" fillId="39" borderId="0" xfId="0" applyFill="1" applyBorder="1"/>
    <xf numFmtId="0" fontId="53" fillId="35" borderId="0" xfId="0" applyFont="1" applyFill="1" applyBorder="1"/>
    <xf numFmtId="173" fontId="56" fillId="35" borderId="0" xfId="0" applyNumberFormat="1" applyFont="1" applyFill="1" applyBorder="1"/>
    <xf numFmtId="166" fontId="56" fillId="35" borderId="0" xfId="0" applyNumberFormat="1" applyFont="1" applyFill="1" applyBorder="1"/>
    <xf numFmtId="173" fontId="65" fillId="35" borderId="0" xfId="0" applyNumberFormat="1" applyFont="1" applyFill="1" applyBorder="1"/>
    <xf numFmtId="166" fontId="65" fillId="35" borderId="0" xfId="0" applyNumberFormat="1" applyFont="1" applyFill="1" applyBorder="1"/>
    <xf numFmtId="0" fontId="66" fillId="35" borderId="30" xfId="0" applyFont="1" applyFill="1" applyBorder="1"/>
    <xf numFmtId="0" fontId="0" fillId="35" borderId="30" xfId="0" applyFill="1" applyBorder="1"/>
    <xf numFmtId="0" fontId="53" fillId="40" borderId="0" xfId="0" applyFont="1" applyFill="1" applyBorder="1"/>
    <xf numFmtId="172" fontId="0" fillId="40" borderId="0" xfId="0" applyNumberFormat="1" applyFill="1" applyBorder="1"/>
    <xf numFmtId="166" fontId="0" fillId="40" borderId="0" xfId="0" applyNumberFormat="1" applyFill="1" applyBorder="1"/>
    <xf numFmtId="0" fontId="67" fillId="40" borderId="0" xfId="0" applyFont="1" applyFill="1" applyBorder="1"/>
    <xf numFmtId="0" fontId="68" fillId="35" borderId="0" xfId="0" applyFont="1" applyFill="1" applyBorder="1"/>
    <xf numFmtId="0" fontId="68" fillId="40" borderId="0" xfId="0" applyFont="1" applyFill="1" applyBorder="1"/>
    <xf numFmtId="0" fontId="69" fillId="35" borderId="0" xfId="0" applyFont="1" applyFill="1" applyBorder="1"/>
    <xf numFmtId="0" fontId="70" fillId="35" borderId="0" xfId="0" applyFont="1" applyFill="1" applyBorder="1"/>
    <xf numFmtId="0" fontId="71" fillId="41" borderId="0" xfId="0" applyFont="1" applyFill="1" applyBorder="1" applyAlignment="1">
      <alignment horizontal="center"/>
    </xf>
    <xf numFmtId="172" fontId="55" fillId="42" borderId="0" xfId="0" applyNumberFormat="1" applyFont="1" applyFill="1" applyBorder="1" applyAlignment="1">
      <alignment horizontal="center"/>
    </xf>
    <xf numFmtId="172" fontId="0" fillId="40" borderId="0" xfId="0" applyNumberFormat="1" applyFill="1" applyBorder="1" applyAlignment="1">
      <alignment horizontal="center"/>
    </xf>
    <xf numFmtId="172" fontId="72" fillId="17" borderId="0" xfId="0" applyNumberFormat="1" applyFont="1" applyFill="1" applyBorder="1" applyAlignment="1">
      <alignment horizontal="center"/>
    </xf>
    <xf numFmtId="166" fontId="56" fillId="35" borderId="0" xfId="0" applyNumberFormat="1" applyFont="1" applyFill="1" applyBorder="1" applyAlignment="1">
      <alignment horizontal="center"/>
    </xf>
    <xf numFmtId="166" fontId="65" fillId="35" borderId="0" xfId="0" applyNumberFormat="1" applyFont="1" applyFill="1" applyBorder="1" applyAlignment="1">
      <alignment horizontal="center"/>
    </xf>
    <xf numFmtId="0" fontId="73" fillId="35" borderId="0" xfId="0" applyFont="1" applyFill="1" applyBorder="1"/>
    <xf numFmtId="0" fontId="0" fillId="43" borderId="0" xfId="0" applyFill="1" applyBorder="1"/>
    <xf numFmtId="0" fontId="0" fillId="31" borderId="0" xfId="0" applyFill="1" applyBorder="1"/>
    <xf numFmtId="0" fontId="38" fillId="31" borderId="0" xfId="0" applyFont="1" applyFill="1" applyBorder="1" applyAlignment="1">
      <alignment vertical="center"/>
    </xf>
    <xf numFmtId="0" fontId="74" fillId="41" borderId="0" xfId="0" applyFont="1" applyFill="1" applyBorder="1"/>
    <xf numFmtId="0" fontId="75" fillId="43" borderId="0" xfId="0" applyFont="1" applyFill="1" applyBorder="1"/>
    <xf numFmtId="0" fontId="76" fillId="44" borderId="0" xfId="0" applyFont="1" applyFill="1" applyBorder="1" applyAlignment="1">
      <alignment vertical="center"/>
    </xf>
    <xf numFmtId="0" fontId="0" fillId="43" borderId="0" xfId="0" applyFill="1" applyBorder="1" applyAlignment="1">
      <alignment wrapText="1"/>
    </xf>
    <xf numFmtId="0" fontId="77" fillId="43" borderId="0" xfId="0" applyFont="1" applyFill="1" applyBorder="1" applyAlignment="1">
      <alignment wrapText="1"/>
    </xf>
    <xf numFmtId="0" fontId="76" fillId="45" borderId="0" xfId="0" applyFont="1" applyFill="1" applyBorder="1" applyAlignment="1">
      <alignment vertical="center"/>
    </xf>
    <xf numFmtId="0" fontId="76" fillId="36" borderId="0" xfId="0" applyFont="1" applyFill="1" applyBorder="1" applyAlignment="1">
      <alignment vertical="center"/>
    </xf>
    <xf numFmtId="0" fontId="76" fillId="39" borderId="0" xfId="0" applyFont="1" applyFill="1" applyBorder="1" applyAlignment="1">
      <alignment vertical="center"/>
    </xf>
    <xf numFmtId="0" fontId="76" fillId="46" borderId="0" xfId="0" applyFont="1" applyFill="1" applyBorder="1" applyAlignment="1">
      <alignment vertical="center"/>
    </xf>
    <xf numFmtId="0" fontId="78" fillId="43" borderId="0" xfId="0" applyFont="1" applyFill="1" applyBorder="1"/>
  </cellXfs>
  <cellStyles count="2">
    <cellStyle name="Normal" xfId="0" builtinId="0"/>
    <cellStyle name="Normal 2" xfId="1" xr:uid="{00000000-0005-0000-0000-000001000000}"/>
  </cellStyles>
  <dxfs count="7">
    <dxf>
      <font>
        <color rgb="FF9C0006"/>
      </font>
      <fill>
        <patternFill>
          <bgColor rgb="FFFFC7CE"/>
        </patternFill>
      </fill>
    </dxf>
    <dxf>
      <font>
        <color rgb="FF006100"/>
      </font>
      <fill>
        <patternFill>
          <bgColor rgb="FFC6EFCE"/>
        </patternFill>
      </fill>
    </dxf>
    <dxf>
      <font>
        <b/>
        <sz val="10"/>
        <color rgb="FFF9F9F9"/>
        <name val="Arial"/>
      </font>
      <fill>
        <patternFill patternType="solid">
          <fgColor rgb="FFFF4C4C"/>
          <bgColor rgb="FFFF4C4C"/>
        </patternFill>
      </fill>
    </dxf>
    <dxf>
      <font>
        <b/>
        <sz val="10"/>
        <color rgb="FF161616"/>
        <name val="Arial"/>
      </font>
      <fill>
        <patternFill patternType="solid">
          <fgColor rgb="FFBFF18C"/>
          <bgColor rgb="FFBFF18C"/>
        </patternFill>
      </fill>
    </dxf>
    <dxf>
      <font>
        <color rgb="FFC00000"/>
      </font>
      <fill>
        <patternFill>
          <bgColor rgb="FFFFC7CE"/>
        </patternFill>
      </fill>
    </dxf>
    <dxf>
      <font>
        <color rgb="FFC00000"/>
      </font>
      <fill>
        <patternFill>
          <bgColor rgb="FFFFC7CE"/>
        </patternFill>
      </fill>
    </dxf>
    <dxf>
      <font>
        <color rgb="FFC00000"/>
      </font>
      <fill>
        <patternFill>
          <bgColor rgb="FFFFC7CE"/>
        </patternFill>
      </fill>
    </dxf>
  </dxfs>
  <tableStyles count="1" defaultTableStyle="TableStyleMedium2" defaultPivotStyle="PivotStyleLight16">
    <tableStyle name="Invisible" pivot="0" table="0" count="0" xr9:uid="{00000000-0011-0000-FFFF-FFFF00000000}"/>
  </tableStyles>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2F75B5"/>
      <rgbColor rgb="FFC0C0C0"/>
      <rgbColor rgb="FF808080"/>
      <rgbColor rgb="FF9999FF"/>
      <rgbColor rgb="FF993366"/>
      <rgbColor rgb="FFF2F2F2"/>
      <rgbColor rgb="FFEDF2F9"/>
      <rgbColor rgb="FF660066"/>
      <rgbColor rgb="FFFF8080"/>
      <rgbColor rgb="FF0563C1"/>
      <rgbColor rgb="FFD9D9D9"/>
      <rgbColor rgb="FF000080"/>
      <rgbColor rgb="FFFF00FF"/>
      <rgbColor rgb="FFFFFF00"/>
      <rgbColor rgb="FF00FFFF"/>
      <rgbColor rgb="FF800080"/>
      <rgbColor rgb="FFC00000"/>
      <rgbColor rgb="FF008080"/>
      <rgbColor rgb="FF0000FF"/>
      <rgbColor rgb="FF00CCFF"/>
      <rgbColor rgb="FFD6E4F0"/>
      <rgbColor rgb="FFC6EFCE"/>
      <rgbColor rgb="FFFFD966"/>
      <rgbColor rgb="FF99CCFF"/>
      <rgbColor rgb="FFFF99CC"/>
      <rgbColor rgb="FFCC99FF"/>
      <rgbColor rgb="FFFFC7CE"/>
      <rgbColor rgb="FF4472C4"/>
      <rgbColor rgb="FF33CCCC"/>
      <rgbColor rgb="FF99CC00"/>
      <rgbColor rgb="FFFFCC00"/>
      <rgbColor rgb="FFFF9900"/>
      <rgbColor rgb="FFED7D31"/>
      <rgbColor rgb="FF666699"/>
      <rgbColor rgb="FF969696"/>
      <rgbColor rgb="FF003366"/>
      <rgbColor rgb="FF2E8B8B"/>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6/relationships/vbaProject" Target="vbaProject.bin"/></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latin typeface="Calibri"/>
                <a:ea typeface="Calibri"/>
                <a:cs typeface="Calibri"/>
              </a:defRPr>
            </a:pPr>
            <a:r>
              <a:rPr lang="en-US"/>
              <a:t>Monthly Revenue by Product - FY2025</a:t>
            </a:r>
          </a:p>
        </c:rich>
      </c:tx>
      <c:overlay val="0"/>
    </c:title>
    <c:autoTitleDeleted val="0"/>
    <c:plotArea>
      <c:layout/>
      <c:lineChart>
        <c:grouping val="standard"/>
        <c:varyColors val="0"/>
        <c:ser>
          <c:idx val="0"/>
          <c:order val="0"/>
          <c:tx>
            <c:v>iGO</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Trend'!$B$15:$M$15</c:f>
              <c:numCache>
                <c:formatCode>#,##0</c:formatCode>
                <c:ptCount val="12"/>
                <c:pt idx="0">
                  <c:v>5087500</c:v>
                </c:pt>
                <c:pt idx="1">
                  <c:v>5214000</c:v>
                </c:pt>
                <c:pt idx="2">
                  <c:v>5362500</c:v>
                </c:pt>
                <c:pt idx="3">
                  <c:v>5456000</c:v>
                </c:pt>
                <c:pt idx="4">
                  <c:v>5582500</c:v>
                </c:pt>
                <c:pt idx="5">
                  <c:v>5709000</c:v>
                </c:pt>
                <c:pt idx="6">
                  <c:v>5610000</c:v>
                </c:pt>
                <c:pt idx="7">
                  <c:v>5802500</c:v>
                </c:pt>
                <c:pt idx="8">
                  <c:v>5896000</c:v>
                </c:pt>
                <c:pt idx="9">
                  <c:v>5989500</c:v>
                </c:pt>
                <c:pt idx="10">
                  <c:v>6077500</c:v>
                </c:pt>
                <c:pt idx="11">
                  <c:v>6242500</c:v>
                </c:pt>
              </c:numCache>
            </c:numRef>
          </c:val>
          <c:smooth val="0"/>
          <c:extLst>
            <c:ext xmlns:c16="http://schemas.microsoft.com/office/drawing/2014/chart" uri="{C3380CC4-5D6E-409C-BE32-E72D297353CC}">
              <c16:uniqueId val="{00000003-89DB-4802-8A51-BB97C2CBDA57}"/>
            </c:ext>
          </c:extLst>
        </c:ser>
        <c:ser>
          <c:idx val="1"/>
          <c:order val="1"/>
          <c:tx>
            <c:v>Affirm</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Trend'!$B$23:$M$23</c:f>
              <c:numCache>
                <c:formatCode>#,##0</c:formatCode>
                <c:ptCount val="12"/>
                <c:pt idx="0">
                  <c:v>2590000</c:v>
                </c:pt>
                <c:pt idx="1">
                  <c:v>2654400</c:v>
                </c:pt>
                <c:pt idx="2">
                  <c:v>2730000</c:v>
                </c:pt>
                <c:pt idx="3">
                  <c:v>2777600</c:v>
                </c:pt>
                <c:pt idx="4">
                  <c:v>2842000</c:v>
                </c:pt>
                <c:pt idx="5">
                  <c:v>2906400</c:v>
                </c:pt>
                <c:pt idx="6">
                  <c:v>2856000</c:v>
                </c:pt>
                <c:pt idx="7">
                  <c:v>2954000</c:v>
                </c:pt>
                <c:pt idx="8">
                  <c:v>3001600</c:v>
                </c:pt>
                <c:pt idx="9">
                  <c:v>3049200</c:v>
                </c:pt>
                <c:pt idx="10">
                  <c:v>3094000</c:v>
                </c:pt>
                <c:pt idx="11">
                  <c:v>3178000</c:v>
                </c:pt>
              </c:numCache>
            </c:numRef>
          </c:val>
          <c:smooth val="0"/>
          <c:extLst>
            <c:ext xmlns:c16="http://schemas.microsoft.com/office/drawing/2014/chart" uri="{C3380CC4-5D6E-409C-BE32-E72D297353CC}">
              <c16:uniqueId val="{00000004-89DB-4802-8A51-BB97C2CBDA57}"/>
            </c:ext>
          </c:extLst>
        </c:ser>
        <c:ser>
          <c:idx val="2"/>
          <c:order val="2"/>
          <c:tx>
            <c:v>InsureSight</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Trend'!$B$31:$M$31</c:f>
              <c:numCache>
                <c:formatCode>#,##0</c:formatCode>
                <c:ptCount val="12"/>
                <c:pt idx="0">
                  <c:v>1110000</c:v>
                </c:pt>
                <c:pt idx="1">
                  <c:v>1137600</c:v>
                </c:pt>
                <c:pt idx="2">
                  <c:v>1170000</c:v>
                </c:pt>
                <c:pt idx="3">
                  <c:v>1190400</c:v>
                </c:pt>
                <c:pt idx="4">
                  <c:v>1218000</c:v>
                </c:pt>
                <c:pt idx="5">
                  <c:v>1245600</c:v>
                </c:pt>
                <c:pt idx="6">
                  <c:v>1224000</c:v>
                </c:pt>
                <c:pt idx="7">
                  <c:v>1266000</c:v>
                </c:pt>
                <c:pt idx="8">
                  <c:v>1286400</c:v>
                </c:pt>
                <c:pt idx="9">
                  <c:v>1306800</c:v>
                </c:pt>
                <c:pt idx="10">
                  <c:v>1326000</c:v>
                </c:pt>
                <c:pt idx="11">
                  <c:v>1362000</c:v>
                </c:pt>
              </c:numCache>
            </c:numRef>
          </c:val>
          <c:smooth val="0"/>
          <c:extLst>
            <c:ext xmlns:c16="http://schemas.microsoft.com/office/drawing/2014/chart" uri="{C3380CC4-5D6E-409C-BE32-E72D297353CC}">
              <c16:uniqueId val="{00000005-89DB-4802-8A51-BB97C2CBDA57}"/>
            </c:ext>
          </c:extLst>
        </c:ser>
        <c:ser>
          <c:idx val="3"/>
          <c:order val="3"/>
          <c:tx>
            <c:v>DocFast</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Trend'!$B$39:$M$39</c:f>
              <c:numCache>
                <c:formatCode>#,##0</c:formatCode>
                <c:ptCount val="12"/>
                <c:pt idx="0">
                  <c:v>462500</c:v>
                </c:pt>
                <c:pt idx="1">
                  <c:v>474000</c:v>
                </c:pt>
                <c:pt idx="2">
                  <c:v>487500</c:v>
                </c:pt>
                <c:pt idx="3">
                  <c:v>496000</c:v>
                </c:pt>
                <c:pt idx="4">
                  <c:v>507500</c:v>
                </c:pt>
                <c:pt idx="5">
                  <c:v>519000</c:v>
                </c:pt>
                <c:pt idx="6">
                  <c:v>510000</c:v>
                </c:pt>
                <c:pt idx="7">
                  <c:v>527500</c:v>
                </c:pt>
                <c:pt idx="8">
                  <c:v>536000</c:v>
                </c:pt>
                <c:pt idx="9">
                  <c:v>544500</c:v>
                </c:pt>
                <c:pt idx="10">
                  <c:v>552500</c:v>
                </c:pt>
                <c:pt idx="11">
                  <c:v>567500</c:v>
                </c:pt>
              </c:numCache>
            </c:numRef>
          </c:val>
          <c:smooth val="0"/>
          <c:extLst>
            <c:ext xmlns:c16="http://schemas.microsoft.com/office/drawing/2014/chart" uri="{C3380CC4-5D6E-409C-BE32-E72D297353CC}">
              <c16:uniqueId val="{00000006-89DB-4802-8A51-BB97C2CBDA57}"/>
            </c:ext>
          </c:extLst>
        </c:ser>
        <c:dLbls>
          <c:showLegendKey val="0"/>
          <c:showVal val="0"/>
          <c:showCatName val="0"/>
          <c:showSerName val="0"/>
          <c:showPercent val="0"/>
          <c:showBubbleSize val="0"/>
        </c:dLbls>
        <c:smooth val="0"/>
        <c:axId val="544692240"/>
        <c:axId val="544706640"/>
      </c:lineChart>
      <c:catAx>
        <c:axId val="544692240"/>
        <c:scaling>
          <c:orientation val="minMax"/>
        </c:scaling>
        <c:delete val="0"/>
        <c:axPos val="b"/>
        <c:numFmt formatCode="General" sourceLinked="1"/>
        <c:majorTickMark val="out"/>
        <c:minorTickMark val="none"/>
        <c:tickLblPos val="nextTo"/>
        <c:crossAx val="544706640"/>
        <c:crosses val="autoZero"/>
        <c:auto val="1"/>
        <c:lblAlgn val="ctr"/>
        <c:lblOffset val="100"/>
        <c:noMultiLvlLbl val="0"/>
      </c:catAx>
      <c:valAx>
        <c:axId val="544706640"/>
        <c:scaling>
          <c:orientation val="minMax"/>
        </c:scaling>
        <c:delete val="0"/>
        <c:axPos val="l"/>
        <c:majorGridlines/>
        <c:title>
          <c:tx>
            <c:rich>
              <a:bodyPr/>
              <a:lstStyle/>
              <a:p>
                <a:pPr>
                  <a:defRPr sz="900"/>
                </a:pPr>
                <a:r>
                  <a:rPr lang="en-US"/>
                  <a:t>Revenue ($)</a:t>
                </a:r>
              </a:p>
            </c:rich>
          </c:tx>
          <c:overlay val="0"/>
        </c:title>
        <c:numFmt formatCode="&quot;$&quot;#,##0" sourceLinked="0"/>
        <c:majorTickMark val="out"/>
        <c:minorTickMark val="none"/>
        <c:tickLblPos val="nextTo"/>
        <c:crossAx val="544692240"/>
        <c:crosses val="autoZero"/>
        <c:crossBetween val="between"/>
      </c:valAx>
      <c:spPr>
        <a:solidFill>
          <a:srgbClr val="FFFFFF"/>
        </a:solidFill>
      </c:spPr>
    </c:plotArea>
    <c:legend>
      <c:legendPos val="b"/>
      <c:overlay val="0"/>
      <c:txPr>
        <a:bodyPr/>
        <a:lstStyle/>
        <a:p>
          <a:pPr>
            <a:defRPr sz="9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latin typeface="Calibri"/>
                <a:ea typeface="Calibri"/>
                <a:cs typeface="Calibri"/>
              </a:defRPr>
            </a:pPr>
            <a:r>
              <a:rPr lang="en-US"/>
              <a:t>Contribution Margin % Trend - FY2025</a:t>
            </a:r>
          </a:p>
        </c:rich>
      </c:tx>
      <c:overlay val="0"/>
    </c:title>
    <c:autoTitleDeleted val="0"/>
    <c:plotArea>
      <c:layout/>
      <c:lineChart>
        <c:grouping val="standard"/>
        <c:varyColors val="0"/>
        <c:ser>
          <c:idx val="0"/>
          <c:order val="0"/>
          <c:tx>
            <c:v>iGO</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Trend'!$B$18:$M$18</c:f>
              <c:numCache>
                <c:formatCode>0.0%</c:formatCode>
                <c:ptCount val="12"/>
                <c:pt idx="0">
                  <c:v>0.6</c:v>
                </c:pt>
                <c:pt idx="1">
                  <c:v>0.6</c:v>
                </c:pt>
                <c:pt idx="2">
                  <c:v>0.6</c:v>
                </c:pt>
                <c:pt idx="3">
                  <c:v>0.6</c:v>
                </c:pt>
                <c:pt idx="4">
                  <c:v>0.6</c:v>
                </c:pt>
                <c:pt idx="5">
                  <c:v>0.6</c:v>
                </c:pt>
                <c:pt idx="6">
                  <c:v>0.6</c:v>
                </c:pt>
                <c:pt idx="7">
                  <c:v>0.6</c:v>
                </c:pt>
                <c:pt idx="8">
                  <c:v>0.6</c:v>
                </c:pt>
                <c:pt idx="9">
                  <c:v>0.6</c:v>
                </c:pt>
                <c:pt idx="10">
                  <c:v>0.6</c:v>
                </c:pt>
                <c:pt idx="11">
                  <c:v>0.6</c:v>
                </c:pt>
              </c:numCache>
            </c:numRef>
          </c:val>
          <c:smooth val="0"/>
          <c:extLst>
            <c:ext xmlns:c16="http://schemas.microsoft.com/office/drawing/2014/chart" uri="{C3380CC4-5D6E-409C-BE32-E72D297353CC}">
              <c16:uniqueId val="{00000003-7898-4D5F-A14B-2B8E97434C98}"/>
            </c:ext>
          </c:extLst>
        </c:ser>
        <c:ser>
          <c:idx val="1"/>
          <c:order val="1"/>
          <c:tx>
            <c:v>Affirm</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Trend'!$B$26:$M$26</c:f>
              <c:numCache>
                <c:formatCode>0.0%</c:formatCode>
                <c:ptCount val="12"/>
                <c:pt idx="0">
                  <c:v>0.57999999999999996</c:v>
                </c:pt>
                <c:pt idx="1">
                  <c:v>0.57999999999999996</c:v>
                </c:pt>
                <c:pt idx="2">
                  <c:v>0.57999999999999996</c:v>
                </c:pt>
                <c:pt idx="3">
                  <c:v>0.57999999999999996</c:v>
                </c:pt>
                <c:pt idx="4">
                  <c:v>0.57999999999999996</c:v>
                </c:pt>
                <c:pt idx="5">
                  <c:v>0.57999999999999996</c:v>
                </c:pt>
                <c:pt idx="6">
                  <c:v>0.57999999999999996</c:v>
                </c:pt>
                <c:pt idx="7">
                  <c:v>0.57999999999999996</c:v>
                </c:pt>
                <c:pt idx="8">
                  <c:v>0.57999999999999996</c:v>
                </c:pt>
                <c:pt idx="9">
                  <c:v>0.57999999999999996</c:v>
                </c:pt>
                <c:pt idx="10">
                  <c:v>0.57999999999999996</c:v>
                </c:pt>
                <c:pt idx="11">
                  <c:v>0.57999999999999996</c:v>
                </c:pt>
              </c:numCache>
            </c:numRef>
          </c:val>
          <c:smooth val="0"/>
          <c:extLst>
            <c:ext xmlns:c16="http://schemas.microsoft.com/office/drawing/2014/chart" uri="{C3380CC4-5D6E-409C-BE32-E72D297353CC}">
              <c16:uniqueId val="{00000004-7898-4D5F-A14B-2B8E97434C98}"/>
            </c:ext>
          </c:extLst>
        </c:ser>
        <c:ser>
          <c:idx val="2"/>
          <c:order val="2"/>
          <c:tx>
            <c:v>InsureSight</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Trend'!$B$34:$M$34</c:f>
              <c:numCache>
                <c:formatCode>0.0%</c:formatCode>
                <c:ptCount val="12"/>
                <c:pt idx="0">
                  <c:v>0.55000000000000004</c:v>
                </c:pt>
                <c:pt idx="1">
                  <c:v>0.55000000000000004</c:v>
                </c:pt>
                <c:pt idx="2">
                  <c:v>0.55000000000000004</c:v>
                </c:pt>
                <c:pt idx="3">
                  <c:v>0.55000000000000004</c:v>
                </c:pt>
                <c:pt idx="4">
                  <c:v>0.55000000000000004</c:v>
                </c:pt>
                <c:pt idx="5">
                  <c:v>0.55000000000000004</c:v>
                </c:pt>
                <c:pt idx="6">
                  <c:v>0.55000000000000004</c:v>
                </c:pt>
                <c:pt idx="7">
                  <c:v>0.55000000000000004</c:v>
                </c:pt>
                <c:pt idx="8">
                  <c:v>0.55000000000000004</c:v>
                </c:pt>
                <c:pt idx="9">
                  <c:v>0.55000000000000004</c:v>
                </c:pt>
                <c:pt idx="10">
                  <c:v>0.55000000000000004</c:v>
                </c:pt>
                <c:pt idx="11">
                  <c:v>0.55000000000000004</c:v>
                </c:pt>
              </c:numCache>
            </c:numRef>
          </c:val>
          <c:smooth val="0"/>
          <c:extLst>
            <c:ext xmlns:c16="http://schemas.microsoft.com/office/drawing/2014/chart" uri="{C3380CC4-5D6E-409C-BE32-E72D297353CC}">
              <c16:uniqueId val="{00000005-7898-4D5F-A14B-2B8E97434C98}"/>
            </c:ext>
          </c:extLst>
        </c:ser>
        <c:ser>
          <c:idx val="3"/>
          <c:order val="3"/>
          <c:tx>
            <c:v>DocFast</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Trend'!$B$42:$M$42</c:f>
              <c:numCache>
                <c:formatCode>0.0%</c:formatCode>
                <c:ptCount val="12"/>
                <c:pt idx="0">
                  <c:v>0.52</c:v>
                </c:pt>
                <c:pt idx="1">
                  <c:v>0.52</c:v>
                </c:pt>
                <c:pt idx="2">
                  <c:v>0.52</c:v>
                </c:pt>
                <c:pt idx="3">
                  <c:v>0.52</c:v>
                </c:pt>
                <c:pt idx="4">
                  <c:v>0.52</c:v>
                </c:pt>
                <c:pt idx="5">
                  <c:v>0.52</c:v>
                </c:pt>
                <c:pt idx="6">
                  <c:v>0.52</c:v>
                </c:pt>
                <c:pt idx="7">
                  <c:v>0.52</c:v>
                </c:pt>
                <c:pt idx="8">
                  <c:v>0.52</c:v>
                </c:pt>
                <c:pt idx="9">
                  <c:v>0.52</c:v>
                </c:pt>
                <c:pt idx="10">
                  <c:v>0.52</c:v>
                </c:pt>
                <c:pt idx="11">
                  <c:v>0.52</c:v>
                </c:pt>
              </c:numCache>
            </c:numRef>
          </c:val>
          <c:smooth val="0"/>
          <c:extLst>
            <c:ext xmlns:c16="http://schemas.microsoft.com/office/drawing/2014/chart" uri="{C3380CC4-5D6E-409C-BE32-E72D297353CC}">
              <c16:uniqueId val="{00000006-7898-4D5F-A14B-2B8E97434C98}"/>
            </c:ext>
          </c:extLst>
        </c:ser>
        <c:dLbls>
          <c:showLegendKey val="0"/>
          <c:showVal val="0"/>
          <c:showCatName val="0"/>
          <c:showSerName val="0"/>
          <c:showPercent val="0"/>
          <c:showBubbleSize val="0"/>
        </c:dLbls>
        <c:smooth val="0"/>
        <c:axId val="544693200"/>
        <c:axId val="544696560"/>
      </c:lineChart>
      <c:catAx>
        <c:axId val="544693200"/>
        <c:scaling>
          <c:orientation val="minMax"/>
        </c:scaling>
        <c:delete val="0"/>
        <c:axPos val="b"/>
        <c:numFmt formatCode="General" sourceLinked="1"/>
        <c:majorTickMark val="out"/>
        <c:minorTickMark val="none"/>
        <c:tickLblPos val="nextTo"/>
        <c:crossAx val="544696560"/>
        <c:crosses val="autoZero"/>
        <c:auto val="1"/>
        <c:lblAlgn val="ctr"/>
        <c:lblOffset val="100"/>
        <c:noMultiLvlLbl val="0"/>
      </c:catAx>
      <c:valAx>
        <c:axId val="544696560"/>
        <c:scaling>
          <c:orientation val="minMax"/>
        </c:scaling>
        <c:delete val="0"/>
        <c:axPos val="l"/>
        <c:majorGridlines/>
        <c:title>
          <c:tx>
            <c:rich>
              <a:bodyPr/>
              <a:lstStyle/>
              <a:p>
                <a:pPr>
                  <a:defRPr sz="900"/>
                </a:pPr>
                <a:r>
                  <a:rPr lang="en-US"/>
                  <a:t>CM %</a:t>
                </a:r>
              </a:p>
            </c:rich>
          </c:tx>
          <c:overlay val="0"/>
        </c:title>
        <c:numFmt formatCode="0%" sourceLinked="0"/>
        <c:majorTickMark val="out"/>
        <c:minorTickMark val="none"/>
        <c:tickLblPos val="nextTo"/>
        <c:crossAx val="544693200"/>
        <c:crosses val="autoZero"/>
        <c:crossBetween val="between"/>
      </c:valAx>
      <c:spPr>
        <a:solidFill>
          <a:srgbClr val="FFFFFF"/>
        </a:solidFill>
      </c:spPr>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latin typeface="Calibri"/>
                <a:ea typeface="Calibri"/>
                <a:cs typeface="Calibri"/>
              </a:defRPr>
            </a:pPr>
            <a:r>
              <a:rPr lang="en-US"/>
              <a:t>FY2025 Revenue Mix</a:t>
            </a:r>
          </a:p>
        </c:rich>
      </c:tx>
      <c:overlay val="0"/>
    </c:title>
    <c:autoTitleDeleted val="0"/>
    <c:plotArea>
      <c:layout/>
      <c:pieChart>
        <c:varyColors val="1"/>
        <c:ser>
          <c:idx val="0"/>
          <c:order val="0"/>
          <c:dPt>
            <c:idx val="0"/>
            <c:bubble3D val="0"/>
            <c:spPr>
              <a:solidFill>
                <a:srgbClr val="1F4E79"/>
              </a:solidFill>
            </c:spPr>
            <c:extLst>
              <c:ext xmlns:c16="http://schemas.microsoft.com/office/drawing/2014/chart" uri="{C3380CC4-5D6E-409C-BE32-E72D297353CC}">
                <c16:uniqueId val="{00000004-58CA-438F-8F1A-9FB4BC351938}"/>
              </c:ext>
            </c:extLst>
          </c:dPt>
          <c:dPt>
            <c:idx val="1"/>
            <c:bubble3D val="0"/>
            <c:spPr>
              <a:solidFill>
                <a:srgbClr val="4472C4"/>
              </a:solidFill>
            </c:spPr>
            <c:extLst>
              <c:ext xmlns:c16="http://schemas.microsoft.com/office/drawing/2014/chart" uri="{C3380CC4-5D6E-409C-BE32-E72D297353CC}">
                <c16:uniqueId val="{00000005-58CA-438F-8F1A-9FB4BC351938}"/>
              </c:ext>
            </c:extLst>
          </c:dPt>
          <c:dPt>
            <c:idx val="2"/>
            <c:bubble3D val="0"/>
            <c:spPr>
              <a:solidFill>
                <a:srgbClr val="70AD47"/>
              </a:solidFill>
            </c:spPr>
            <c:extLst>
              <c:ext xmlns:c16="http://schemas.microsoft.com/office/drawing/2014/chart" uri="{C3380CC4-5D6E-409C-BE32-E72D297353CC}">
                <c16:uniqueId val="{00000006-58CA-438F-8F1A-9FB4BC351938}"/>
              </c:ext>
            </c:extLst>
          </c:dPt>
          <c:dPt>
            <c:idx val="3"/>
            <c:bubble3D val="0"/>
            <c:spPr>
              <a:solidFill>
                <a:srgbClr val="ED7D31"/>
              </a:solidFill>
            </c:spPr>
            <c:extLst>
              <c:ext xmlns:c16="http://schemas.microsoft.com/office/drawing/2014/chart" uri="{C3380CC4-5D6E-409C-BE32-E72D297353CC}">
                <c16:uniqueId val="{00000007-58CA-438F-8F1A-9FB4BC351938}"/>
              </c:ext>
            </c:extLst>
          </c:dPt>
          <c:dLbls>
            <c:spPr>
              <a:noFill/>
              <a:ln>
                <a:noFill/>
              </a:ln>
              <a:effectLst/>
            </c:spPr>
            <c:txPr>
              <a:bodyPr wrap="square" lIns="38100" tIns="19050" rIns="38100" bIns="19050" anchor="ctr">
                <a:spAutoFit/>
              </a:bodyPr>
              <a:lstStyle/>
              <a:p>
                <a:pPr>
                  <a:defRPr sz="1000"/>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Lit>
              <c:ptCount val="4"/>
              <c:pt idx="0">
                <c:v>iGO</c:v>
              </c:pt>
              <c:pt idx="1">
                <c:v>Affirm</c:v>
              </c:pt>
              <c:pt idx="2">
                <c:v>InsureSight</c:v>
              </c:pt>
              <c:pt idx="3">
                <c:v>DocFast</c:v>
              </c:pt>
            </c:strLit>
          </c:cat>
          <c:val>
            <c:numLit>
              <c:formatCode>General</c:formatCode>
              <c:ptCount val="4"/>
              <c:pt idx="0">
                <c:v>60445105</c:v>
              </c:pt>
              <c:pt idx="1">
                <c:v>33349998</c:v>
              </c:pt>
              <c:pt idx="2">
                <c:v>13892313</c:v>
              </c:pt>
              <c:pt idx="3">
                <c:v>6068158</c:v>
              </c:pt>
            </c:numLit>
          </c:val>
          <c:extLst>
            <c:ext xmlns:c16="http://schemas.microsoft.com/office/drawing/2014/chart" uri="{C3380CC4-5D6E-409C-BE32-E72D297353CC}">
              <c16:uniqueId val="{00000003-58CA-438F-8F1A-9FB4BC351938}"/>
            </c:ext>
          </c:extLst>
        </c:ser>
        <c:dLbls>
          <c:showLegendKey val="0"/>
          <c:showVal val="0"/>
          <c:showCatName val="0"/>
          <c:showSerName val="0"/>
          <c:showPercent val="0"/>
          <c:showBubbleSize val="0"/>
          <c:showLeaderLines val="0"/>
        </c:dLbls>
        <c:firstSliceAng val="0"/>
      </c:pieChart>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Revenue vs Cost of Revenue</a:t>
            </a:r>
          </a:p>
        </c:rich>
      </c:tx>
      <c:overlay val="1"/>
    </c:title>
    <c:autoTitleDeleted val="0"/>
    <c:plotArea>
      <c:layout/>
      <c:barChart>
        <c:barDir val="col"/>
        <c:grouping val="clustered"/>
        <c:varyColors val="1"/>
        <c:ser>
          <c:idx val="0"/>
          <c:order val="0"/>
          <c:tx>
            <c:v>Revenue</c:v>
          </c:tx>
          <c:spPr>
            <a:solidFill>
              <a:srgbClr val="0B4779"/>
            </a:solidFill>
            <a:ln>
              <a:solidFill>
                <a:srgbClr val="0B4779"/>
              </a:solidFill>
              <a:prstDash val="solid"/>
            </a:ln>
          </c:spPr>
          <c:invertIfNegative val="1"/>
          <c:cat>
            <c:strRef>
              <c:f>'Charts &amp; Visuals'!$B$200:$M$200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Visuals'!$B$201:$M$201</c:f>
              <c:numCache>
                <c:formatCode>\$#,##0.0"K"</c:formatCode>
                <c:ptCount val="12"/>
                <c:pt idx="0">
                  <c:v>5368.51</c:v>
                </c:pt>
                <c:pt idx="1">
                  <c:v>5486.35</c:v>
                </c:pt>
                <c:pt idx="2">
                  <c:v>5756.57</c:v>
                </c:pt>
                <c:pt idx="3">
                  <c:v>5657.28</c:v>
                </c:pt>
                <c:pt idx="4">
                  <c:v>5682.14</c:v>
                </c:pt>
                <c:pt idx="5">
                  <c:v>5904.8</c:v>
                </c:pt>
                <c:pt idx="6">
                  <c:v>5870.32</c:v>
                </c:pt>
                <c:pt idx="7">
                  <c:v>6118.46</c:v>
                </c:pt>
                <c:pt idx="8">
                  <c:v>6180.1399999999994</c:v>
                </c:pt>
                <c:pt idx="9">
                  <c:v>6698.01</c:v>
                </c:pt>
                <c:pt idx="10">
                  <c:v>6624.03</c:v>
                </c:pt>
                <c:pt idx="11">
                  <c:v>6712.7500000000009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B4779"/>
                    </a:solidFill>
                    <a:prstDash val="solid"/>
                  </a:ln>
                </c14:spPr>
              </c14:invertSolidFillFmt>
            </c:ext>
            <c:ext xmlns:c16="http://schemas.microsoft.com/office/drawing/2014/chart" uri="{C3380CC4-5D6E-409C-BE32-E72D297353CC}">
              <c16:uniqueId val="{00000000-41A5-4BF3-A99F-E970A4E4E49A}"/>
            </c:ext>
          </c:extLst>
        </c:ser>
        <c:ser>
          <c:idx val="1"/>
          <c:order val="1"/>
          <c:tx>
            <c:v>Cost of Revenue</c:v>
          </c:tx>
          <c:spPr>
            <a:solidFill>
              <a:srgbClr val="2BCCD3"/>
            </a:solidFill>
            <a:ln>
              <a:solidFill>
                <a:srgbClr val="2BCCD3"/>
              </a:solidFill>
              <a:prstDash val="solid"/>
            </a:ln>
          </c:spPr>
          <c:invertIfNegative val="1"/>
          <c:val>
            <c:numRef>
              <c:f>'Charts &amp; Visuals'!$B$202:$M$202</c:f>
              <c:numCache>
                <c:formatCode>\$#,##0.0"K"</c:formatCode>
                <c:ptCount val="12"/>
                <c:pt idx="0">
                  <c:v>1448.8999999999996</c:v>
                </c:pt>
                <c:pt idx="1">
                  <c:v>1536.0800000000002</c:v>
                </c:pt>
                <c:pt idx="2">
                  <c:v>1632.9499999999998</c:v>
                </c:pt>
                <c:pt idx="3">
                  <c:v>1455.6999999999998</c:v>
                </c:pt>
                <c:pt idx="4">
                  <c:v>1589.12</c:v>
                </c:pt>
                <c:pt idx="5">
                  <c:v>1732.4299999999998</c:v>
                </c:pt>
                <c:pt idx="6">
                  <c:v>1582.57</c:v>
                </c:pt>
                <c:pt idx="7">
                  <c:v>1706.45</c:v>
                </c:pt>
                <c:pt idx="8">
                  <c:v>1781.7500000000002</c:v>
                </c:pt>
                <c:pt idx="9">
                  <c:v>1853.5900000000001</c:v>
                </c:pt>
                <c:pt idx="10">
                  <c:v>1801.82</c:v>
                </c:pt>
                <c:pt idx="11">
                  <c:v>2034.3899999999999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2BCCD3"/>
                    </a:solidFill>
                    <a:prstDash val="solid"/>
                  </a:ln>
                </c14:spPr>
              </c14:invertSolidFillFmt>
            </c:ext>
            <c:ext xmlns:c16="http://schemas.microsoft.com/office/drawing/2014/chart" uri="{C3380CC4-5D6E-409C-BE32-E72D297353CC}">
              <c16:uniqueId val="{00000001-41A5-4BF3-A99F-E970A4E4E49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quot;K&quot;" sourceLinked="0"/>
        <c:majorTickMark val="none"/>
        <c:minorTickMark val="none"/>
        <c:tickLblPos val="nextTo"/>
        <c:txPr>
          <a:bodyPr/>
          <a:lstStyle/>
          <a:p>
            <a:pPr>
              <a:defRPr sz="800" b="0">
                <a:solidFill>
                  <a:srgbClr val="161616"/>
                </a:solidFill>
                <a:latin typeface="Arial"/>
              </a:defRPr>
            </a:pPr>
            <a:endParaRPr lang="en-US"/>
          </a:p>
        </c:txPr>
        <c:crossAx val="10"/>
        <c:crosses val="autoZero"/>
        <c:crossBetween val="between"/>
      </c:valAx>
    </c:plotArea>
    <c:legend>
      <c:legendPos val="b"/>
      <c:layout>
        <c:manualLayout>
          <c:xMode val="edge"/>
          <c:yMode val="edge"/>
          <c:x val="0.31201892402587922"/>
          <c:y val="7.9794722222222225E-2"/>
          <c:w val="0.38074970431209559"/>
          <c:h val="5.2371944444444443E-2"/>
        </c:manualLayout>
      </c:layout>
      <c:overlay val="1"/>
      <c:txPr>
        <a:bodyPr/>
        <a:lstStyle/>
        <a:p>
          <a:pPr>
            <a:defRPr sz="800" b="1">
              <a:solidFill>
                <a:srgbClr val="FF0000"/>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Contribution Margin %</a:t>
            </a:r>
          </a:p>
        </c:rich>
      </c:tx>
      <c:overlay val="1"/>
    </c:title>
    <c:autoTitleDeleted val="0"/>
    <c:plotArea>
      <c:layout/>
      <c:lineChart>
        <c:grouping val="standard"/>
        <c:varyColors val="1"/>
        <c:ser>
          <c:idx val="0"/>
          <c:order val="0"/>
          <c:tx>
            <c:v>Contribution Margin %</c:v>
          </c:tx>
          <c:spPr>
            <a:ln w="28000">
              <a:solidFill>
                <a:srgbClr val="0B4779"/>
              </a:solidFill>
              <a:prstDash val="solid"/>
            </a:ln>
          </c:spPr>
          <c:marker>
            <c:symbol val="none"/>
          </c:marker>
          <c:cat>
            <c:strRef>
              <c:f>'Charts &amp; Visuals'!$B$200:$M$200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Visuals'!$B$204:$M$204</c:f>
              <c:numCache>
                <c:formatCode>0.0%</c:formatCode>
                <c:ptCount val="12"/>
                <c:pt idx="0">
                  <c:v>0.5419585695099759</c:v>
                </c:pt>
                <c:pt idx="1">
                  <c:v>0.55948308073673747</c:v>
                </c:pt>
                <c:pt idx="2">
                  <c:v>0.5591871548508921</c:v>
                </c:pt>
                <c:pt idx="3">
                  <c:v>0.5578652638723911</c:v>
                </c:pt>
                <c:pt idx="4">
                  <c:v>0.54477186412161616</c:v>
                </c:pt>
                <c:pt idx="5">
                  <c:v>0.55049281940116512</c:v>
                </c:pt>
                <c:pt idx="6">
                  <c:v>0.55883665626405388</c:v>
                </c:pt>
                <c:pt idx="7">
                  <c:v>0.5498834674084655</c:v>
                </c:pt>
                <c:pt idx="8">
                  <c:v>0.54873190574970798</c:v>
                </c:pt>
                <c:pt idx="9">
                  <c:v>0.53609803508803355</c:v>
                </c:pt>
                <c:pt idx="10">
                  <c:v>0.54472126484934402</c:v>
                </c:pt>
                <c:pt idx="11">
                  <c:v>0.54461882239022752</c:v>
                </c:pt>
              </c:numCache>
            </c:numRef>
          </c:val>
          <c:smooth val="1"/>
          <c:extLst>
            <c:ext xmlns:c16="http://schemas.microsoft.com/office/drawing/2014/chart" uri="{C3380CC4-5D6E-409C-BE32-E72D297353CC}">
              <c16:uniqueId val="{00000000-4B44-4293-B981-53AF9983A9CB}"/>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 sourceLinked="0"/>
        <c:majorTickMark val="none"/>
        <c:minorTickMark val="none"/>
        <c:tickLblPos val="nextTo"/>
        <c:txPr>
          <a:bodyPr/>
          <a:lstStyle/>
          <a:p>
            <a:pPr>
              <a:defRPr sz="800" b="0">
                <a:solidFill>
                  <a:srgbClr val="161616"/>
                </a:solidFill>
                <a:latin typeface="Arial"/>
              </a:defRPr>
            </a:pPr>
            <a:endParaRPr lang="en-US"/>
          </a:p>
        </c:txPr>
        <c:crossAx val="10"/>
        <c:crosses val="autoZero"/>
        <c:crossBetween val="between"/>
      </c:valAx>
    </c:plotArea>
    <c:legend>
      <c:legendPos val="b"/>
      <c:overlay val="0"/>
      <c:txPr>
        <a:bodyPr/>
        <a:lstStyle/>
        <a:p>
          <a:pPr>
            <a:defRPr sz="800" b="0">
              <a:solidFill>
                <a:srgbClr val="161616"/>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Expense Breakdown by Department</a:t>
            </a:r>
          </a:p>
        </c:rich>
      </c:tx>
      <c:overlay val="1"/>
    </c:title>
    <c:autoTitleDeleted val="0"/>
    <c:plotArea>
      <c:layout/>
      <c:pieChart>
        <c:varyColors val="1"/>
        <c:ser>
          <c:idx val="0"/>
          <c:order val="0"/>
          <c:tx>
            <c:v>Expense by Department</c:v>
          </c:tx>
          <c:spPr>
            <a:ln>
              <a:prstDash val="solid"/>
            </a:ln>
          </c:spPr>
          <c:dPt>
            <c:idx val="0"/>
            <c:bubble3D val="0"/>
            <c:spPr>
              <a:solidFill>
                <a:srgbClr val="0B4779"/>
              </a:solidFill>
              <a:ln>
                <a:prstDash val="solid"/>
              </a:ln>
            </c:spPr>
            <c:extLst>
              <c:ext xmlns:c16="http://schemas.microsoft.com/office/drawing/2014/chart" uri="{C3380CC4-5D6E-409C-BE32-E72D297353CC}">
                <c16:uniqueId val="{00000001-38B2-4633-B14F-4E40A43F29D4}"/>
              </c:ext>
            </c:extLst>
          </c:dPt>
          <c:dPt>
            <c:idx val="1"/>
            <c:bubble3D val="0"/>
            <c:spPr>
              <a:solidFill>
                <a:srgbClr val="2BCCD3"/>
              </a:solidFill>
              <a:ln>
                <a:prstDash val="solid"/>
              </a:ln>
            </c:spPr>
            <c:extLst>
              <c:ext xmlns:c16="http://schemas.microsoft.com/office/drawing/2014/chart" uri="{C3380CC4-5D6E-409C-BE32-E72D297353CC}">
                <c16:uniqueId val="{00000003-38B2-4633-B14F-4E40A43F29D4}"/>
              </c:ext>
            </c:extLst>
          </c:dPt>
          <c:dPt>
            <c:idx val="2"/>
            <c:bubble3D val="0"/>
            <c:spPr>
              <a:solidFill>
                <a:srgbClr val="BFF18C"/>
              </a:solidFill>
              <a:ln>
                <a:prstDash val="solid"/>
              </a:ln>
            </c:spPr>
            <c:extLst>
              <c:ext xmlns:c16="http://schemas.microsoft.com/office/drawing/2014/chart" uri="{C3380CC4-5D6E-409C-BE32-E72D297353CC}">
                <c16:uniqueId val="{00000005-38B2-4633-B14F-4E40A43F29D4}"/>
              </c:ext>
            </c:extLst>
          </c:dPt>
          <c:dPt>
            <c:idx val="3"/>
            <c:bubble3D val="0"/>
            <c:spPr>
              <a:solidFill>
                <a:srgbClr val="4B9BCB"/>
              </a:solidFill>
              <a:ln>
                <a:prstDash val="solid"/>
              </a:ln>
            </c:spPr>
            <c:extLst>
              <c:ext xmlns:c16="http://schemas.microsoft.com/office/drawing/2014/chart" uri="{C3380CC4-5D6E-409C-BE32-E72D297353CC}">
                <c16:uniqueId val="{00000007-38B2-4633-B14F-4E40A43F29D4}"/>
              </c:ext>
            </c:extLst>
          </c:dPt>
          <c:dPt>
            <c:idx val="4"/>
            <c:bubble3D val="0"/>
            <c:spPr>
              <a:solidFill>
                <a:srgbClr val="E8833A"/>
              </a:solidFill>
              <a:ln>
                <a:prstDash val="solid"/>
              </a:ln>
            </c:spPr>
            <c:extLst>
              <c:ext xmlns:c16="http://schemas.microsoft.com/office/drawing/2014/chart" uri="{C3380CC4-5D6E-409C-BE32-E72D297353CC}">
                <c16:uniqueId val="{00000009-38B2-4633-B14F-4E40A43F29D4}"/>
              </c:ext>
            </c:extLst>
          </c:dPt>
          <c:dPt>
            <c:idx val="5"/>
            <c:bubble3D val="0"/>
            <c:spPr>
              <a:solidFill>
                <a:srgbClr val="112E51"/>
              </a:solidFill>
              <a:ln>
                <a:prstDash val="solid"/>
              </a:ln>
            </c:spPr>
            <c:extLst>
              <c:ext xmlns:c16="http://schemas.microsoft.com/office/drawing/2014/chart" uri="{C3380CC4-5D6E-409C-BE32-E72D297353CC}">
                <c16:uniqueId val="{0000000B-38B2-4633-B14F-4E40A43F29D4}"/>
              </c:ext>
            </c:extLst>
          </c:dPt>
          <c:dPt>
            <c:idx val="6"/>
            <c:bubble3D val="0"/>
            <c:spPr>
              <a:solidFill>
                <a:srgbClr val="1A8A8A"/>
              </a:solidFill>
              <a:ln>
                <a:prstDash val="solid"/>
              </a:ln>
            </c:spPr>
            <c:extLst>
              <c:ext xmlns:c16="http://schemas.microsoft.com/office/drawing/2014/chart" uri="{C3380CC4-5D6E-409C-BE32-E72D297353CC}">
                <c16:uniqueId val="{0000000D-38B2-4633-B14F-4E40A43F29D4}"/>
              </c:ext>
            </c:extLst>
          </c:dPt>
          <c:dLbls>
            <c:spPr>
              <a:noFill/>
              <a:ln>
                <a:noFill/>
                <a:prstDash val="solid"/>
              </a:ln>
            </c:spPr>
            <c:txPr>
              <a:bodyPr/>
              <a:lstStyle/>
              <a:p>
                <a:pPr>
                  <a:defRPr sz="800" b="1">
                    <a:solidFill>
                      <a:srgbClr val="161616"/>
                    </a:solidFill>
                    <a:latin typeface="Arial"/>
                  </a:defRPr>
                </a:pPr>
                <a:endParaRPr lang="en-US"/>
              </a:p>
            </c:txPr>
            <c:showLegendKey val="1"/>
            <c:showVal val="0"/>
            <c:showCatName val="1"/>
            <c:showSerName val="1"/>
            <c:showPercent val="1"/>
            <c:showBubbleSize val="1"/>
            <c:showLeaderLines val="1"/>
            <c:extLst>
              <c:ext xmlns:c15="http://schemas.microsoft.com/office/drawing/2012/chart" uri="{CE6537A1-D6FC-4f65-9D91-7224C49458BB}"/>
            </c:extLst>
          </c:dLbls>
          <c:cat>
            <c:strRef>
              <c:f>'Charts &amp; Visuals'!$A$209:$A$215</c:f>
              <c:strCache>
                <c:ptCount val="7"/>
                <c:pt idx="0">
                  <c:v>NetOps</c:v>
                </c:pt>
                <c:pt idx="1">
                  <c:v>Security</c:v>
                </c:pt>
                <c:pt idx="2">
                  <c:v>Support</c:v>
                </c:pt>
                <c:pt idx="3">
                  <c:v>Partners</c:v>
                </c:pt>
                <c:pt idx="4">
                  <c:v>Content</c:v>
                </c:pt>
                <c:pt idx="5">
                  <c:v>Research &amp; Development</c:v>
                </c:pt>
                <c:pt idx="6">
                  <c:v>Product Management</c:v>
                </c:pt>
              </c:strCache>
            </c:strRef>
          </c:cat>
          <c:val>
            <c:numRef>
              <c:f>'Charts &amp; Visuals'!$N$209:$N$215</c:f>
              <c:numCache>
                <c:formatCode>\$#,##0.0"K"</c:formatCode>
                <c:ptCount val="7"/>
                <c:pt idx="0">
                  <c:v>9854.99</c:v>
                </c:pt>
                <c:pt idx="1">
                  <c:v>2190.3999999999996</c:v>
                </c:pt>
                <c:pt idx="2">
                  <c:v>3252.76</c:v>
                </c:pt>
                <c:pt idx="3">
                  <c:v>1635.44</c:v>
                </c:pt>
                <c:pt idx="4">
                  <c:v>273.25</c:v>
                </c:pt>
                <c:pt idx="5">
                  <c:v>5718.5300000000007</c:v>
                </c:pt>
                <c:pt idx="6">
                  <c:v>2171.8199999999997</c:v>
                </c:pt>
              </c:numCache>
            </c:numRef>
          </c:val>
          <c:extLst>
            <c:ext xmlns:c16="http://schemas.microsoft.com/office/drawing/2014/chart" uri="{C3380CC4-5D6E-409C-BE32-E72D297353CC}">
              <c16:uniqueId val="{0000000E-38B2-4633-B14F-4E40A43F29D4}"/>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0944274280705422"/>
          <c:y val="3.8003611111111113E-2"/>
          <c:w val="0.28549722222222218"/>
          <c:h val="0.41246472222222219"/>
        </c:manualLayout>
      </c:layout>
      <c:overlay val="1"/>
      <c:txPr>
        <a:bodyPr/>
        <a:lstStyle/>
        <a:p>
          <a:pPr>
            <a:defRPr sz="800" b="0">
              <a:solidFill>
                <a:srgbClr val="161616"/>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Monthly Revenue by Product</a:t>
            </a:r>
          </a:p>
        </c:rich>
      </c:tx>
      <c:overlay val="1"/>
    </c:title>
    <c:autoTitleDeleted val="0"/>
    <c:plotArea>
      <c:layout/>
      <c:barChart>
        <c:barDir val="col"/>
        <c:grouping val="clustered"/>
        <c:varyColors val="1"/>
        <c:ser>
          <c:idx val="0"/>
          <c:order val="0"/>
          <c:tx>
            <c:strRef>
              <c:f>'Charts &amp; Visuals'!$B$233</c:f>
              <c:strCache>
                <c:ptCount val="1"/>
                <c:pt idx="0">
                  <c:v>iGO</c:v>
                </c:pt>
              </c:strCache>
            </c:strRef>
          </c:tx>
          <c:spPr>
            <a:solidFill>
              <a:srgbClr val="0B4779"/>
            </a:solidFill>
            <a:ln>
              <a:solidFill>
                <a:srgbClr val="0B4779"/>
              </a:solidFill>
              <a:prstDash val="solid"/>
            </a:ln>
          </c:spPr>
          <c:invertIfNegative val="1"/>
          <c:cat>
            <c:strRef>
              <c:f>'Charts &amp; Visuals'!$A$234:$A$245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Visuals'!$B$234:$B$245</c:f>
              <c:numCache>
                <c:formatCode>\$#,##0.0"K"</c:formatCode>
                <c:ptCount val="12"/>
                <c:pt idx="0">
                  <c:v>5368.51</c:v>
                </c:pt>
                <c:pt idx="1">
                  <c:v>5486.35</c:v>
                </c:pt>
                <c:pt idx="2">
                  <c:v>5756.57</c:v>
                </c:pt>
                <c:pt idx="3">
                  <c:v>5657.28</c:v>
                </c:pt>
                <c:pt idx="4">
                  <c:v>5682.14</c:v>
                </c:pt>
                <c:pt idx="5">
                  <c:v>5904.8</c:v>
                </c:pt>
                <c:pt idx="6">
                  <c:v>5870.32</c:v>
                </c:pt>
                <c:pt idx="7">
                  <c:v>6118.46</c:v>
                </c:pt>
                <c:pt idx="8">
                  <c:v>6180.1399999999994</c:v>
                </c:pt>
                <c:pt idx="9">
                  <c:v>6698.01</c:v>
                </c:pt>
                <c:pt idx="10">
                  <c:v>6624.03</c:v>
                </c:pt>
                <c:pt idx="11">
                  <c:v>6712.7500000000009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B4779"/>
                    </a:solidFill>
                    <a:prstDash val="solid"/>
                  </a:ln>
                </c14:spPr>
              </c14:invertSolidFillFmt>
            </c:ext>
            <c:ext xmlns:c16="http://schemas.microsoft.com/office/drawing/2014/chart" uri="{C3380CC4-5D6E-409C-BE32-E72D297353CC}">
              <c16:uniqueId val="{00000000-5AD7-4CD6-96AD-10A6EBB2C349}"/>
            </c:ext>
          </c:extLst>
        </c:ser>
        <c:ser>
          <c:idx val="1"/>
          <c:order val="1"/>
          <c:tx>
            <c:strRef>
              <c:f>'Charts &amp; Visuals'!$C$233</c:f>
              <c:strCache>
                <c:ptCount val="1"/>
                <c:pt idx="0">
                  <c:v>Affirm</c:v>
                </c:pt>
              </c:strCache>
            </c:strRef>
          </c:tx>
          <c:spPr>
            <a:solidFill>
              <a:srgbClr val="2BCCD3"/>
            </a:solidFill>
            <a:ln>
              <a:solidFill>
                <a:srgbClr val="2BCCD3"/>
              </a:solidFill>
              <a:prstDash val="solid"/>
            </a:ln>
          </c:spPr>
          <c:invertIfNegative val="1"/>
          <c:cat>
            <c:strRef>
              <c:f>'Charts &amp; Visuals'!$A$234:$A$245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Visuals'!$C$234:$C$245</c:f>
              <c:numCache>
                <c:formatCode>\$#,##0.0"K"</c:formatCode>
                <c:ptCount val="12"/>
                <c:pt idx="0">
                  <c:v>2644.98</c:v>
                </c:pt>
                <c:pt idx="1">
                  <c:v>2697.4700000000003</c:v>
                </c:pt>
                <c:pt idx="2">
                  <c:v>2699.1</c:v>
                </c:pt>
                <c:pt idx="3">
                  <c:v>2723</c:v>
                </c:pt>
                <c:pt idx="4">
                  <c:v>2815.92</c:v>
                </c:pt>
                <c:pt idx="5">
                  <c:v>2862.55</c:v>
                </c:pt>
                <c:pt idx="6">
                  <c:v>2875.4300000000003</c:v>
                </c:pt>
                <c:pt idx="7">
                  <c:v>2819.3399999999997</c:v>
                </c:pt>
                <c:pt idx="8">
                  <c:v>2844.73</c:v>
                </c:pt>
                <c:pt idx="9">
                  <c:v>3068.73</c:v>
                </c:pt>
                <c:pt idx="10">
                  <c:v>3164.49</c:v>
                </c:pt>
                <c:pt idx="11">
                  <c:v>3267.7299999999996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2BCCD3"/>
                    </a:solidFill>
                    <a:prstDash val="solid"/>
                  </a:ln>
                </c14:spPr>
              </c14:invertSolidFillFmt>
            </c:ext>
            <c:ext xmlns:c16="http://schemas.microsoft.com/office/drawing/2014/chart" uri="{C3380CC4-5D6E-409C-BE32-E72D297353CC}">
              <c16:uniqueId val="{00000001-5AD7-4CD6-96AD-10A6EBB2C349}"/>
            </c:ext>
          </c:extLst>
        </c:ser>
        <c:ser>
          <c:idx val="2"/>
          <c:order val="2"/>
          <c:tx>
            <c:strRef>
              <c:f>'Charts &amp; Visuals'!$D$233</c:f>
              <c:strCache>
                <c:ptCount val="1"/>
                <c:pt idx="0">
                  <c:v>InsureSight</c:v>
                </c:pt>
              </c:strCache>
            </c:strRef>
          </c:tx>
          <c:spPr>
            <a:solidFill>
              <a:srgbClr val="BFF18C"/>
            </a:solidFill>
            <a:ln>
              <a:solidFill>
                <a:srgbClr val="BFF18C"/>
              </a:solidFill>
              <a:prstDash val="solid"/>
            </a:ln>
          </c:spPr>
          <c:invertIfNegative val="1"/>
          <c:cat>
            <c:strRef>
              <c:f>'Charts &amp; Visuals'!$A$234:$A$245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Visuals'!$D$234:$D$245</c:f>
              <c:numCache>
                <c:formatCode>\$#,##0.0"K"</c:formatCode>
                <c:ptCount val="12"/>
                <c:pt idx="0">
                  <c:v>859.56999999999994</c:v>
                </c:pt>
                <c:pt idx="1">
                  <c:v>872.37</c:v>
                </c:pt>
                <c:pt idx="2">
                  <c:v>867.19</c:v>
                </c:pt>
                <c:pt idx="3">
                  <c:v>903.7600000000001</c:v>
                </c:pt>
                <c:pt idx="4">
                  <c:v>913.2700000000001</c:v>
                </c:pt>
                <c:pt idx="5">
                  <c:v>934.31999999999994</c:v>
                </c:pt>
                <c:pt idx="6">
                  <c:v>901.31000000000006</c:v>
                </c:pt>
                <c:pt idx="7">
                  <c:v>927.18000000000006</c:v>
                </c:pt>
                <c:pt idx="8">
                  <c:v>973.03</c:v>
                </c:pt>
                <c:pt idx="9">
                  <c:v>1037.3599999999999</c:v>
                </c:pt>
                <c:pt idx="10">
                  <c:v>1051.95</c:v>
                </c:pt>
                <c:pt idx="11">
                  <c:v>1049.3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BFF18C"/>
                    </a:solidFill>
                    <a:prstDash val="solid"/>
                  </a:ln>
                </c14:spPr>
              </c14:invertSolidFillFmt>
            </c:ext>
            <c:ext xmlns:c16="http://schemas.microsoft.com/office/drawing/2014/chart" uri="{C3380CC4-5D6E-409C-BE32-E72D297353CC}">
              <c16:uniqueId val="{00000002-5AD7-4CD6-96AD-10A6EBB2C349}"/>
            </c:ext>
          </c:extLst>
        </c:ser>
        <c:ser>
          <c:idx val="3"/>
          <c:order val="3"/>
          <c:tx>
            <c:strRef>
              <c:f>'Charts &amp; Visuals'!$E$233</c:f>
              <c:strCache>
                <c:ptCount val="1"/>
                <c:pt idx="0">
                  <c:v>DocFast</c:v>
                </c:pt>
              </c:strCache>
            </c:strRef>
          </c:tx>
          <c:spPr>
            <a:solidFill>
              <a:srgbClr val="4B9BCB"/>
            </a:solidFill>
            <a:ln>
              <a:solidFill>
                <a:srgbClr val="4B9BCB"/>
              </a:solidFill>
              <a:prstDash val="solid"/>
            </a:ln>
          </c:spPr>
          <c:invertIfNegative val="1"/>
          <c:cat>
            <c:strRef>
              <c:f>'Charts &amp; Visuals'!$A$234:$A$245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Visuals'!$E$234:$E$245</c:f>
              <c:numCache>
                <c:formatCode>\$#,##0.0"K"</c:formatCode>
                <c:ptCount val="12"/>
                <c:pt idx="0">
                  <c:v>351.40999999999997</c:v>
                </c:pt>
                <c:pt idx="1">
                  <c:v>356.11</c:v>
                </c:pt>
                <c:pt idx="2">
                  <c:v>370.34999999999997</c:v>
                </c:pt>
                <c:pt idx="3">
                  <c:v>358.08</c:v>
                </c:pt>
                <c:pt idx="4">
                  <c:v>361.31</c:v>
                </c:pt>
                <c:pt idx="5">
                  <c:v>383.94</c:v>
                </c:pt>
                <c:pt idx="6">
                  <c:v>372.8</c:v>
                </c:pt>
                <c:pt idx="7">
                  <c:v>397.42</c:v>
                </c:pt>
                <c:pt idx="8">
                  <c:v>402.92</c:v>
                </c:pt>
                <c:pt idx="9">
                  <c:v>424.79</c:v>
                </c:pt>
                <c:pt idx="10">
                  <c:v>426.16</c:v>
                </c:pt>
                <c:pt idx="11">
                  <c:v>429.83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4B9BCB"/>
                    </a:solidFill>
                    <a:prstDash val="solid"/>
                  </a:ln>
                </c14:spPr>
              </c14:invertSolidFillFmt>
            </c:ext>
            <c:ext xmlns:c16="http://schemas.microsoft.com/office/drawing/2014/chart" uri="{C3380CC4-5D6E-409C-BE32-E72D297353CC}">
              <c16:uniqueId val="{00000003-5AD7-4CD6-96AD-10A6EBB2C34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quot;K&quot;" sourceLinked="0"/>
        <c:majorTickMark val="none"/>
        <c:minorTickMark val="none"/>
        <c:tickLblPos val="nextTo"/>
        <c:txPr>
          <a:bodyPr/>
          <a:lstStyle/>
          <a:p>
            <a:pPr>
              <a:defRPr sz="800" b="0">
                <a:solidFill>
                  <a:srgbClr val="161616"/>
                </a:solidFill>
                <a:latin typeface="Arial"/>
              </a:defRPr>
            </a:pPr>
            <a:endParaRPr lang="en-US"/>
          </a:p>
        </c:txPr>
        <c:crossAx val="10"/>
        <c:crosses val="autoZero"/>
        <c:crossBetween val="between"/>
      </c:valAx>
    </c:plotArea>
    <c:legend>
      <c:legendPos val="b"/>
      <c:overlay val="1"/>
      <c:txPr>
        <a:bodyPr/>
        <a:lstStyle/>
        <a:p>
          <a:pPr>
            <a:defRPr sz="800" b="0">
              <a:solidFill>
                <a:srgbClr val="161616"/>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Contribution Margin % by Product</a:t>
            </a:r>
          </a:p>
        </c:rich>
      </c:tx>
      <c:overlay val="1"/>
    </c:title>
    <c:autoTitleDeleted val="0"/>
    <c:plotArea>
      <c:layout/>
      <c:lineChart>
        <c:grouping val="standard"/>
        <c:varyColors val="1"/>
        <c:ser>
          <c:idx val="0"/>
          <c:order val="0"/>
          <c:tx>
            <c:strRef>
              <c:f>'Charts &amp; Visuals'!$B$247</c:f>
              <c:strCache>
                <c:ptCount val="1"/>
                <c:pt idx="0">
                  <c:v>iGO</c:v>
                </c:pt>
              </c:strCache>
            </c:strRef>
          </c:tx>
          <c:spPr>
            <a:ln w="28000">
              <a:solidFill>
                <a:srgbClr val="0B4779"/>
              </a:solidFill>
              <a:prstDash val="solid"/>
            </a:ln>
          </c:spPr>
          <c:marker>
            <c:symbol val="none"/>
          </c:marker>
          <c:cat>
            <c:strRef>
              <c:f>'Charts &amp; Visuals'!$A$248:$A$259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Visuals'!$B$248:$B$259</c:f>
              <c:numCache>
                <c:formatCode>0.0%</c:formatCode>
                <c:ptCount val="12"/>
                <c:pt idx="0">
                  <c:v>0.5419585695099759</c:v>
                </c:pt>
                <c:pt idx="1">
                  <c:v>0.55948308073673747</c:v>
                </c:pt>
                <c:pt idx="2">
                  <c:v>0.5591871548508921</c:v>
                </c:pt>
                <c:pt idx="3">
                  <c:v>0.5578652638723911</c:v>
                </c:pt>
                <c:pt idx="4">
                  <c:v>0.54477186412161616</c:v>
                </c:pt>
                <c:pt idx="5">
                  <c:v>0.55049281940116512</c:v>
                </c:pt>
                <c:pt idx="6">
                  <c:v>0.55883665626405388</c:v>
                </c:pt>
                <c:pt idx="7">
                  <c:v>0.5498834674084655</c:v>
                </c:pt>
                <c:pt idx="8">
                  <c:v>0.54873190574970798</c:v>
                </c:pt>
                <c:pt idx="9">
                  <c:v>0.53609803508803355</c:v>
                </c:pt>
                <c:pt idx="10">
                  <c:v>0.54472126484934402</c:v>
                </c:pt>
                <c:pt idx="11">
                  <c:v>0.54461882239022752</c:v>
                </c:pt>
              </c:numCache>
            </c:numRef>
          </c:val>
          <c:smooth val="1"/>
          <c:extLst>
            <c:ext xmlns:c16="http://schemas.microsoft.com/office/drawing/2014/chart" uri="{C3380CC4-5D6E-409C-BE32-E72D297353CC}">
              <c16:uniqueId val="{00000000-DA45-4D5C-A368-BD57A9313A84}"/>
            </c:ext>
          </c:extLst>
        </c:ser>
        <c:ser>
          <c:idx val="1"/>
          <c:order val="1"/>
          <c:tx>
            <c:strRef>
              <c:f>'Charts &amp; Visuals'!$C$247</c:f>
              <c:strCache>
                <c:ptCount val="1"/>
                <c:pt idx="0">
                  <c:v>Affirm</c:v>
                </c:pt>
              </c:strCache>
            </c:strRef>
          </c:tx>
          <c:spPr>
            <a:ln w="28000">
              <a:solidFill>
                <a:srgbClr val="2BCCD3"/>
              </a:solidFill>
              <a:prstDash val="solid"/>
            </a:ln>
          </c:spPr>
          <c:marker>
            <c:symbol val="none"/>
          </c:marker>
          <c:cat>
            <c:strRef>
              <c:f>'Charts &amp; Visuals'!$A$248:$A$259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Visuals'!$C$248:$C$259</c:f>
              <c:numCache>
                <c:formatCode>0.0%</c:formatCode>
                <c:ptCount val="12"/>
                <c:pt idx="0">
                  <c:v>0.69543815076106441</c:v>
                </c:pt>
                <c:pt idx="1">
                  <c:v>0.69401698628715058</c:v>
                </c:pt>
                <c:pt idx="2">
                  <c:v>0.68443925753028789</c:v>
                </c:pt>
                <c:pt idx="3">
                  <c:v>0.71060962174072717</c:v>
                </c:pt>
                <c:pt idx="4">
                  <c:v>0.69410707690559392</c:v>
                </c:pt>
                <c:pt idx="5">
                  <c:v>0.68873556793767787</c:v>
                </c:pt>
                <c:pt idx="6">
                  <c:v>0.70749418347864479</c:v>
                </c:pt>
                <c:pt idx="7">
                  <c:v>0.69442138940319365</c:v>
                </c:pt>
                <c:pt idx="8">
                  <c:v>0.6955704056272477</c:v>
                </c:pt>
                <c:pt idx="9">
                  <c:v>0.69992798323736527</c:v>
                </c:pt>
                <c:pt idx="10">
                  <c:v>0.69483234265237059</c:v>
                </c:pt>
                <c:pt idx="11">
                  <c:v>0.7016001934064322</c:v>
                </c:pt>
              </c:numCache>
            </c:numRef>
          </c:val>
          <c:smooth val="1"/>
          <c:extLst>
            <c:ext xmlns:c16="http://schemas.microsoft.com/office/drawing/2014/chart" uri="{C3380CC4-5D6E-409C-BE32-E72D297353CC}">
              <c16:uniqueId val="{00000001-DA45-4D5C-A368-BD57A9313A84}"/>
            </c:ext>
          </c:extLst>
        </c:ser>
        <c:ser>
          <c:idx val="2"/>
          <c:order val="2"/>
          <c:tx>
            <c:strRef>
              <c:f>'Charts &amp; Visuals'!$D$247</c:f>
              <c:strCache>
                <c:ptCount val="1"/>
                <c:pt idx="0">
                  <c:v>InsureSight</c:v>
                </c:pt>
              </c:strCache>
            </c:strRef>
          </c:tx>
          <c:spPr>
            <a:ln w="28000">
              <a:solidFill>
                <a:srgbClr val="BFF18C"/>
              </a:solidFill>
              <a:prstDash val="solid"/>
            </a:ln>
          </c:spPr>
          <c:marker>
            <c:symbol val="none"/>
          </c:marker>
          <c:cat>
            <c:strRef>
              <c:f>'Charts &amp; Visuals'!$A$248:$A$259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Visuals'!$D$248:$D$259</c:f>
              <c:numCache>
                <c:formatCode>0.0%</c:formatCode>
                <c:ptCount val="12"/>
                <c:pt idx="0">
                  <c:v>0.46121898158381519</c:v>
                </c:pt>
                <c:pt idx="1">
                  <c:v>0.45613673097424262</c:v>
                </c:pt>
                <c:pt idx="2">
                  <c:v>0.45993380919982935</c:v>
                </c:pt>
                <c:pt idx="3">
                  <c:v>0.45536425599716734</c:v>
                </c:pt>
                <c:pt idx="4">
                  <c:v>0.47626660242863555</c:v>
                </c:pt>
                <c:pt idx="5">
                  <c:v>0.46124454148471611</c:v>
                </c:pt>
                <c:pt idx="6">
                  <c:v>0.4687399451908888</c:v>
                </c:pt>
                <c:pt idx="7">
                  <c:v>0.47740460320541855</c:v>
                </c:pt>
                <c:pt idx="8">
                  <c:v>0.45275068600145935</c:v>
                </c:pt>
                <c:pt idx="9">
                  <c:v>0.47088763784992677</c:v>
                </c:pt>
                <c:pt idx="10">
                  <c:v>0.46254099529445314</c:v>
                </c:pt>
                <c:pt idx="11">
                  <c:v>0.45980177261031169</c:v>
                </c:pt>
              </c:numCache>
            </c:numRef>
          </c:val>
          <c:smooth val="1"/>
          <c:extLst>
            <c:ext xmlns:c16="http://schemas.microsoft.com/office/drawing/2014/chart" uri="{C3380CC4-5D6E-409C-BE32-E72D297353CC}">
              <c16:uniqueId val="{00000002-DA45-4D5C-A368-BD57A9313A84}"/>
            </c:ext>
          </c:extLst>
        </c:ser>
        <c:ser>
          <c:idx val="3"/>
          <c:order val="3"/>
          <c:tx>
            <c:strRef>
              <c:f>'Charts &amp; Visuals'!$E$247</c:f>
              <c:strCache>
                <c:ptCount val="1"/>
                <c:pt idx="0">
                  <c:v>DocFast</c:v>
                </c:pt>
              </c:strCache>
            </c:strRef>
          </c:tx>
          <c:spPr>
            <a:ln w="28000">
              <a:solidFill>
                <a:srgbClr val="4B9BCB"/>
              </a:solidFill>
              <a:prstDash val="solid"/>
            </a:ln>
          </c:spPr>
          <c:marker>
            <c:symbol val="none"/>
          </c:marker>
          <c:cat>
            <c:strRef>
              <c:f>'Charts &amp; Visuals'!$A$248:$A$259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Visuals'!$E$248:$E$259</c:f>
              <c:numCache>
                <c:formatCode>0.0%</c:formatCode>
                <c:ptCount val="12"/>
                <c:pt idx="0">
                  <c:v>0.44301528129535306</c:v>
                </c:pt>
                <c:pt idx="1">
                  <c:v>0.44654741512454016</c:v>
                </c:pt>
                <c:pt idx="2">
                  <c:v>0.43739705683812619</c:v>
                </c:pt>
                <c:pt idx="3">
                  <c:v>0.43959450402144773</c:v>
                </c:pt>
                <c:pt idx="4">
                  <c:v>0.4283025656638344</c:v>
                </c:pt>
                <c:pt idx="5">
                  <c:v>0.43808928478408088</c:v>
                </c:pt>
                <c:pt idx="6">
                  <c:v>0.41413626609442061</c:v>
                </c:pt>
                <c:pt idx="7">
                  <c:v>0.4215439585325349</c:v>
                </c:pt>
                <c:pt idx="8">
                  <c:v>0.44579569145239761</c:v>
                </c:pt>
                <c:pt idx="9">
                  <c:v>0.43315520610183855</c:v>
                </c:pt>
                <c:pt idx="10">
                  <c:v>0.42735122958513239</c:v>
                </c:pt>
                <c:pt idx="11">
                  <c:v>0.44915431682292994</c:v>
                </c:pt>
              </c:numCache>
            </c:numRef>
          </c:val>
          <c:smooth val="1"/>
          <c:extLst>
            <c:ext xmlns:c16="http://schemas.microsoft.com/office/drawing/2014/chart" uri="{C3380CC4-5D6E-409C-BE32-E72D297353CC}">
              <c16:uniqueId val="{00000003-DA45-4D5C-A368-BD57A9313A84}"/>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 sourceLinked="0"/>
        <c:majorTickMark val="none"/>
        <c:minorTickMark val="none"/>
        <c:tickLblPos val="nextTo"/>
        <c:txPr>
          <a:bodyPr/>
          <a:lstStyle/>
          <a:p>
            <a:pPr>
              <a:defRPr sz="800" b="0">
                <a:solidFill>
                  <a:srgbClr val="161616"/>
                </a:solidFill>
                <a:latin typeface="Arial"/>
              </a:defRPr>
            </a:pPr>
            <a:endParaRPr lang="en-US"/>
          </a:p>
        </c:txPr>
        <c:crossAx val="10"/>
        <c:crosses val="autoZero"/>
        <c:crossBetween val="between"/>
      </c:valAx>
    </c:plotArea>
    <c:legend>
      <c:legendPos val="b"/>
      <c:overlay val="1"/>
      <c:txPr>
        <a:bodyPr/>
        <a:lstStyle/>
        <a:p>
          <a:pPr>
            <a:defRPr sz="800" b="0">
              <a:solidFill>
                <a:srgbClr val="161616"/>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Full Year Revenue Mix</a:t>
            </a:r>
          </a:p>
        </c:rich>
      </c:tx>
      <c:overlay val="1"/>
    </c:title>
    <c:autoTitleDeleted val="0"/>
    <c:plotArea>
      <c:layout/>
      <c:pieChart>
        <c:varyColors val="1"/>
        <c:ser>
          <c:idx val="0"/>
          <c:order val="0"/>
          <c:tx>
            <c:v>Revenue Share</c:v>
          </c:tx>
          <c:spPr>
            <a:ln>
              <a:prstDash val="solid"/>
            </a:ln>
          </c:spPr>
          <c:dPt>
            <c:idx val="0"/>
            <c:bubble3D val="0"/>
            <c:spPr>
              <a:solidFill>
                <a:srgbClr val="0B4779"/>
              </a:solidFill>
              <a:ln>
                <a:prstDash val="solid"/>
              </a:ln>
            </c:spPr>
            <c:extLst>
              <c:ext xmlns:c16="http://schemas.microsoft.com/office/drawing/2014/chart" uri="{C3380CC4-5D6E-409C-BE32-E72D297353CC}">
                <c16:uniqueId val="{00000001-6BB5-47DA-80C2-F4B78DE2A593}"/>
              </c:ext>
            </c:extLst>
          </c:dPt>
          <c:dPt>
            <c:idx val="1"/>
            <c:bubble3D val="0"/>
            <c:spPr>
              <a:solidFill>
                <a:srgbClr val="2BCCD3"/>
              </a:solidFill>
              <a:ln>
                <a:prstDash val="solid"/>
              </a:ln>
            </c:spPr>
            <c:extLst>
              <c:ext xmlns:c16="http://schemas.microsoft.com/office/drawing/2014/chart" uri="{C3380CC4-5D6E-409C-BE32-E72D297353CC}">
                <c16:uniqueId val="{00000003-6BB5-47DA-80C2-F4B78DE2A593}"/>
              </c:ext>
            </c:extLst>
          </c:dPt>
          <c:dPt>
            <c:idx val="2"/>
            <c:bubble3D val="0"/>
            <c:spPr>
              <a:solidFill>
                <a:srgbClr val="BFF18C"/>
              </a:solidFill>
              <a:ln>
                <a:prstDash val="solid"/>
              </a:ln>
            </c:spPr>
            <c:extLst>
              <c:ext xmlns:c16="http://schemas.microsoft.com/office/drawing/2014/chart" uri="{C3380CC4-5D6E-409C-BE32-E72D297353CC}">
                <c16:uniqueId val="{00000005-6BB5-47DA-80C2-F4B78DE2A593}"/>
              </c:ext>
            </c:extLst>
          </c:dPt>
          <c:dPt>
            <c:idx val="3"/>
            <c:bubble3D val="0"/>
            <c:spPr>
              <a:solidFill>
                <a:srgbClr val="4B9BCB"/>
              </a:solidFill>
              <a:ln>
                <a:prstDash val="solid"/>
              </a:ln>
            </c:spPr>
            <c:extLst>
              <c:ext xmlns:c16="http://schemas.microsoft.com/office/drawing/2014/chart" uri="{C3380CC4-5D6E-409C-BE32-E72D297353CC}">
                <c16:uniqueId val="{00000007-6BB5-47DA-80C2-F4B78DE2A593}"/>
              </c:ext>
            </c:extLst>
          </c:dPt>
          <c:dLbls>
            <c:spPr>
              <a:noFill/>
              <a:ln>
                <a:noFill/>
                <a:prstDash val="solid"/>
              </a:ln>
            </c:spPr>
            <c:txPr>
              <a:bodyPr/>
              <a:lstStyle/>
              <a:p>
                <a:pPr>
                  <a:defRPr sz="900" b="1">
                    <a:solidFill>
                      <a:srgbClr val="161616"/>
                    </a:solidFill>
                    <a:latin typeface="Arial"/>
                  </a:defRPr>
                </a:pPr>
                <a:endParaRPr lang="en-US"/>
              </a:p>
            </c:txPr>
            <c:showLegendKey val="1"/>
            <c:showVal val="0"/>
            <c:showCatName val="1"/>
            <c:showSerName val="1"/>
            <c:showPercent val="1"/>
            <c:showBubbleSize val="1"/>
            <c:showLeaderLines val="1"/>
            <c:extLst>
              <c:ext xmlns:c15="http://schemas.microsoft.com/office/drawing/2012/chart" uri="{CE6537A1-D6FC-4f65-9D91-7224C49458BB}"/>
            </c:extLst>
          </c:dLbls>
          <c:cat>
            <c:strRef>
              <c:f>'Charts &amp; Visuals'!$A$219:$A$222</c:f>
              <c:strCache>
                <c:ptCount val="4"/>
                <c:pt idx="0">
                  <c:v>iGO</c:v>
                </c:pt>
                <c:pt idx="1">
                  <c:v>Affirm</c:v>
                </c:pt>
                <c:pt idx="2">
                  <c:v>InsureSight</c:v>
                </c:pt>
                <c:pt idx="3">
                  <c:v>DocFast</c:v>
                </c:pt>
              </c:strCache>
            </c:strRef>
          </c:cat>
          <c:val>
            <c:numRef>
              <c:f>'Charts &amp; Visuals'!$B$219:$B$222</c:f>
              <c:numCache>
                <c:formatCode>\$#,##0.0"K"</c:formatCode>
                <c:ptCount val="4"/>
                <c:pt idx="0">
                  <c:v>72059.360000000001</c:v>
                </c:pt>
                <c:pt idx="1">
                  <c:v>34483.47</c:v>
                </c:pt>
                <c:pt idx="2">
                  <c:v>11290.61</c:v>
                </c:pt>
                <c:pt idx="3">
                  <c:v>4635.12</c:v>
                </c:pt>
              </c:numCache>
            </c:numRef>
          </c:val>
          <c:extLst>
            <c:ext xmlns:c16="http://schemas.microsoft.com/office/drawing/2014/chart" uri="{C3380CC4-5D6E-409C-BE32-E72D297353CC}">
              <c16:uniqueId val="{00000008-6BB5-47DA-80C2-F4B78DE2A593}"/>
            </c:ext>
          </c:extLst>
        </c:ser>
        <c:dLbls>
          <c:showLegendKey val="0"/>
          <c:showVal val="0"/>
          <c:showCatName val="0"/>
          <c:showSerName val="0"/>
          <c:showPercent val="0"/>
          <c:showBubbleSize val="0"/>
          <c:showLeaderLines val="1"/>
        </c:dLbls>
        <c:firstSliceAng val="0"/>
      </c:pieChart>
    </c:plotArea>
    <c:legend>
      <c:legendPos val="r"/>
      <c:overlay val="1"/>
      <c:txPr>
        <a:bodyPr/>
        <a:lstStyle/>
        <a:p>
          <a:pPr>
            <a:defRPr sz="900" b="0">
              <a:solidFill>
                <a:srgbClr val="161616"/>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Revenue / COGS / Margin by Product</a:t>
            </a:r>
          </a:p>
        </c:rich>
      </c:tx>
      <c:overlay val="1"/>
    </c:title>
    <c:autoTitleDeleted val="0"/>
    <c:plotArea>
      <c:layout/>
      <c:barChart>
        <c:barDir val="col"/>
        <c:grouping val="clustered"/>
        <c:varyColors val="1"/>
        <c:ser>
          <c:idx val="0"/>
          <c:order val="0"/>
          <c:tx>
            <c:strRef>
              <c:f>'Charts &amp; Visuals'!$B$261</c:f>
              <c:strCache>
                <c:ptCount val="1"/>
                <c:pt idx="0">
                  <c:v>Revenue</c:v>
                </c:pt>
              </c:strCache>
            </c:strRef>
          </c:tx>
          <c:spPr>
            <a:solidFill>
              <a:srgbClr val="0B4779"/>
            </a:solidFill>
            <a:ln>
              <a:solidFill>
                <a:srgbClr val="0B4779"/>
              </a:solidFill>
              <a:prstDash val="solid"/>
            </a:ln>
          </c:spPr>
          <c:invertIfNegative val="1"/>
          <c:cat>
            <c:strRef>
              <c:f>'Charts &amp; Visuals'!$A$262:$A$265</c:f>
              <c:strCache>
                <c:ptCount val="4"/>
                <c:pt idx="0">
                  <c:v>iGO</c:v>
                </c:pt>
                <c:pt idx="1">
                  <c:v>Affirm</c:v>
                </c:pt>
                <c:pt idx="2">
                  <c:v>InsureSight</c:v>
                </c:pt>
                <c:pt idx="3">
                  <c:v>DocFast</c:v>
                </c:pt>
              </c:strCache>
            </c:strRef>
          </c:cat>
          <c:val>
            <c:numRef>
              <c:f>'Charts &amp; Visuals'!$B$262:$B$265</c:f>
              <c:numCache>
                <c:formatCode>\$#,##0.0"K"</c:formatCode>
                <c:ptCount val="4"/>
                <c:pt idx="0">
                  <c:v>72059.360000000001</c:v>
                </c:pt>
                <c:pt idx="1">
                  <c:v>34483.47</c:v>
                </c:pt>
                <c:pt idx="2">
                  <c:v>11290.61</c:v>
                </c:pt>
                <c:pt idx="3">
                  <c:v>4635.12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B4779"/>
                    </a:solidFill>
                    <a:prstDash val="solid"/>
                  </a:ln>
                </c14:spPr>
              </c14:invertSolidFillFmt>
            </c:ext>
            <c:ext xmlns:c16="http://schemas.microsoft.com/office/drawing/2014/chart" uri="{C3380CC4-5D6E-409C-BE32-E72D297353CC}">
              <c16:uniqueId val="{00000000-804C-4352-8308-3103D499A77F}"/>
            </c:ext>
          </c:extLst>
        </c:ser>
        <c:ser>
          <c:idx val="1"/>
          <c:order val="1"/>
          <c:tx>
            <c:strRef>
              <c:f>'Charts &amp; Visuals'!$C$261</c:f>
              <c:strCache>
                <c:ptCount val="1"/>
                <c:pt idx="0">
                  <c:v>Cost of Revenue</c:v>
                </c:pt>
              </c:strCache>
            </c:strRef>
          </c:tx>
          <c:spPr>
            <a:solidFill>
              <a:srgbClr val="2BCCD3"/>
            </a:solidFill>
            <a:ln>
              <a:solidFill>
                <a:srgbClr val="2BCCD3"/>
              </a:solidFill>
              <a:prstDash val="solid"/>
            </a:ln>
          </c:spPr>
          <c:invertIfNegative val="1"/>
          <c:cat>
            <c:strRef>
              <c:f>'Charts &amp; Visuals'!$A$262:$A$265</c:f>
              <c:strCache>
                <c:ptCount val="4"/>
                <c:pt idx="0">
                  <c:v>iGO</c:v>
                </c:pt>
                <c:pt idx="1">
                  <c:v>Affirm</c:v>
                </c:pt>
                <c:pt idx="2">
                  <c:v>InsureSight</c:v>
                </c:pt>
                <c:pt idx="3">
                  <c:v>DocFast</c:v>
                </c:pt>
              </c:strCache>
            </c:strRef>
          </c:cat>
          <c:val>
            <c:numRef>
              <c:f>'Charts &amp; Visuals'!$C$262:$C$265</c:f>
              <c:numCache>
                <c:formatCode>\$#,##0.0"K"</c:formatCode>
                <c:ptCount val="4"/>
                <c:pt idx="0">
                  <c:v>20155.75</c:v>
                </c:pt>
                <c:pt idx="1">
                  <c:v>4553.4500000000007</c:v>
                </c:pt>
                <c:pt idx="2">
                  <c:v>4150.91</c:v>
                </c:pt>
                <c:pt idx="3">
                  <c:v>1830.7299999999998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2BCCD3"/>
                    </a:solidFill>
                    <a:prstDash val="solid"/>
                  </a:ln>
                </c14:spPr>
              </c14:invertSolidFillFmt>
            </c:ext>
            <c:ext xmlns:c16="http://schemas.microsoft.com/office/drawing/2014/chart" uri="{C3380CC4-5D6E-409C-BE32-E72D297353CC}">
              <c16:uniqueId val="{00000001-804C-4352-8308-3103D499A77F}"/>
            </c:ext>
          </c:extLst>
        </c:ser>
        <c:ser>
          <c:idx val="2"/>
          <c:order val="2"/>
          <c:tx>
            <c:strRef>
              <c:f>'Charts &amp; Visuals'!$D$261</c:f>
              <c:strCache>
                <c:ptCount val="1"/>
                <c:pt idx="0">
                  <c:v>Contribution Margin</c:v>
                </c:pt>
              </c:strCache>
            </c:strRef>
          </c:tx>
          <c:spPr>
            <a:solidFill>
              <a:srgbClr val="BFF18C"/>
            </a:solidFill>
            <a:ln>
              <a:solidFill>
                <a:srgbClr val="BFF18C"/>
              </a:solidFill>
              <a:prstDash val="solid"/>
            </a:ln>
          </c:spPr>
          <c:invertIfNegative val="1"/>
          <c:cat>
            <c:strRef>
              <c:f>'Charts &amp; Visuals'!$A$262:$A$265</c:f>
              <c:strCache>
                <c:ptCount val="4"/>
                <c:pt idx="0">
                  <c:v>iGO</c:v>
                </c:pt>
                <c:pt idx="1">
                  <c:v>Affirm</c:v>
                </c:pt>
                <c:pt idx="2">
                  <c:v>InsureSight</c:v>
                </c:pt>
                <c:pt idx="3">
                  <c:v>DocFast</c:v>
                </c:pt>
              </c:strCache>
            </c:strRef>
          </c:cat>
          <c:val>
            <c:numRef>
              <c:f>'Charts &amp; Visuals'!$D$262:$D$265</c:f>
              <c:numCache>
                <c:formatCode>\$#,##0.0"K"</c:formatCode>
                <c:ptCount val="4"/>
                <c:pt idx="0">
                  <c:v>39591.21</c:v>
                </c:pt>
                <c:pt idx="1">
                  <c:v>24030.149999999998</c:v>
                </c:pt>
                <c:pt idx="2">
                  <c:v>5233.8499999999995</c:v>
                </c:pt>
                <c:pt idx="3">
                  <c:v>2017.7700000000002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BFF18C"/>
                    </a:solidFill>
                    <a:prstDash val="solid"/>
                  </a:ln>
                </c14:spPr>
              </c14:invertSolidFillFmt>
            </c:ext>
            <c:ext xmlns:c16="http://schemas.microsoft.com/office/drawing/2014/chart" uri="{C3380CC4-5D6E-409C-BE32-E72D297353CC}">
              <c16:uniqueId val="{00000002-804C-4352-8308-3103D499A77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quot;K&quot;" sourceLinked="0"/>
        <c:majorTickMark val="none"/>
        <c:minorTickMark val="none"/>
        <c:tickLblPos val="nextTo"/>
        <c:txPr>
          <a:bodyPr/>
          <a:lstStyle/>
          <a:p>
            <a:pPr>
              <a:defRPr sz="800" b="0">
                <a:solidFill>
                  <a:srgbClr val="161616"/>
                </a:solidFill>
                <a:latin typeface="Arial"/>
              </a:defRPr>
            </a:pPr>
            <a:endParaRPr lang="en-US"/>
          </a:p>
        </c:txPr>
        <c:crossAx val="10"/>
        <c:crosses val="autoZero"/>
        <c:crossBetween val="between"/>
      </c:valAx>
    </c:plotArea>
    <c:legend>
      <c:legendPos val="b"/>
      <c:overlay val="1"/>
      <c:txPr>
        <a:bodyPr/>
        <a:lstStyle/>
        <a:p>
          <a:pPr>
            <a:defRPr sz="800" b="1">
              <a:solidFill>
                <a:srgbClr val="FF0000"/>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Dept Cost by Product</a:t>
            </a:r>
          </a:p>
        </c:rich>
      </c:tx>
      <c:overlay val="1"/>
    </c:title>
    <c:autoTitleDeleted val="0"/>
    <c:plotArea>
      <c:layout/>
      <c:barChart>
        <c:barDir val="col"/>
        <c:grouping val="stacked"/>
        <c:varyColors val="1"/>
        <c:ser>
          <c:idx val="0"/>
          <c:order val="0"/>
          <c:tx>
            <c:strRef>
              <c:f>'Charts &amp; Visuals'!$B$224</c:f>
              <c:strCache>
                <c:ptCount val="1"/>
                <c:pt idx="0">
                  <c:v>iGO</c:v>
                </c:pt>
              </c:strCache>
            </c:strRef>
          </c:tx>
          <c:spPr>
            <a:solidFill>
              <a:srgbClr val="0B4779"/>
            </a:solidFill>
            <a:ln>
              <a:solidFill>
                <a:srgbClr val="0B4779"/>
              </a:solidFill>
              <a:prstDash val="solid"/>
            </a:ln>
          </c:spPr>
          <c:invertIfNegative val="1"/>
          <c:cat>
            <c:strRef>
              <c:f>'Charts &amp; Visuals'!$A$225:$A$231</c:f>
              <c:strCache>
                <c:ptCount val="7"/>
                <c:pt idx="0">
                  <c:v>NetOps</c:v>
                </c:pt>
                <c:pt idx="1">
                  <c:v>Security</c:v>
                </c:pt>
                <c:pt idx="2">
                  <c:v>Support</c:v>
                </c:pt>
                <c:pt idx="3">
                  <c:v>Partners</c:v>
                </c:pt>
                <c:pt idx="4">
                  <c:v>Content</c:v>
                </c:pt>
                <c:pt idx="5">
                  <c:v>R&amp;D</c:v>
                </c:pt>
                <c:pt idx="6">
                  <c:v>Product Mgmt</c:v>
                </c:pt>
              </c:strCache>
            </c:strRef>
          </c:cat>
          <c:val>
            <c:numRef>
              <c:f>'Charts &amp; Visuals'!$B$225:$B$231</c:f>
              <c:numCache>
                <c:formatCode>\$#,##0.0"K"</c:formatCode>
                <c:ptCount val="7"/>
                <c:pt idx="0">
                  <c:v>9854.99</c:v>
                </c:pt>
                <c:pt idx="1">
                  <c:v>2190.3999999999996</c:v>
                </c:pt>
                <c:pt idx="2">
                  <c:v>3252.76</c:v>
                </c:pt>
                <c:pt idx="3">
                  <c:v>1635.44</c:v>
                </c:pt>
                <c:pt idx="4">
                  <c:v>273.25</c:v>
                </c:pt>
                <c:pt idx="5">
                  <c:v>5718.5300000000007</c:v>
                </c:pt>
                <c:pt idx="6">
                  <c:v>2171.8199999999997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B4779"/>
                    </a:solidFill>
                    <a:prstDash val="solid"/>
                  </a:ln>
                </c14:spPr>
              </c14:invertSolidFillFmt>
            </c:ext>
            <c:ext xmlns:c16="http://schemas.microsoft.com/office/drawing/2014/chart" uri="{C3380CC4-5D6E-409C-BE32-E72D297353CC}">
              <c16:uniqueId val="{00000000-9005-40E3-8190-D968E410C96F}"/>
            </c:ext>
          </c:extLst>
        </c:ser>
        <c:ser>
          <c:idx val="1"/>
          <c:order val="1"/>
          <c:tx>
            <c:strRef>
              <c:f>'Charts &amp; Visuals'!$C$224</c:f>
              <c:strCache>
                <c:ptCount val="1"/>
                <c:pt idx="0">
                  <c:v>Affirm</c:v>
                </c:pt>
              </c:strCache>
            </c:strRef>
          </c:tx>
          <c:spPr>
            <a:solidFill>
              <a:srgbClr val="2BCCD3"/>
            </a:solidFill>
            <a:ln>
              <a:solidFill>
                <a:srgbClr val="2BCCD3"/>
              </a:solidFill>
              <a:prstDash val="solid"/>
            </a:ln>
          </c:spPr>
          <c:invertIfNegative val="1"/>
          <c:cat>
            <c:strRef>
              <c:f>'Charts &amp; Visuals'!$A$225:$A$231</c:f>
              <c:strCache>
                <c:ptCount val="7"/>
                <c:pt idx="0">
                  <c:v>NetOps</c:v>
                </c:pt>
                <c:pt idx="1">
                  <c:v>Security</c:v>
                </c:pt>
                <c:pt idx="2">
                  <c:v>Support</c:v>
                </c:pt>
                <c:pt idx="3">
                  <c:v>Partners</c:v>
                </c:pt>
                <c:pt idx="4">
                  <c:v>Content</c:v>
                </c:pt>
                <c:pt idx="5">
                  <c:v>R&amp;D</c:v>
                </c:pt>
                <c:pt idx="6">
                  <c:v>Product Mgmt</c:v>
                </c:pt>
              </c:strCache>
            </c:strRef>
          </c:cat>
          <c:val>
            <c:numRef>
              <c:f>'Charts &amp; Visuals'!$C$225:$C$231</c:f>
              <c:numCache>
                <c:formatCode>\$#,##0.0"K"</c:formatCode>
                <c:ptCount val="7"/>
                <c:pt idx="0">
                  <c:v>1578.7000000000003</c:v>
                </c:pt>
                <c:pt idx="1">
                  <c:v>524.66000000000008</c:v>
                </c:pt>
                <c:pt idx="2">
                  <c:v>774.85000000000014</c:v>
                </c:pt>
                <c:pt idx="3">
                  <c:v>520.30000000000007</c:v>
                </c:pt>
                <c:pt idx="4">
                  <c:v>77.990000000000009</c:v>
                </c:pt>
                <c:pt idx="5">
                  <c:v>1696.6500000000003</c:v>
                </c:pt>
                <c:pt idx="6">
                  <c:v>681.65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2BCCD3"/>
                    </a:solidFill>
                    <a:prstDash val="solid"/>
                  </a:ln>
                </c14:spPr>
              </c14:invertSolidFillFmt>
            </c:ext>
            <c:ext xmlns:c16="http://schemas.microsoft.com/office/drawing/2014/chart" uri="{C3380CC4-5D6E-409C-BE32-E72D297353CC}">
              <c16:uniqueId val="{00000001-9005-40E3-8190-D968E410C96F}"/>
            </c:ext>
          </c:extLst>
        </c:ser>
        <c:ser>
          <c:idx val="2"/>
          <c:order val="2"/>
          <c:tx>
            <c:strRef>
              <c:f>'Charts &amp; Visuals'!$D$224</c:f>
              <c:strCache>
                <c:ptCount val="1"/>
                <c:pt idx="0">
                  <c:v>InsureSight</c:v>
                </c:pt>
              </c:strCache>
            </c:strRef>
          </c:tx>
          <c:spPr>
            <a:solidFill>
              <a:srgbClr val="BFF18C"/>
            </a:solidFill>
            <a:ln>
              <a:solidFill>
                <a:srgbClr val="BFF18C"/>
              </a:solidFill>
              <a:prstDash val="solid"/>
            </a:ln>
          </c:spPr>
          <c:invertIfNegative val="1"/>
          <c:cat>
            <c:strRef>
              <c:f>'Charts &amp; Visuals'!$A$225:$A$231</c:f>
              <c:strCache>
                <c:ptCount val="7"/>
                <c:pt idx="0">
                  <c:v>NetOps</c:v>
                </c:pt>
                <c:pt idx="1">
                  <c:v>Security</c:v>
                </c:pt>
                <c:pt idx="2">
                  <c:v>Support</c:v>
                </c:pt>
                <c:pt idx="3">
                  <c:v>Partners</c:v>
                </c:pt>
                <c:pt idx="4">
                  <c:v>Content</c:v>
                </c:pt>
                <c:pt idx="5">
                  <c:v>R&amp;D</c:v>
                </c:pt>
                <c:pt idx="6">
                  <c:v>Product Mgmt</c:v>
                </c:pt>
              </c:strCache>
            </c:strRef>
          </c:cat>
          <c:val>
            <c:numRef>
              <c:f>'Charts &amp; Visuals'!$D$225:$D$231</c:f>
              <c:numCache>
                <c:formatCode>\$#,##0.0"K"</c:formatCode>
                <c:ptCount val="7"/>
                <c:pt idx="0">
                  <c:v>1855.19</c:v>
                </c:pt>
                <c:pt idx="1">
                  <c:v>428.74999999999994</c:v>
                </c:pt>
                <c:pt idx="2">
                  <c:v>685.05999999999983</c:v>
                </c:pt>
                <c:pt idx="3">
                  <c:v>502.96999999999997</c:v>
                </c:pt>
                <c:pt idx="4">
                  <c:v>85.250000000000014</c:v>
                </c:pt>
                <c:pt idx="5">
                  <c:v>1325.33</c:v>
                </c:pt>
                <c:pt idx="6">
                  <c:v>453.39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BFF18C"/>
                    </a:solidFill>
                    <a:prstDash val="solid"/>
                  </a:ln>
                </c14:spPr>
              </c14:invertSolidFillFmt>
            </c:ext>
            <c:ext xmlns:c16="http://schemas.microsoft.com/office/drawing/2014/chart" uri="{C3380CC4-5D6E-409C-BE32-E72D297353CC}">
              <c16:uniqueId val="{00000002-9005-40E3-8190-D968E410C96F}"/>
            </c:ext>
          </c:extLst>
        </c:ser>
        <c:ser>
          <c:idx val="3"/>
          <c:order val="3"/>
          <c:tx>
            <c:strRef>
              <c:f>'Charts &amp; Visuals'!$E$224</c:f>
              <c:strCache>
                <c:ptCount val="1"/>
                <c:pt idx="0">
                  <c:v>DocFast</c:v>
                </c:pt>
              </c:strCache>
            </c:strRef>
          </c:tx>
          <c:spPr>
            <a:solidFill>
              <a:srgbClr val="4B9BCB"/>
            </a:solidFill>
            <a:ln>
              <a:solidFill>
                <a:srgbClr val="4B9BCB"/>
              </a:solidFill>
              <a:prstDash val="solid"/>
            </a:ln>
          </c:spPr>
          <c:invertIfNegative val="1"/>
          <c:cat>
            <c:strRef>
              <c:f>'Charts &amp; Visuals'!$A$225:$A$231</c:f>
              <c:strCache>
                <c:ptCount val="7"/>
                <c:pt idx="0">
                  <c:v>NetOps</c:v>
                </c:pt>
                <c:pt idx="1">
                  <c:v>Security</c:v>
                </c:pt>
                <c:pt idx="2">
                  <c:v>Support</c:v>
                </c:pt>
                <c:pt idx="3">
                  <c:v>Partners</c:v>
                </c:pt>
                <c:pt idx="4">
                  <c:v>Content</c:v>
                </c:pt>
                <c:pt idx="5">
                  <c:v>R&amp;D</c:v>
                </c:pt>
                <c:pt idx="6">
                  <c:v>Product Mgmt</c:v>
                </c:pt>
              </c:strCache>
            </c:strRef>
          </c:cat>
          <c:val>
            <c:numRef>
              <c:f>'Charts &amp; Visuals'!$E$225:$E$231</c:f>
              <c:numCache>
                <c:formatCode>\$#,##0.0"K"</c:formatCode>
                <c:ptCount val="7"/>
                <c:pt idx="0">
                  <c:v>875.18000000000006</c:v>
                </c:pt>
                <c:pt idx="1">
                  <c:v>212.60000000000002</c:v>
                </c:pt>
                <c:pt idx="2">
                  <c:v>353.77000000000004</c:v>
                </c:pt>
                <c:pt idx="3">
                  <c:v>143.79</c:v>
                </c:pt>
                <c:pt idx="4">
                  <c:v>28.360000000000003</c:v>
                </c:pt>
                <c:pt idx="5">
                  <c:v>687.75</c:v>
                </c:pt>
                <c:pt idx="6">
                  <c:v>229.88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4B9BCB"/>
                    </a:solidFill>
                    <a:prstDash val="solid"/>
                  </a:ln>
                </c14:spPr>
              </c14:invertSolidFillFmt>
            </c:ext>
            <c:ext xmlns:c16="http://schemas.microsoft.com/office/drawing/2014/chart" uri="{C3380CC4-5D6E-409C-BE32-E72D297353CC}">
              <c16:uniqueId val="{00000003-9005-40E3-8190-D968E410C96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quot;K&quot;" sourceLinked="0"/>
        <c:majorTickMark val="none"/>
        <c:minorTickMark val="none"/>
        <c:tickLblPos val="nextTo"/>
        <c:txPr>
          <a:bodyPr/>
          <a:lstStyle/>
          <a:p>
            <a:pPr>
              <a:defRPr sz="800" b="0">
                <a:solidFill>
                  <a:srgbClr val="161616"/>
                </a:solidFill>
                <a:latin typeface="Arial"/>
              </a:defRPr>
            </a:pPr>
            <a:endParaRPr lang="en-US"/>
          </a:p>
        </c:txPr>
        <c:crossAx val="10"/>
        <c:crosses val="autoZero"/>
        <c:crossBetween val="between"/>
      </c:valAx>
    </c:plotArea>
    <c:legend>
      <c:legendPos val="b"/>
      <c:overlay val="1"/>
      <c:txPr>
        <a:bodyPr/>
        <a:lstStyle/>
        <a:p>
          <a:pPr>
            <a:defRPr sz="800" b="1">
              <a:solidFill>
                <a:srgbClr val="FF0000"/>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53975</xdr:colOff>
      <xdr:row>27</xdr:row>
      <xdr:rowOff>0</xdr:rowOff>
    </xdr:from>
    <xdr:to>
      <xdr:col>4</xdr:col>
      <xdr:colOff>590550</xdr:colOff>
      <xdr:row>47</xdr:row>
      <xdr:rowOff>0</xdr:rowOff>
    </xdr:to>
    <xdr:graphicFrame macro="">
      <xdr:nvGraphicFramePr>
        <xdr:cNvPr id="5" name="Chart 4">
          <a:extLst>
            <a:ext uri="{FF2B5EF4-FFF2-40B4-BE49-F238E27FC236}">
              <a16:creationId xmlns:a16="http://schemas.microsoft.com/office/drawing/2014/main" id="{115A722F-AF53-84AA-2594-CC0A1FBF2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844550</xdr:colOff>
      <xdr:row>27</xdr:row>
      <xdr:rowOff>0</xdr:rowOff>
    </xdr:from>
    <xdr:to>
      <xdr:col>12</xdr:col>
      <xdr:colOff>447675</xdr:colOff>
      <xdr:row>47</xdr:row>
      <xdr:rowOff>0</xdr:rowOff>
    </xdr:to>
    <xdr:graphicFrame macro="">
      <xdr:nvGraphicFramePr>
        <xdr:cNvPr id="6" name="Chart 5">
          <a:extLst>
            <a:ext uri="{FF2B5EF4-FFF2-40B4-BE49-F238E27FC236}">
              <a16:creationId xmlns:a16="http://schemas.microsoft.com/office/drawing/2014/main" id="{8545E8F9-A9EE-8680-AA8D-26137EE36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3355975</xdr:colOff>
      <xdr:row>48</xdr:row>
      <xdr:rowOff>63500</xdr:rowOff>
    </xdr:from>
    <xdr:to>
      <xdr:col>5</xdr:col>
      <xdr:colOff>1168400</xdr:colOff>
      <xdr:row>68</xdr:row>
      <xdr:rowOff>63500</xdr:rowOff>
    </xdr:to>
    <xdr:graphicFrame macro="">
      <xdr:nvGraphicFramePr>
        <xdr:cNvPr id="7" name="Chart 6">
          <a:extLst>
            <a:ext uri="{FF2B5EF4-FFF2-40B4-BE49-F238E27FC236}">
              <a16:creationId xmlns:a16="http://schemas.microsoft.com/office/drawing/2014/main" id="{EFCDBEE1-A701-0E68-12BD-4320D458C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200024</xdr:colOff>
      <xdr:row>10</xdr:row>
      <xdr:rowOff>0</xdr:rowOff>
    </xdr:from>
    <xdr:ext cx="5305425" cy="3600000"/>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200024</xdr:colOff>
      <xdr:row>10</xdr:row>
      <xdr:rowOff>0</xdr:rowOff>
    </xdr:from>
    <xdr:ext cx="5610225" cy="3600000"/>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200024</xdr:colOff>
      <xdr:row>30</xdr:row>
      <xdr:rowOff>0</xdr:rowOff>
    </xdr:from>
    <xdr:ext cx="6076951" cy="3600000"/>
    <xdr:graphicFrame macro="">
      <xdr:nvGraphicFramePr>
        <xdr:cNvPr id="4" name="Chart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xdr:col>
      <xdr:colOff>0</xdr:colOff>
      <xdr:row>52</xdr:row>
      <xdr:rowOff>0</xdr:rowOff>
    </xdr:from>
    <xdr:ext cx="4680000" cy="3600000"/>
    <xdr:graphicFrame macro="">
      <xdr:nvGraphicFramePr>
        <xdr:cNvPr id="5" name="Chart 4">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9</xdr:col>
      <xdr:colOff>0</xdr:colOff>
      <xdr:row>52</xdr:row>
      <xdr:rowOff>0</xdr:rowOff>
    </xdr:from>
    <xdr:ext cx="4680000" cy="3600000"/>
    <xdr:graphicFrame macro="">
      <xdr:nvGraphicFramePr>
        <xdr:cNvPr id="6" name="Chart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200024</xdr:colOff>
      <xdr:row>71</xdr:row>
      <xdr:rowOff>200024</xdr:rowOff>
    </xdr:from>
    <xdr:ext cx="5019675" cy="3838575"/>
    <xdr:graphicFrame macro="">
      <xdr:nvGraphicFramePr>
        <xdr:cNvPr id="7" name="Chart 6">
          <a:extLst>
            <a:ext uri="{FF2B5EF4-FFF2-40B4-BE49-F238E27FC236}">
              <a16:creationId xmlns:a16="http://schemas.microsoft.com/office/drawing/2014/main" id="{00000000-0008-0000-0D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0</xdr:colOff>
      <xdr:row>93</xdr:row>
      <xdr:rowOff>200024</xdr:rowOff>
    </xdr:from>
    <xdr:ext cx="4680000" cy="3819525"/>
    <xdr:graphicFrame macro="">
      <xdr:nvGraphicFramePr>
        <xdr:cNvPr id="8" name="Chart 7">
          <a:extLst>
            <a:ext uri="{FF2B5EF4-FFF2-40B4-BE49-F238E27FC236}">
              <a16:creationId xmlns:a16="http://schemas.microsoft.com/office/drawing/2014/main" id="{00000000-0008-0000-0D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9</xdr:col>
      <xdr:colOff>0</xdr:colOff>
      <xdr:row>93</xdr:row>
      <xdr:rowOff>200024</xdr:rowOff>
    </xdr:from>
    <xdr:ext cx="4680000" cy="3800475"/>
    <xdr:graphicFrame macro="">
      <xdr:nvGraphicFramePr>
        <xdr:cNvPr id="9" name="Chart 8">
          <a:extLst>
            <a:ext uri="{FF2B5EF4-FFF2-40B4-BE49-F238E27FC236}">
              <a16:creationId xmlns:a16="http://schemas.microsoft.com/office/drawing/2014/main" id="{00000000-0008-0000-0D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Downloads/KeystoneBenefitTech_PL_Model.xlsx" TargetMode="External"/><Relationship Id="rId2" Type="http://schemas.openxmlformats.org/officeDocument/2006/relationships/hyperlink" Target="../../../../Downloads/KeystoneBenefitTech_PL_Model.xlsx" TargetMode="External"/><Relationship Id="rId1" Type="http://schemas.openxmlformats.org/officeDocument/2006/relationships/hyperlink" Target="../../../../Downloads/KeystoneBenefitTech_PL_Model.xlsx"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808080"/>
  </sheetPr>
  <dimension ref="A1:G511"/>
  <sheetViews>
    <sheetView showGridLines="0" topLeftCell="A7" zoomScaleNormal="100" workbookViewId="0">
      <selection activeCell="G28" sqref="G28"/>
    </sheetView>
  </sheetViews>
  <sheetFormatPr defaultColWidth="8.5703125" defaultRowHeight="15" x14ac:dyDescent="0.25"/>
  <cols>
    <col min="1" max="1" width="40.85546875" customWidth="1"/>
    <col min="2" max="2" width="25.7109375" customWidth="1"/>
    <col min="3" max="3" width="22.28515625" customWidth="1"/>
    <col min="4" max="4" width="14" customWidth="1"/>
    <col min="5" max="5" width="40" customWidth="1"/>
    <col min="6" max="6" width="28.42578125" customWidth="1"/>
    <col min="7" max="7" width="26.85546875" customWidth="1"/>
  </cols>
  <sheetData>
    <row r="1" spans="1:7" x14ac:dyDescent="0.25">
      <c r="A1" s="1" t="s">
        <v>0</v>
      </c>
      <c r="B1" s="2" t="s">
        <v>1</v>
      </c>
      <c r="C1" s="2" t="s">
        <v>2</v>
      </c>
      <c r="D1" s="2" t="s">
        <v>3</v>
      </c>
      <c r="E1" s="2" t="s">
        <v>4</v>
      </c>
      <c r="F1" s="2" t="s">
        <v>5</v>
      </c>
      <c r="G1" s="2" t="s">
        <v>6</v>
      </c>
    </row>
    <row r="2" spans="1:7" x14ac:dyDescent="0.25">
      <c r="A2" s="3" t="s">
        <v>7</v>
      </c>
      <c r="B2" s="3" t="s">
        <v>8</v>
      </c>
      <c r="C2" s="3" t="s">
        <v>9</v>
      </c>
      <c r="D2" s="3" t="s">
        <v>10</v>
      </c>
      <c r="E2" s="3" t="s">
        <v>11</v>
      </c>
      <c r="F2" s="3" t="s">
        <v>12</v>
      </c>
      <c r="G2" s="4">
        <v>14607.17</v>
      </c>
    </row>
    <row r="3" spans="1:7" x14ac:dyDescent="0.25">
      <c r="A3" s="5" t="s">
        <v>13</v>
      </c>
      <c r="B3" s="5" t="s">
        <v>14</v>
      </c>
      <c r="C3" s="5" t="s">
        <v>15</v>
      </c>
      <c r="D3" s="5" t="s">
        <v>16</v>
      </c>
      <c r="E3" s="5" t="s">
        <v>17</v>
      </c>
      <c r="F3" s="5" t="s">
        <v>18</v>
      </c>
      <c r="G3" s="6">
        <v>12027.16</v>
      </c>
    </row>
    <row r="4" spans="1:7" x14ac:dyDescent="0.25">
      <c r="A4" s="3" t="s">
        <v>19</v>
      </c>
      <c r="B4" s="3" t="s">
        <v>20</v>
      </c>
      <c r="C4" s="3" t="s">
        <v>21</v>
      </c>
      <c r="D4" s="3" t="s">
        <v>10</v>
      </c>
      <c r="E4" s="3" t="s">
        <v>22</v>
      </c>
      <c r="F4" s="3" t="s">
        <v>23</v>
      </c>
      <c r="G4" s="4">
        <v>2747.82</v>
      </c>
    </row>
    <row r="5" spans="1:7" x14ac:dyDescent="0.25">
      <c r="A5" s="5" t="s">
        <v>24</v>
      </c>
      <c r="B5" s="7">
        <v>45788</v>
      </c>
      <c r="C5" s="5" t="s">
        <v>21</v>
      </c>
      <c r="D5" s="5" t="s">
        <v>25</v>
      </c>
      <c r="E5" s="5" t="s">
        <v>26</v>
      </c>
      <c r="F5" s="5" t="s">
        <v>27</v>
      </c>
      <c r="G5" s="6">
        <v>4469.82</v>
      </c>
    </row>
    <row r="6" spans="1:7" x14ac:dyDescent="0.25">
      <c r="A6" s="3" t="s">
        <v>28</v>
      </c>
      <c r="B6" s="8">
        <v>45889</v>
      </c>
      <c r="C6" s="3" t="s">
        <v>9</v>
      </c>
      <c r="D6" s="3" t="s">
        <v>10</v>
      </c>
      <c r="E6" s="3" t="s">
        <v>29</v>
      </c>
      <c r="F6" s="3" t="s">
        <v>30</v>
      </c>
      <c r="G6" s="4">
        <v>6686.43</v>
      </c>
    </row>
    <row r="7" spans="1:7" x14ac:dyDescent="0.25">
      <c r="A7" s="5" t="s">
        <v>31</v>
      </c>
      <c r="B7" s="7">
        <v>45871</v>
      </c>
      <c r="C7" s="5" t="s">
        <v>9</v>
      </c>
      <c r="D7" s="5" t="s">
        <v>16</v>
      </c>
      <c r="E7" s="5" t="s">
        <v>22</v>
      </c>
      <c r="F7" s="5" t="s">
        <v>32</v>
      </c>
      <c r="G7" s="6">
        <v>4154.6000000000004</v>
      </c>
    </row>
    <row r="8" spans="1:7" x14ac:dyDescent="0.25">
      <c r="A8" s="3" t="s">
        <v>33</v>
      </c>
      <c r="B8" s="8">
        <v>45660</v>
      </c>
      <c r="C8" s="3" t="s">
        <v>9</v>
      </c>
      <c r="D8" s="3" t="s">
        <v>10</v>
      </c>
      <c r="E8" s="3" t="s">
        <v>26</v>
      </c>
      <c r="F8" s="3" t="s">
        <v>34</v>
      </c>
      <c r="G8" s="4">
        <v>12026.38</v>
      </c>
    </row>
    <row r="9" spans="1:7" x14ac:dyDescent="0.25">
      <c r="A9" s="5" t="s">
        <v>35</v>
      </c>
      <c r="B9" s="7">
        <v>45967</v>
      </c>
      <c r="C9" s="5" t="s">
        <v>21</v>
      </c>
      <c r="D9" s="5" t="s">
        <v>36</v>
      </c>
      <c r="E9" s="5" t="s">
        <v>22</v>
      </c>
      <c r="F9" s="5" t="s">
        <v>27</v>
      </c>
      <c r="G9" s="6">
        <v>11730.61</v>
      </c>
    </row>
    <row r="10" spans="1:7" x14ac:dyDescent="0.25">
      <c r="A10" s="3" t="s">
        <v>37</v>
      </c>
      <c r="B10" s="8">
        <v>45662</v>
      </c>
      <c r="C10" s="3" t="s">
        <v>21</v>
      </c>
      <c r="D10" s="3" t="s">
        <v>36</v>
      </c>
      <c r="E10" s="3" t="s">
        <v>38</v>
      </c>
      <c r="F10" s="3" t="s">
        <v>12</v>
      </c>
      <c r="G10" s="4">
        <v>5464.15</v>
      </c>
    </row>
    <row r="11" spans="1:7" x14ac:dyDescent="0.25">
      <c r="A11" s="5" t="s">
        <v>39</v>
      </c>
      <c r="B11" s="7">
        <v>45932</v>
      </c>
      <c r="C11" s="5" t="s">
        <v>40</v>
      </c>
      <c r="D11" s="5" t="s">
        <v>36</v>
      </c>
      <c r="E11" s="5" t="s">
        <v>38</v>
      </c>
      <c r="F11" s="5" t="s">
        <v>41</v>
      </c>
      <c r="G11" s="6">
        <v>14234.91</v>
      </c>
    </row>
    <row r="12" spans="1:7" x14ac:dyDescent="0.25">
      <c r="A12" s="3" t="s">
        <v>42</v>
      </c>
      <c r="B12" s="8">
        <v>45823</v>
      </c>
      <c r="C12" s="3" t="s">
        <v>43</v>
      </c>
      <c r="D12" s="3" t="s">
        <v>25</v>
      </c>
      <c r="E12" s="3" t="s">
        <v>22</v>
      </c>
      <c r="F12" s="3" t="s">
        <v>44</v>
      </c>
      <c r="G12" s="4">
        <v>7965.43</v>
      </c>
    </row>
    <row r="13" spans="1:7" x14ac:dyDescent="0.25">
      <c r="A13" s="5" t="s">
        <v>45</v>
      </c>
      <c r="B13" s="7">
        <v>45849</v>
      </c>
      <c r="C13" s="5" t="s">
        <v>9</v>
      </c>
      <c r="D13" s="5" t="s">
        <v>16</v>
      </c>
      <c r="E13" s="5" t="s">
        <v>46</v>
      </c>
      <c r="F13" s="5" t="s">
        <v>47</v>
      </c>
      <c r="G13" s="6">
        <v>437.4</v>
      </c>
    </row>
    <row r="14" spans="1:7" x14ac:dyDescent="0.25">
      <c r="A14" s="3" t="s">
        <v>48</v>
      </c>
      <c r="B14" s="8">
        <v>45732</v>
      </c>
      <c r="C14" s="3" t="s">
        <v>40</v>
      </c>
      <c r="D14" s="3" t="s">
        <v>10</v>
      </c>
      <c r="E14" s="3" t="s">
        <v>17</v>
      </c>
      <c r="F14" s="3" t="s">
        <v>47</v>
      </c>
      <c r="G14" s="4">
        <v>3963.56</v>
      </c>
    </row>
    <row r="15" spans="1:7" x14ac:dyDescent="0.25">
      <c r="A15" s="5" t="s">
        <v>49</v>
      </c>
      <c r="B15" s="7">
        <v>45800</v>
      </c>
      <c r="C15" s="5" t="s">
        <v>15</v>
      </c>
      <c r="D15" s="5" t="s">
        <v>36</v>
      </c>
      <c r="E15" s="5" t="s">
        <v>22</v>
      </c>
      <c r="F15" s="5" t="s">
        <v>18</v>
      </c>
      <c r="G15" s="6">
        <v>10425.01</v>
      </c>
    </row>
    <row r="16" spans="1:7" x14ac:dyDescent="0.25">
      <c r="A16" s="3" t="s">
        <v>50</v>
      </c>
      <c r="B16" s="8">
        <v>45876</v>
      </c>
      <c r="C16" s="3" t="s">
        <v>21</v>
      </c>
      <c r="D16" s="3" t="s">
        <v>36</v>
      </c>
      <c r="E16" s="3" t="s">
        <v>51</v>
      </c>
      <c r="F16" s="3" t="s">
        <v>41</v>
      </c>
      <c r="G16" s="4">
        <v>2631.21</v>
      </c>
    </row>
    <row r="17" spans="1:7" x14ac:dyDescent="0.25">
      <c r="A17" s="5" t="s">
        <v>52</v>
      </c>
      <c r="B17" s="7">
        <v>46006</v>
      </c>
      <c r="C17" s="5" t="s">
        <v>21</v>
      </c>
      <c r="D17" s="5" t="s">
        <v>16</v>
      </c>
      <c r="E17" s="5" t="s">
        <v>38</v>
      </c>
      <c r="F17" s="5" t="s">
        <v>12</v>
      </c>
      <c r="G17" s="6">
        <v>10657.63</v>
      </c>
    </row>
    <row r="18" spans="1:7" x14ac:dyDescent="0.25">
      <c r="A18" s="3" t="s">
        <v>53</v>
      </c>
      <c r="B18" s="8">
        <v>45918</v>
      </c>
      <c r="C18" s="3" t="s">
        <v>54</v>
      </c>
      <c r="D18" s="3" t="s">
        <v>16</v>
      </c>
      <c r="E18" s="3" t="s">
        <v>29</v>
      </c>
      <c r="F18" s="3" t="s">
        <v>30</v>
      </c>
      <c r="G18" s="4">
        <v>10657.98</v>
      </c>
    </row>
    <row r="19" spans="1:7" x14ac:dyDescent="0.25">
      <c r="A19" s="5" t="s">
        <v>55</v>
      </c>
      <c r="B19" s="7">
        <v>46012</v>
      </c>
      <c r="C19" s="5" t="s">
        <v>56</v>
      </c>
      <c r="D19" s="5" t="s">
        <v>16</v>
      </c>
      <c r="E19" s="5" t="s">
        <v>17</v>
      </c>
      <c r="F19" s="5" t="s">
        <v>57</v>
      </c>
      <c r="G19" s="6">
        <v>1864.37</v>
      </c>
    </row>
    <row r="20" spans="1:7" x14ac:dyDescent="0.25">
      <c r="A20" s="3" t="s">
        <v>58</v>
      </c>
      <c r="B20" s="8">
        <v>45773</v>
      </c>
      <c r="C20" s="3" t="s">
        <v>56</v>
      </c>
      <c r="D20" s="3" t="s">
        <v>36</v>
      </c>
      <c r="E20" s="3" t="s">
        <v>59</v>
      </c>
      <c r="F20" s="3" t="s">
        <v>60</v>
      </c>
      <c r="G20" s="4">
        <v>5445.4</v>
      </c>
    </row>
    <row r="21" spans="1:7" x14ac:dyDescent="0.25">
      <c r="A21" s="5" t="s">
        <v>61</v>
      </c>
      <c r="B21" s="7">
        <v>45942</v>
      </c>
      <c r="C21" s="5" t="s">
        <v>15</v>
      </c>
      <c r="D21" s="5" t="s">
        <v>36</v>
      </c>
      <c r="E21" s="5" t="s">
        <v>22</v>
      </c>
      <c r="F21" s="5" t="s">
        <v>62</v>
      </c>
      <c r="G21" s="6">
        <v>1338.92</v>
      </c>
    </row>
    <row r="22" spans="1:7" x14ac:dyDescent="0.25">
      <c r="A22" s="3" t="s">
        <v>63</v>
      </c>
      <c r="B22" s="8">
        <v>45790</v>
      </c>
      <c r="C22" s="3" t="s">
        <v>9</v>
      </c>
      <c r="D22" s="3" t="s">
        <v>10</v>
      </c>
      <c r="E22" s="3" t="s">
        <v>17</v>
      </c>
      <c r="F22" s="3" t="s">
        <v>32</v>
      </c>
      <c r="G22" s="4">
        <v>11549.01</v>
      </c>
    </row>
    <row r="23" spans="1:7" x14ac:dyDescent="0.25">
      <c r="A23" s="5" t="s">
        <v>64</v>
      </c>
      <c r="B23" s="7">
        <v>45933</v>
      </c>
      <c r="C23" s="5" t="s">
        <v>56</v>
      </c>
      <c r="D23" s="5" t="s">
        <v>16</v>
      </c>
      <c r="E23" s="5" t="s">
        <v>38</v>
      </c>
      <c r="F23" s="5" t="s">
        <v>47</v>
      </c>
      <c r="G23" s="6">
        <v>6777.12</v>
      </c>
    </row>
    <row r="24" spans="1:7" x14ac:dyDescent="0.25">
      <c r="A24" s="3" t="s">
        <v>65</v>
      </c>
      <c r="B24" s="8">
        <v>45978</v>
      </c>
      <c r="C24" s="3" t="s">
        <v>54</v>
      </c>
      <c r="D24" s="3" t="s">
        <v>36</v>
      </c>
      <c r="E24" s="3" t="s">
        <v>17</v>
      </c>
      <c r="F24" s="3" t="s">
        <v>27</v>
      </c>
      <c r="G24" s="4">
        <v>8837.4</v>
      </c>
    </row>
    <row r="25" spans="1:7" x14ac:dyDescent="0.25">
      <c r="A25" s="5" t="s">
        <v>66</v>
      </c>
      <c r="B25" s="7">
        <v>45730</v>
      </c>
      <c r="C25" s="5" t="s">
        <v>40</v>
      </c>
      <c r="D25" s="5" t="s">
        <v>25</v>
      </c>
      <c r="E25" s="5" t="s">
        <v>51</v>
      </c>
      <c r="F25" s="5" t="s">
        <v>34</v>
      </c>
      <c r="G25" s="6">
        <v>2337.58</v>
      </c>
    </row>
    <row r="26" spans="1:7" x14ac:dyDescent="0.25">
      <c r="A26" s="3" t="s">
        <v>67</v>
      </c>
      <c r="B26" s="8">
        <v>45722</v>
      </c>
      <c r="C26" s="3" t="s">
        <v>54</v>
      </c>
      <c r="D26" s="3" t="s">
        <v>36</v>
      </c>
      <c r="E26" s="3" t="s">
        <v>26</v>
      </c>
      <c r="F26" s="3" t="s">
        <v>34</v>
      </c>
      <c r="G26" s="4">
        <v>13429.14</v>
      </c>
    </row>
    <row r="27" spans="1:7" x14ac:dyDescent="0.25">
      <c r="A27" s="5" t="s">
        <v>68</v>
      </c>
      <c r="B27" s="7">
        <v>45697</v>
      </c>
      <c r="C27" s="5" t="s">
        <v>56</v>
      </c>
      <c r="D27" s="5" t="s">
        <v>16</v>
      </c>
      <c r="E27" s="5" t="s">
        <v>29</v>
      </c>
      <c r="F27" s="5" t="s">
        <v>27</v>
      </c>
      <c r="G27" s="6">
        <v>4577.2299999999996</v>
      </c>
    </row>
    <row r="28" spans="1:7" x14ac:dyDescent="0.25">
      <c r="A28" s="3" t="s">
        <v>69</v>
      </c>
      <c r="B28" s="8">
        <v>45903</v>
      </c>
      <c r="C28" s="3" t="s">
        <v>40</v>
      </c>
      <c r="D28" s="3" t="s">
        <v>36</v>
      </c>
      <c r="E28" s="3" t="s">
        <v>22</v>
      </c>
      <c r="F28" s="3" t="s">
        <v>70</v>
      </c>
      <c r="G28" s="4">
        <v>2355.1999999999998</v>
      </c>
    </row>
    <row r="29" spans="1:7" x14ac:dyDescent="0.25">
      <c r="A29" s="5" t="s">
        <v>71</v>
      </c>
      <c r="B29" s="7">
        <v>45981</v>
      </c>
      <c r="C29" s="5" t="s">
        <v>9</v>
      </c>
      <c r="D29" s="5" t="s">
        <v>16</v>
      </c>
      <c r="E29" s="5" t="s">
        <v>22</v>
      </c>
      <c r="F29" s="5" t="s">
        <v>60</v>
      </c>
      <c r="G29" s="6">
        <v>12387.28</v>
      </c>
    </row>
    <row r="30" spans="1:7" x14ac:dyDescent="0.25">
      <c r="A30" s="3" t="s">
        <v>72</v>
      </c>
      <c r="B30" s="8">
        <v>45660</v>
      </c>
      <c r="C30" s="3" t="s">
        <v>21</v>
      </c>
      <c r="D30" s="3" t="s">
        <v>16</v>
      </c>
      <c r="E30" s="3" t="s">
        <v>38</v>
      </c>
      <c r="F30" s="3" t="s">
        <v>57</v>
      </c>
      <c r="G30" s="4">
        <v>11516.04</v>
      </c>
    </row>
    <row r="31" spans="1:7" x14ac:dyDescent="0.25">
      <c r="A31" s="5" t="s">
        <v>73</v>
      </c>
      <c r="B31" s="7">
        <v>45858</v>
      </c>
      <c r="C31" s="5" t="s">
        <v>9</v>
      </c>
      <c r="D31" s="5" t="s">
        <v>25</v>
      </c>
      <c r="E31" s="5" t="s">
        <v>59</v>
      </c>
      <c r="F31" s="5" t="s">
        <v>62</v>
      </c>
      <c r="G31" s="6">
        <v>9426.1</v>
      </c>
    </row>
    <row r="32" spans="1:7" x14ac:dyDescent="0.25">
      <c r="A32" s="3" t="s">
        <v>74</v>
      </c>
      <c r="B32" s="8">
        <v>45798</v>
      </c>
      <c r="C32" s="3" t="s">
        <v>54</v>
      </c>
      <c r="D32" s="3" t="s">
        <v>10</v>
      </c>
      <c r="E32" s="3" t="s">
        <v>46</v>
      </c>
      <c r="F32" s="3" t="s">
        <v>75</v>
      </c>
      <c r="G32" s="4">
        <v>12119.87</v>
      </c>
    </row>
    <row r="33" spans="1:7" x14ac:dyDescent="0.25">
      <c r="A33" s="5" t="s">
        <v>76</v>
      </c>
      <c r="B33" s="7">
        <v>45848</v>
      </c>
      <c r="C33" s="5" t="s">
        <v>15</v>
      </c>
      <c r="D33" s="5" t="s">
        <v>25</v>
      </c>
      <c r="E33" s="5" t="s">
        <v>77</v>
      </c>
      <c r="F33" s="5" t="s">
        <v>44</v>
      </c>
      <c r="G33" s="6">
        <v>6622.1</v>
      </c>
    </row>
    <row r="34" spans="1:7" x14ac:dyDescent="0.25">
      <c r="A34" s="3" t="s">
        <v>78</v>
      </c>
      <c r="B34" s="8">
        <v>45884</v>
      </c>
      <c r="C34" s="3" t="s">
        <v>56</v>
      </c>
      <c r="D34" s="3" t="s">
        <v>16</v>
      </c>
      <c r="E34" s="3" t="s">
        <v>22</v>
      </c>
      <c r="F34" s="3" t="s">
        <v>44</v>
      </c>
      <c r="G34" s="4">
        <v>4723.1099999999997</v>
      </c>
    </row>
    <row r="35" spans="1:7" x14ac:dyDescent="0.25">
      <c r="A35" s="5" t="s">
        <v>79</v>
      </c>
      <c r="B35" s="7">
        <v>46002</v>
      </c>
      <c r="C35" s="5" t="s">
        <v>9</v>
      </c>
      <c r="D35" s="5" t="s">
        <v>16</v>
      </c>
      <c r="E35" s="5" t="s">
        <v>11</v>
      </c>
      <c r="F35" s="5" t="s">
        <v>44</v>
      </c>
      <c r="G35" s="6">
        <v>11421.94</v>
      </c>
    </row>
    <row r="36" spans="1:7" x14ac:dyDescent="0.25">
      <c r="A36" s="3" t="s">
        <v>80</v>
      </c>
      <c r="B36" s="8">
        <v>45918</v>
      </c>
      <c r="C36" s="3" t="s">
        <v>21</v>
      </c>
      <c r="D36" s="3" t="s">
        <v>16</v>
      </c>
      <c r="E36" s="3" t="s">
        <v>46</v>
      </c>
      <c r="F36" s="3" t="s">
        <v>41</v>
      </c>
      <c r="G36" s="4">
        <v>1881.7</v>
      </c>
    </row>
    <row r="37" spans="1:7" x14ac:dyDescent="0.25">
      <c r="A37" s="5" t="s">
        <v>81</v>
      </c>
      <c r="B37" s="7">
        <v>45877</v>
      </c>
      <c r="C37" s="5" t="s">
        <v>56</v>
      </c>
      <c r="D37" s="5" t="s">
        <v>25</v>
      </c>
      <c r="E37" s="5" t="s">
        <v>77</v>
      </c>
      <c r="F37" s="5" t="s">
        <v>18</v>
      </c>
      <c r="G37" s="6">
        <v>14183.5</v>
      </c>
    </row>
    <row r="38" spans="1:7" x14ac:dyDescent="0.25">
      <c r="A38" s="3" t="s">
        <v>82</v>
      </c>
      <c r="B38" s="8">
        <v>45944</v>
      </c>
      <c r="C38" s="3" t="s">
        <v>56</v>
      </c>
      <c r="D38" s="3" t="s">
        <v>36</v>
      </c>
      <c r="E38" s="3" t="s">
        <v>26</v>
      </c>
      <c r="F38" s="3" t="s">
        <v>62</v>
      </c>
      <c r="G38" s="4">
        <v>8686.42</v>
      </c>
    </row>
    <row r="39" spans="1:7" x14ac:dyDescent="0.25">
      <c r="A39" s="5" t="s">
        <v>83</v>
      </c>
      <c r="B39" s="7">
        <v>45815</v>
      </c>
      <c r="C39" s="5" t="s">
        <v>43</v>
      </c>
      <c r="D39" s="5" t="s">
        <v>36</v>
      </c>
      <c r="E39" s="5" t="s">
        <v>59</v>
      </c>
      <c r="F39" s="5" t="s">
        <v>34</v>
      </c>
      <c r="G39" s="6">
        <v>7028.89</v>
      </c>
    </row>
    <row r="40" spans="1:7" x14ac:dyDescent="0.25">
      <c r="A40" s="3" t="s">
        <v>84</v>
      </c>
      <c r="B40" s="8">
        <v>45793</v>
      </c>
      <c r="C40" s="3" t="s">
        <v>21</v>
      </c>
      <c r="D40" s="3" t="s">
        <v>25</v>
      </c>
      <c r="E40" s="3" t="s">
        <v>11</v>
      </c>
      <c r="F40" s="3" t="s">
        <v>34</v>
      </c>
      <c r="G40" s="4">
        <v>6885.6</v>
      </c>
    </row>
    <row r="41" spans="1:7" x14ac:dyDescent="0.25">
      <c r="A41" s="5" t="s">
        <v>85</v>
      </c>
      <c r="B41" s="7">
        <v>45754</v>
      </c>
      <c r="C41" s="5" t="s">
        <v>40</v>
      </c>
      <c r="D41" s="5" t="s">
        <v>16</v>
      </c>
      <c r="E41" s="5" t="s">
        <v>77</v>
      </c>
      <c r="F41" s="5" t="s">
        <v>60</v>
      </c>
      <c r="G41" s="6">
        <v>4256.28</v>
      </c>
    </row>
    <row r="42" spans="1:7" x14ac:dyDescent="0.25">
      <c r="A42" s="3" t="s">
        <v>86</v>
      </c>
      <c r="B42" s="8">
        <v>45957</v>
      </c>
      <c r="C42" s="3" t="s">
        <v>9</v>
      </c>
      <c r="D42" s="3" t="s">
        <v>10</v>
      </c>
      <c r="E42" s="3" t="s">
        <v>87</v>
      </c>
      <c r="F42" s="3" t="s">
        <v>34</v>
      </c>
      <c r="G42" s="4">
        <v>172.25</v>
      </c>
    </row>
    <row r="43" spans="1:7" x14ac:dyDescent="0.25">
      <c r="A43" s="5" t="s">
        <v>88</v>
      </c>
      <c r="B43" s="7">
        <v>45702</v>
      </c>
      <c r="C43" s="5" t="s">
        <v>56</v>
      </c>
      <c r="D43" s="5" t="s">
        <v>16</v>
      </c>
      <c r="E43" s="5" t="s">
        <v>26</v>
      </c>
      <c r="F43" s="5" t="s">
        <v>75</v>
      </c>
      <c r="G43" s="6">
        <v>6078.65</v>
      </c>
    </row>
    <row r="44" spans="1:7" x14ac:dyDescent="0.25">
      <c r="A44" s="3" t="s">
        <v>89</v>
      </c>
      <c r="B44" s="8">
        <v>45670</v>
      </c>
      <c r="C44" s="3" t="s">
        <v>21</v>
      </c>
      <c r="D44" s="3" t="s">
        <v>36</v>
      </c>
      <c r="E44" s="3" t="s">
        <v>26</v>
      </c>
      <c r="F44" s="3" t="s">
        <v>34</v>
      </c>
      <c r="G44" s="4">
        <v>4364.6000000000004</v>
      </c>
    </row>
    <row r="45" spans="1:7" x14ac:dyDescent="0.25">
      <c r="A45" s="5" t="s">
        <v>90</v>
      </c>
      <c r="B45" s="7">
        <v>45855</v>
      </c>
      <c r="C45" s="5" t="s">
        <v>15</v>
      </c>
      <c r="D45" s="5" t="s">
        <v>16</v>
      </c>
      <c r="E45" s="5" t="s">
        <v>22</v>
      </c>
      <c r="F45" s="5" t="s">
        <v>27</v>
      </c>
      <c r="G45" s="6">
        <v>9185.09</v>
      </c>
    </row>
    <row r="46" spans="1:7" x14ac:dyDescent="0.25">
      <c r="A46" s="3" t="s">
        <v>91</v>
      </c>
      <c r="B46" s="8">
        <v>45720</v>
      </c>
      <c r="C46" s="3" t="s">
        <v>15</v>
      </c>
      <c r="D46" s="3" t="s">
        <v>16</v>
      </c>
      <c r="E46" s="3" t="s">
        <v>26</v>
      </c>
      <c r="F46" s="3" t="s">
        <v>34</v>
      </c>
      <c r="G46" s="4">
        <v>14087.28</v>
      </c>
    </row>
    <row r="47" spans="1:7" x14ac:dyDescent="0.25">
      <c r="A47" s="5" t="s">
        <v>92</v>
      </c>
      <c r="B47" s="7">
        <v>45723</v>
      </c>
      <c r="C47" s="5" t="s">
        <v>40</v>
      </c>
      <c r="D47" s="5" t="s">
        <v>10</v>
      </c>
      <c r="E47" s="5" t="s">
        <v>17</v>
      </c>
      <c r="F47" s="5" t="s">
        <v>60</v>
      </c>
      <c r="G47" s="6">
        <v>727.29</v>
      </c>
    </row>
    <row r="48" spans="1:7" x14ac:dyDescent="0.25">
      <c r="A48" s="3" t="s">
        <v>93</v>
      </c>
      <c r="B48" s="8">
        <v>45739</v>
      </c>
      <c r="C48" s="3" t="s">
        <v>54</v>
      </c>
      <c r="D48" s="3" t="s">
        <v>10</v>
      </c>
      <c r="E48" s="3" t="s">
        <v>17</v>
      </c>
      <c r="F48" s="3" t="s">
        <v>41</v>
      </c>
      <c r="G48" s="4">
        <v>2276.66</v>
      </c>
    </row>
    <row r="49" spans="1:7" x14ac:dyDescent="0.25">
      <c r="A49" s="5" t="s">
        <v>94</v>
      </c>
      <c r="B49" s="7">
        <v>45905</v>
      </c>
      <c r="C49" s="5" t="s">
        <v>54</v>
      </c>
      <c r="D49" s="5" t="s">
        <v>16</v>
      </c>
      <c r="E49" s="5" t="s">
        <v>29</v>
      </c>
      <c r="F49" s="5" t="s">
        <v>32</v>
      </c>
      <c r="G49" s="6">
        <v>14859.71</v>
      </c>
    </row>
    <row r="50" spans="1:7" x14ac:dyDescent="0.25">
      <c r="A50" s="3" t="s">
        <v>95</v>
      </c>
      <c r="B50" s="8">
        <v>46018</v>
      </c>
      <c r="C50" s="3" t="s">
        <v>54</v>
      </c>
      <c r="D50" s="3" t="s">
        <v>16</v>
      </c>
      <c r="E50" s="3" t="s">
        <v>17</v>
      </c>
      <c r="F50" s="3" t="s">
        <v>23</v>
      </c>
      <c r="G50" s="4">
        <v>7670.23</v>
      </c>
    </row>
    <row r="51" spans="1:7" x14ac:dyDescent="0.25">
      <c r="A51" s="5" t="s">
        <v>96</v>
      </c>
      <c r="B51" s="7">
        <v>45892</v>
      </c>
      <c r="C51" s="5" t="s">
        <v>40</v>
      </c>
      <c r="D51" s="5" t="s">
        <v>16</v>
      </c>
      <c r="E51" s="5" t="s">
        <v>59</v>
      </c>
      <c r="F51" s="5" t="s">
        <v>23</v>
      </c>
      <c r="G51" s="6">
        <v>298.72000000000003</v>
      </c>
    </row>
    <row r="52" spans="1:7" x14ac:dyDescent="0.25">
      <c r="A52" s="3" t="s">
        <v>97</v>
      </c>
      <c r="B52" s="8">
        <v>45830</v>
      </c>
      <c r="C52" s="3" t="s">
        <v>21</v>
      </c>
      <c r="D52" s="3" t="s">
        <v>10</v>
      </c>
      <c r="E52" s="3" t="s">
        <v>22</v>
      </c>
      <c r="F52" s="3" t="s">
        <v>18</v>
      </c>
      <c r="G52" s="4">
        <v>11961.48</v>
      </c>
    </row>
    <row r="53" spans="1:7" x14ac:dyDescent="0.25">
      <c r="A53" s="5" t="s">
        <v>98</v>
      </c>
      <c r="B53" s="7">
        <v>46019</v>
      </c>
      <c r="C53" s="5" t="s">
        <v>9</v>
      </c>
      <c r="D53" s="5" t="s">
        <v>25</v>
      </c>
      <c r="E53" s="5" t="s">
        <v>22</v>
      </c>
      <c r="F53" s="5" t="s">
        <v>41</v>
      </c>
      <c r="G53" s="6">
        <v>4019.68</v>
      </c>
    </row>
    <row r="54" spans="1:7" x14ac:dyDescent="0.25">
      <c r="A54" s="3" t="s">
        <v>99</v>
      </c>
      <c r="B54" s="8">
        <v>45987</v>
      </c>
      <c r="C54" s="3" t="s">
        <v>43</v>
      </c>
      <c r="D54" s="3" t="s">
        <v>36</v>
      </c>
      <c r="E54" s="3" t="s">
        <v>77</v>
      </c>
      <c r="F54" s="3" t="s">
        <v>70</v>
      </c>
      <c r="G54" s="4">
        <v>7232.71</v>
      </c>
    </row>
    <row r="55" spans="1:7" x14ac:dyDescent="0.25">
      <c r="A55" s="5" t="s">
        <v>100</v>
      </c>
      <c r="B55" s="7">
        <v>45921</v>
      </c>
      <c r="C55" s="5" t="s">
        <v>9</v>
      </c>
      <c r="D55" s="5" t="s">
        <v>10</v>
      </c>
      <c r="E55" s="5" t="s">
        <v>29</v>
      </c>
      <c r="F55" s="5" t="s">
        <v>23</v>
      </c>
      <c r="G55" s="6">
        <v>10226.870000000001</v>
      </c>
    </row>
    <row r="56" spans="1:7" x14ac:dyDescent="0.25">
      <c r="A56" s="3" t="s">
        <v>101</v>
      </c>
      <c r="B56" s="8">
        <v>45676</v>
      </c>
      <c r="C56" s="3" t="s">
        <v>9</v>
      </c>
      <c r="D56" s="3" t="s">
        <v>25</v>
      </c>
      <c r="E56" s="3" t="s">
        <v>46</v>
      </c>
      <c r="F56" s="3" t="s">
        <v>60</v>
      </c>
      <c r="G56" s="4">
        <v>6643.53</v>
      </c>
    </row>
    <row r="57" spans="1:7" x14ac:dyDescent="0.25">
      <c r="A57" s="5" t="s">
        <v>102</v>
      </c>
      <c r="B57" s="7">
        <v>45843</v>
      </c>
      <c r="C57" s="5" t="s">
        <v>15</v>
      </c>
      <c r="D57" s="5" t="s">
        <v>36</v>
      </c>
      <c r="E57" s="5" t="s">
        <v>11</v>
      </c>
      <c r="F57" s="5" t="s">
        <v>34</v>
      </c>
      <c r="G57" s="6">
        <v>11635.84</v>
      </c>
    </row>
    <row r="58" spans="1:7" x14ac:dyDescent="0.25">
      <c r="A58" s="3" t="s">
        <v>103</v>
      </c>
      <c r="B58" s="8">
        <v>45897</v>
      </c>
      <c r="C58" s="3" t="s">
        <v>43</v>
      </c>
      <c r="D58" s="3" t="s">
        <v>25</v>
      </c>
      <c r="E58" s="3" t="s">
        <v>29</v>
      </c>
      <c r="F58" s="3" t="s">
        <v>34</v>
      </c>
      <c r="G58" s="4">
        <v>3149.76</v>
      </c>
    </row>
    <row r="59" spans="1:7" x14ac:dyDescent="0.25">
      <c r="A59" s="5" t="s">
        <v>104</v>
      </c>
      <c r="B59" s="7">
        <v>45830</v>
      </c>
      <c r="C59" s="5" t="s">
        <v>15</v>
      </c>
      <c r="D59" s="5" t="s">
        <v>10</v>
      </c>
      <c r="E59" s="5" t="s">
        <v>26</v>
      </c>
      <c r="F59" s="5" t="s">
        <v>44</v>
      </c>
      <c r="G59" s="6">
        <v>6921.97</v>
      </c>
    </row>
    <row r="60" spans="1:7" x14ac:dyDescent="0.25">
      <c r="A60" s="3" t="s">
        <v>105</v>
      </c>
      <c r="B60" s="8">
        <v>45911</v>
      </c>
      <c r="C60" s="3" t="s">
        <v>40</v>
      </c>
      <c r="D60" s="3" t="s">
        <v>16</v>
      </c>
      <c r="E60" s="3" t="s">
        <v>38</v>
      </c>
      <c r="F60" s="3" t="s">
        <v>75</v>
      </c>
      <c r="G60" s="4">
        <v>13021.43</v>
      </c>
    </row>
    <row r="61" spans="1:7" x14ac:dyDescent="0.25">
      <c r="A61" s="5" t="s">
        <v>106</v>
      </c>
      <c r="B61" s="7">
        <v>45982</v>
      </c>
      <c r="C61" s="5" t="s">
        <v>43</v>
      </c>
      <c r="D61" s="5" t="s">
        <v>16</v>
      </c>
      <c r="E61" s="5" t="s">
        <v>22</v>
      </c>
      <c r="F61" s="5" t="s">
        <v>41</v>
      </c>
      <c r="G61" s="6">
        <v>2924.35</v>
      </c>
    </row>
    <row r="62" spans="1:7" x14ac:dyDescent="0.25">
      <c r="A62" s="3" t="s">
        <v>107</v>
      </c>
      <c r="B62" s="8">
        <v>45756</v>
      </c>
      <c r="C62" s="3" t="s">
        <v>40</v>
      </c>
      <c r="D62" s="3" t="s">
        <v>16</v>
      </c>
      <c r="E62" s="3" t="s">
        <v>46</v>
      </c>
      <c r="F62" s="3" t="s">
        <v>18</v>
      </c>
      <c r="G62" s="4">
        <v>11579.06</v>
      </c>
    </row>
    <row r="63" spans="1:7" x14ac:dyDescent="0.25">
      <c r="A63" s="5" t="s">
        <v>108</v>
      </c>
      <c r="B63" s="7">
        <v>45998</v>
      </c>
      <c r="C63" s="5" t="s">
        <v>9</v>
      </c>
      <c r="D63" s="5" t="s">
        <v>10</v>
      </c>
      <c r="E63" s="5" t="s">
        <v>26</v>
      </c>
      <c r="F63" s="5" t="s">
        <v>41</v>
      </c>
      <c r="G63" s="6">
        <v>5264.61</v>
      </c>
    </row>
    <row r="64" spans="1:7" x14ac:dyDescent="0.25">
      <c r="A64" s="3" t="s">
        <v>109</v>
      </c>
      <c r="B64" s="8">
        <v>46000</v>
      </c>
      <c r="C64" s="3" t="s">
        <v>54</v>
      </c>
      <c r="D64" s="3" t="s">
        <v>25</v>
      </c>
      <c r="E64" s="3" t="s">
        <v>22</v>
      </c>
      <c r="F64" s="3" t="s">
        <v>27</v>
      </c>
      <c r="G64" s="4">
        <v>8170.7</v>
      </c>
    </row>
    <row r="65" spans="1:7" x14ac:dyDescent="0.25">
      <c r="A65" s="5" t="s">
        <v>110</v>
      </c>
      <c r="B65" s="7">
        <v>45865</v>
      </c>
      <c r="C65" s="5" t="s">
        <v>54</v>
      </c>
      <c r="D65" s="5" t="s">
        <v>36</v>
      </c>
      <c r="E65" s="5" t="s">
        <v>87</v>
      </c>
      <c r="F65" s="5" t="s">
        <v>60</v>
      </c>
      <c r="G65" s="63" t="s">
        <v>111</v>
      </c>
    </row>
    <row r="66" spans="1:7" x14ac:dyDescent="0.25">
      <c r="A66" s="3" t="s">
        <v>112</v>
      </c>
      <c r="B66" s="8">
        <v>45994</v>
      </c>
      <c r="C66" s="3" t="s">
        <v>54</v>
      </c>
      <c r="D66" s="3" t="s">
        <v>10</v>
      </c>
      <c r="E66" s="3" t="s">
        <v>38</v>
      </c>
      <c r="F66" s="3" t="s">
        <v>18</v>
      </c>
      <c r="G66" s="4">
        <v>11222.71</v>
      </c>
    </row>
    <row r="67" spans="1:7" x14ac:dyDescent="0.25">
      <c r="A67" s="5" t="s">
        <v>113</v>
      </c>
      <c r="B67" s="7">
        <v>45754</v>
      </c>
      <c r="C67" s="5" t="s">
        <v>43</v>
      </c>
      <c r="D67" s="5" t="s">
        <v>16</v>
      </c>
      <c r="E67" s="5" t="s">
        <v>17</v>
      </c>
      <c r="F67" s="5" t="s">
        <v>30</v>
      </c>
      <c r="G67" s="6">
        <v>4110.74</v>
      </c>
    </row>
    <row r="68" spans="1:7" x14ac:dyDescent="0.25">
      <c r="A68" s="3" t="s">
        <v>114</v>
      </c>
      <c r="B68" s="8">
        <v>45708</v>
      </c>
      <c r="C68" s="3" t="s">
        <v>9</v>
      </c>
      <c r="D68" s="3" t="s">
        <v>36</v>
      </c>
      <c r="E68" s="3" t="s">
        <v>46</v>
      </c>
      <c r="F68" s="3" t="s">
        <v>60</v>
      </c>
      <c r="G68" s="4">
        <v>10064.02</v>
      </c>
    </row>
    <row r="69" spans="1:7" x14ac:dyDescent="0.25">
      <c r="A69" s="5" t="s">
        <v>115</v>
      </c>
      <c r="B69" s="7">
        <v>45908</v>
      </c>
      <c r="C69" s="5" t="s">
        <v>9</v>
      </c>
      <c r="D69" s="5" t="s">
        <v>36</v>
      </c>
      <c r="E69" s="5" t="s">
        <v>77</v>
      </c>
      <c r="F69" s="5" t="s">
        <v>47</v>
      </c>
      <c r="G69" s="6">
        <v>6228.86</v>
      </c>
    </row>
    <row r="70" spans="1:7" x14ac:dyDescent="0.25">
      <c r="A70" s="3" t="s">
        <v>116</v>
      </c>
      <c r="B70" s="8">
        <v>46007</v>
      </c>
      <c r="C70" s="3" t="s">
        <v>21</v>
      </c>
      <c r="D70" s="3" t="s">
        <v>36</v>
      </c>
      <c r="E70" s="3" t="s">
        <v>77</v>
      </c>
      <c r="F70" s="3" t="s">
        <v>34</v>
      </c>
      <c r="G70" s="4">
        <v>14669.77</v>
      </c>
    </row>
    <row r="71" spans="1:7" x14ac:dyDescent="0.25">
      <c r="A71" s="5" t="s">
        <v>117</v>
      </c>
      <c r="B71" s="7">
        <v>45730</v>
      </c>
      <c r="C71" s="5" t="s">
        <v>9</v>
      </c>
      <c r="D71" s="5" t="s">
        <v>10</v>
      </c>
      <c r="E71" s="5" t="s">
        <v>59</v>
      </c>
      <c r="F71" s="5" t="s">
        <v>27</v>
      </c>
      <c r="G71" s="6">
        <v>3031.87</v>
      </c>
    </row>
    <row r="72" spans="1:7" x14ac:dyDescent="0.25">
      <c r="A72" s="3" t="s">
        <v>118</v>
      </c>
      <c r="B72" s="8">
        <v>45788</v>
      </c>
      <c r="C72" s="3" t="s">
        <v>54</v>
      </c>
      <c r="D72" s="3" t="s">
        <v>25</v>
      </c>
      <c r="E72" s="3" t="s">
        <v>51</v>
      </c>
      <c r="F72" s="3" t="s">
        <v>27</v>
      </c>
      <c r="G72" s="4">
        <v>8633.2900000000009</v>
      </c>
    </row>
    <row r="73" spans="1:7" x14ac:dyDescent="0.25">
      <c r="A73" s="5" t="s">
        <v>119</v>
      </c>
      <c r="B73" s="7">
        <v>45924</v>
      </c>
      <c r="C73" s="5" t="s">
        <v>9</v>
      </c>
      <c r="D73" s="5" t="s">
        <v>25</v>
      </c>
      <c r="E73" s="5" t="s">
        <v>29</v>
      </c>
      <c r="F73" s="5" t="s">
        <v>32</v>
      </c>
      <c r="G73" s="6">
        <v>13239.56</v>
      </c>
    </row>
    <row r="74" spans="1:7" x14ac:dyDescent="0.25">
      <c r="A74" s="3" t="s">
        <v>120</v>
      </c>
      <c r="B74" s="8">
        <v>45718</v>
      </c>
      <c r="C74" s="3" t="s">
        <v>43</v>
      </c>
      <c r="D74" s="3" t="s">
        <v>10</v>
      </c>
      <c r="E74" s="3" t="s">
        <v>59</v>
      </c>
      <c r="F74" s="3" t="s">
        <v>44</v>
      </c>
      <c r="G74" s="4">
        <v>14052.3</v>
      </c>
    </row>
    <row r="75" spans="1:7" x14ac:dyDescent="0.25">
      <c r="A75" s="5" t="s">
        <v>121</v>
      </c>
      <c r="B75" s="7">
        <v>45779</v>
      </c>
      <c r="C75" s="5" t="s">
        <v>21</v>
      </c>
      <c r="D75" s="5" t="s">
        <v>16</v>
      </c>
      <c r="E75" s="5" t="s">
        <v>22</v>
      </c>
      <c r="F75" s="5" t="s">
        <v>70</v>
      </c>
      <c r="G75" s="6">
        <v>1654.15</v>
      </c>
    </row>
    <row r="76" spans="1:7" x14ac:dyDescent="0.25">
      <c r="A76" s="3" t="s">
        <v>122</v>
      </c>
      <c r="B76" s="8">
        <v>45818</v>
      </c>
      <c r="C76" s="3" t="s">
        <v>15</v>
      </c>
      <c r="D76" s="3" t="s">
        <v>10</v>
      </c>
      <c r="E76" s="3" t="s">
        <v>29</v>
      </c>
      <c r="F76" s="3" t="s">
        <v>23</v>
      </c>
      <c r="G76" s="4">
        <v>7587.98</v>
      </c>
    </row>
    <row r="77" spans="1:7" x14ac:dyDescent="0.25">
      <c r="A77" s="5" t="s">
        <v>123</v>
      </c>
      <c r="B77" s="7">
        <v>45784</v>
      </c>
      <c r="C77" s="5" t="s">
        <v>43</v>
      </c>
      <c r="D77" s="5" t="s">
        <v>25</v>
      </c>
      <c r="E77" s="5" t="s">
        <v>26</v>
      </c>
      <c r="F77" s="5" t="s">
        <v>44</v>
      </c>
      <c r="G77" s="6">
        <v>10980.23</v>
      </c>
    </row>
    <row r="78" spans="1:7" x14ac:dyDescent="0.25">
      <c r="A78" s="3" t="s">
        <v>124</v>
      </c>
      <c r="B78" s="8">
        <v>45970</v>
      </c>
      <c r="C78" s="3" t="s">
        <v>9</v>
      </c>
      <c r="D78" s="3" t="s">
        <v>36</v>
      </c>
      <c r="E78" s="3" t="s">
        <v>77</v>
      </c>
      <c r="F78" s="3" t="s">
        <v>30</v>
      </c>
      <c r="G78" s="4">
        <v>5089.83</v>
      </c>
    </row>
    <row r="79" spans="1:7" x14ac:dyDescent="0.25">
      <c r="A79" s="5" t="s">
        <v>125</v>
      </c>
      <c r="B79" s="7">
        <v>45796</v>
      </c>
      <c r="C79" s="5" t="s">
        <v>9</v>
      </c>
      <c r="D79" s="5" t="s">
        <v>36</v>
      </c>
      <c r="E79" s="5" t="s">
        <v>29</v>
      </c>
      <c r="F79" s="5" t="s">
        <v>70</v>
      </c>
      <c r="G79" s="6">
        <v>12849.39</v>
      </c>
    </row>
    <row r="80" spans="1:7" x14ac:dyDescent="0.25">
      <c r="A80" s="3" t="s">
        <v>126</v>
      </c>
      <c r="B80" s="8">
        <v>45865</v>
      </c>
      <c r="C80" s="3" t="s">
        <v>15</v>
      </c>
      <c r="D80" s="3" t="s">
        <v>16</v>
      </c>
      <c r="E80" s="3" t="s">
        <v>51</v>
      </c>
      <c r="F80" s="3" t="s">
        <v>32</v>
      </c>
      <c r="G80" s="4">
        <v>10055.379999999999</v>
      </c>
    </row>
    <row r="81" spans="1:7" x14ac:dyDescent="0.25">
      <c r="A81" s="5" t="s">
        <v>127</v>
      </c>
      <c r="B81" s="7">
        <v>45721</v>
      </c>
      <c r="C81" s="5" t="s">
        <v>15</v>
      </c>
      <c r="D81" s="5" t="s">
        <v>16</v>
      </c>
      <c r="E81" s="5" t="s">
        <v>46</v>
      </c>
      <c r="F81" s="5" t="s">
        <v>60</v>
      </c>
      <c r="G81" s="6">
        <v>3948.74</v>
      </c>
    </row>
    <row r="82" spans="1:7" x14ac:dyDescent="0.25">
      <c r="A82" s="3" t="s">
        <v>128</v>
      </c>
      <c r="B82" s="8">
        <v>45762</v>
      </c>
      <c r="C82" s="3" t="s">
        <v>43</v>
      </c>
      <c r="D82" s="3" t="s">
        <v>16</v>
      </c>
      <c r="E82" s="3" t="s">
        <v>26</v>
      </c>
      <c r="F82" s="3" t="s">
        <v>18</v>
      </c>
      <c r="G82" s="4">
        <v>8757.7900000000009</v>
      </c>
    </row>
    <row r="83" spans="1:7" x14ac:dyDescent="0.25">
      <c r="A83" s="5" t="s">
        <v>129</v>
      </c>
      <c r="B83" s="7">
        <v>45931</v>
      </c>
      <c r="C83" s="5" t="s">
        <v>54</v>
      </c>
      <c r="D83" s="5" t="s">
        <v>16</v>
      </c>
      <c r="E83" s="5" t="s">
        <v>46</v>
      </c>
      <c r="F83" s="5" t="s">
        <v>60</v>
      </c>
      <c r="G83" s="6">
        <v>10033.4</v>
      </c>
    </row>
    <row r="84" spans="1:7" x14ac:dyDescent="0.25">
      <c r="A84" s="3" t="s">
        <v>130</v>
      </c>
      <c r="B84" s="8">
        <v>45879</v>
      </c>
      <c r="C84" s="3" t="s">
        <v>56</v>
      </c>
      <c r="D84" s="3" t="s">
        <v>10</v>
      </c>
      <c r="E84" s="3" t="s">
        <v>38</v>
      </c>
      <c r="F84" s="3" t="s">
        <v>34</v>
      </c>
      <c r="G84" s="4">
        <v>13850.43</v>
      </c>
    </row>
    <row r="85" spans="1:7" x14ac:dyDescent="0.25">
      <c r="A85" s="5" t="s">
        <v>131</v>
      </c>
      <c r="B85" s="7">
        <v>46016</v>
      </c>
      <c r="C85" s="5" t="s">
        <v>54</v>
      </c>
      <c r="D85" s="5" t="s">
        <v>25</v>
      </c>
      <c r="E85" s="5" t="s">
        <v>38</v>
      </c>
      <c r="F85" s="5" t="s">
        <v>62</v>
      </c>
      <c r="G85" s="6">
        <v>14112.5</v>
      </c>
    </row>
    <row r="86" spans="1:7" x14ac:dyDescent="0.25">
      <c r="A86" s="3" t="s">
        <v>132</v>
      </c>
      <c r="B86" s="8">
        <v>45828</v>
      </c>
      <c r="C86" s="3" t="s">
        <v>56</v>
      </c>
      <c r="D86" s="3" t="s">
        <v>36</v>
      </c>
      <c r="E86" s="3" t="s">
        <v>29</v>
      </c>
      <c r="F86" s="3" t="s">
        <v>41</v>
      </c>
      <c r="G86" s="4">
        <v>2340.12</v>
      </c>
    </row>
    <row r="87" spans="1:7" x14ac:dyDescent="0.25">
      <c r="A87" s="5" t="s">
        <v>133</v>
      </c>
      <c r="B87" s="7">
        <v>46011</v>
      </c>
      <c r="C87" s="5" t="s">
        <v>54</v>
      </c>
      <c r="D87" s="5" t="s">
        <v>10</v>
      </c>
      <c r="E87" s="5" t="s">
        <v>17</v>
      </c>
      <c r="F87" s="5" t="s">
        <v>62</v>
      </c>
      <c r="G87" s="6">
        <v>7088.88</v>
      </c>
    </row>
    <row r="88" spans="1:7" x14ac:dyDescent="0.25">
      <c r="A88" s="3" t="s">
        <v>134</v>
      </c>
      <c r="B88" s="8">
        <v>45926</v>
      </c>
      <c r="C88" s="3" t="s">
        <v>9</v>
      </c>
      <c r="D88" s="3" t="s">
        <v>36</v>
      </c>
      <c r="E88" s="3" t="s">
        <v>46</v>
      </c>
      <c r="F88" s="3" t="s">
        <v>27</v>
      </c>
      <c r="G88" s="4">
        <v>11333.36</v>
      </c>
    </row>
    <row r="89" spans="1:7" x14ac:dyDescent="0.25">
      <c r="A89" s="5" t="s">
        <v>135</v>
      </c>
      <c r="B89" s="7">
        <v>45705</v>
      </c>
      <c r="C89" s="5" t="s">
        <v>15</v>
      </c>
      <c r="D89" s="5" t="s">
        <v>16</v>
      </c>
      <c r="E89" s="5" t="s">
        <v>51</v>
      </c>
      <c r="F89" s="5" t="s">
        <v>62</v>
      </c>
      <c r="G89" s="6">
        <v>8484.32</v>
      </c>
    </row>
    <row r="90" spans="1:7" x14ac:dyDescent="0.25">
      <c r="A90" s="3" t="s">
        <v>136</v>
      </c>
      <c r="B90" s="8">
        <v>45684</v>
      </c>
      <c r="C90" s="3" t="s">
        <v>40</v>
      </c>
      <c r="D90" s="3" t="s">
        <v>36</v>
      </c>
      <c r="E90" s="3" t="s">
        <v>22</v>
      </c>
      <c r="F90" s="3" t="s">
        <v>34</v>
      </c>
      <c r="G90" s="4">
        <v>2290.29</v>
      </c>
    </row>
    <row r="91" spans="1:7" x14ac:dyDescent="0.25">
      <c r="A91" s="5" t="s">
        <v>137</v>
      </c>
      <c r="B91" s="7">
        <v>45836</v>
      </c>
      <c r="C91" s="5" t="s">
        <v>40</v>
      </c>
      <c r="D91" s="5" t="s">
        <v>10</v>
      </c>
      <c r="E91" s="5" t="s">
        <v>51</v>
      </c>
      <c r="F91" s="5" t="s">
        <v>27</v>
      </c>
      <c r="G91" s="6">
        <v>3120.75</v>
      </c>
    </row>
    <row r="92" spans="1:7" x14ac:dyDescent="0.25">
      <c r="A92" s="3" t="s">
        <v>138</v>
      </c>
      <c r="B92" s="8">
        <v>45946</v>
      </c>
      <c r="C92" s="3" t="s">
        <v>21</v>
      </c>
      <c r="D92" s="3" t="s">
        <v>10</v>
      </c>
      <c r="E92" s="3" t="s">
        <v>77</v>
      </c>
      <c r="F92" s="3" t="s">
        <v>41</v>
      </c>
      <c r="G92" s="4">
        <v>2022.57</v>
      </c>
    </row>
    <row r="93" spans="1:7" x14ac:dyDescent="0.25">
      <c r="A93" s="5" t="s">
        <v>139</v>
      </c>
      <c r="B93" s="7">
        <v>45853</v>
      </c>
      <c r="C93" s="5" t="s">
        <v>40</v>
      </c>
      <c r="D93" s="5" t="s">
        <v>25</v>
      </c>
      <c r="E93" s="5" t="s">
        <v>17</v>
      </c>
      <c r="F93" s="5" t="s">
        <v>41</v>
      </c>
      <c r="G93" s="6">
        <v>10107.879999999999</v>
      </c>
    </row>
    <row r="94" spans="1:7" x14ac:dyDescent="0.25">
      <c r="A94" s="3" t="s">
        <v>140</v>
      </c>
      <c r="B94" s="8">
        <v>45801</v>
      </c>
      <c r="C94" s="3" t="s">
        <v>21</v>
      </c>
      <c r="D94" s="3" t="s">
        <v>10</v>
      </c>
      <c r="E94" s="3" t="s">
        <v>87</v>
      </c>
      <c r="F94" s="3" t="s">
        <v>23</v>
      </c>
      <c r="G94" s="4">
        <v>95.08</v>
      </c>
    </row>
    <row r="95" spans="1:7" x14ac:dyDescent="0.25">
      <c r="A95" s="5" t="s">
        <v>141</v>
      </c>
      <c r="B95" s="7">
        <v>45766</v>
      </c>
      <c r="C95" s="5" t="s">
        <v>21</v>
      </c>
      <c r="D95" s="5" t="s">
        <v>25</v>
      </c>
      <c r="E95" s="5" t="s">
        <v>11</v>
      </c>
      <c r="F95" s="5" t="s">
        <v>12</v>
      </c>
      <c r="G95" s="6">
        <v>10520.75</v>
      </c>
    </row>
    <row r="96" spans="1:7" x14ac:dyDescent="0.25">
      <c r="A96" s="3" t="s">
        <v>142</v>
      </c>
      <c r="B96" s="8">
        <v>45902</v>
      </c>
      <c r="C96" s="3" t="s">
        <v>21</v>
      </c>
      <c r="D96" s="3" t="s">
        <v>10</v>
      </c>
      <c r="E96" s="3" t="s">
        <v>77</v>
      </c>
      <c r="F96" s="3" t="s">
        <v>18</v>
      </c>
      <c r="G96" s="4">
        <v>6162.56</v>
      </c>
    </row>
    <row r="97" spans="1:7" x14ac:dyDescent="0.25">
      <c r="A97" s="5" t="s">
        <v>143</v>
      </c>
      <c r="B97" s="7">
        <v>45741</v>
      </c>
      <c r="C97" s="5" t="s">
        <v>9</v>
      </c>
      <c r="D97" s="5" t="s">
        <v>10</v>
      </c>
      <c r="E97" s="5" t="s">
        <v>26</v>
      </c>
      <c r="F97" s="5" t="s">
        <v>62</v>
      </c>
      <c r="G97" s="6">
        <v>5768.07</v>
      </c>
    </row>
    <row r="98" spans="1:7" x14ac:dyDescent="0.25">
      <c r="A98" s="3" t="s">
        <v>144</v>
      </c>
      <c r="B98" s="8">
        <v>45851</v>
      </c>
      <c r="C98" s="3" t="s">
        <v>21</v>
      </c>
      <c r="D98" s="3" t="s">
        <v>36</v>
      </c>
      <c r="E98" s="3" t="s">
        <v>38</v>
      </c>
      <c r="F98" s="3" t="s">
        <v>23</v>
      </c>
      <c r="G98" s="4">
        <v>5249.16</v>
      </c>
    </row>
    <row r="99" spans="1:7" x14ac:dyDescent="0.25">
      <c r="A99" s="5" t="s">
        <v>145</v>
      </c>
      <c r="B99" s="7">
        <v>45734</v>
      </c>
      <c r="C99" s="5" t="s">
        <v>15</v>
      </c>
      <c r="D99" s="5" t="s">
        <v>36</v>
      </c>
      <c r="E99" s="5" t="s">
        <v>46</v>
      </c>
      <c r="F99" s="5" t="s">
        <v>23</v>
      </c>
      <c r="G99" s="6">
        <v>101.93</v>
      </c>
    </row>
    <row r="100" spans="1:7" x14ac:dyDescent="0.25">
      <c r="A100" s="3" t="s">
        <v>146</v>
      </c>
      <c r="B100" s="8">
        <v>45667</v>
      </c>
      <c r="C100" s="3" t="s">
        <v>15</v>
      </c>
      <c r="D100" s="3" t="s">
        <v>10</v>
      </c>
      <c r="E100" s="3" t="s">
        <v>17</v>
      </c>
      <c r="F100" s="3" t="s">
        <v>32</v>
      </c>
      <c r="G100" s="4">
        <v>12359.24</v>
      </c>
    </row>
    <row r="101" spans="1:7" x14ac:dyDescent="0.25">
      <c r="A101" s="5" t="s">
        <v>147</v>
      </c>
      <c r="B101" s="7">
        <v>45762</v>
      </c>
      <c r="C101" s="5" t="s">
        <v>54</v>
      </c>
      <c r="D101" s="5" t="s">
        <v>36</v>
      </c>
      <c r="E101" s="5" t="s">
        <v>87</v>
      </c>
      <c r="F101" s="5" t="s">
        <v>57</v>
      </c>
      <c r="G101" s="6">
        <v>14064.28</v>
      </c>
    </row>
    <row r="102" spans="1:7" x14ac:dyDescent="0.25">
      <c r="A102" s="3" t="s">
        <v>148</v>
      </c>
      <c r="B102" s="8">
        <v>46016</v>
      </c>
      <c r="C102" s="3" t="s">
        <v>21</v>
      </c>
      <c r="D102" s="3" t="s">
        <v>25</v>
      </c>
      <c r="E102" s="3" t="s">
        <v>38</v>
      </c>
      <c r="F102" s="3" t="s">
        <v>32</v>
      </c>
      <c r="G102" s="4">
        <v>9243.1</v>
      </c>
    </row>
    <row r="103" spans="1:7" x14ac:dyDescent="0.25">
      <c r="A103" s="5" t="s">
        <v>149</v>
      </c>
      <c r="B103" s="7">
        <v>45665</v>
      </c>
      <c r="C103" s="5" t="s">
        <v>56</v>
      </c>
      <c r="D103" s="5" t="s">
        <v>25</v>
      </c>
      <c r="E103" s="5" t="s">
        <v>51</v>
      </c>
      <c r="F103" s="5" t="s">
        <v>70</v>
      </c>
      <c r="G103" s="6">
        <v>551.97</v>
      </c>
    </row>
    <row r="104" spans="1:7" x14ac:dyDescent="0.25">
      <c r="A104" s="3" t="s">
        <v>150</v>
      </c>
      <c r="B104" s="8">
        <v>45952</v>
      </c>
      <c r="C104" s="3" t="s">
        <v>9</v>
      </c>
      <c r="D104" s="3" t="s">
        <v>25</v>
      </c>
      <c r="E104" s="3" t="s">
        <v>46</v>
      </c>
      <c r="F104" s="3" t="s">
        <v>30</v>
      </c>
      <c r="G104" s="4">
        <v>711.34</v>
      </c>
    </row>
    <row r="105" spans="1:7" x14ac:dyDescent="0.25">
      <c r="A105" s="5" t="s">
        <v>151</v>
      </c>
      <c r="B105" s="7">
        <v>45877</v>
      </c>
      <c r="C105" s="5" t="s">
        <v>40</v>
      </c>
      <c r="D105" s="5" t="s">
        <v>36</v>
      </c>
      <c r="E105" s="5" t="s">
        <v>77</v>
      </c>
      <c r="F105" s="5" t="s">
        <v>44</v>
      </c>
      <c r="G105" s="6">
        <v>7583.24</v>
      </c>
    </row>
    <row r="106" spans="1:7" x14ac:dyDescent="0.25">
      <c r="A106" s="3" t="s">
        <v>152</v>
      </c>
      <c r="B106" s="8">
        <v>45785</v>
      </c>
      <c r="C106" s="3" t="s">
        <v>43</v>
      </c>
      <c r="D106" s="3" t="s">
        <v>16</v>
      </c>
      <c r="E106" s="3" t="s">
        <v>22</v>
      </c>
      <c r="F106" s="3" t="s">
        <v>70</v>
      </c>
      <c r="G106" s="4">
        <v>11599.45</v>
      </c>
    </row>
    <row r="107" spans="1:7" x14ac:dyDescent="0.25">
      <c r="A107" s="5" t="s">
        <v>153</v>
      </c>
      <c r="B107" s="7">
        <v>45816</v>
      </c>
      <c r="C107" s="5" t="s">
        <v>54</v>
      </c>
      <c r="D107" s="5" t="s">
        <v>36</v>
      </c>
      <c r="E107" s="5" t="s">
        <v>38</v>
      </c>
      <c r="F107" s="5" t="s">
        <v>34</v>
      </c>
      <c r="G107" s="6">
        <v>3354.59</v>
      </c>
    </row>
    <row r="108" spans="1:7" x14ac:dyDescent="0.25">
      <c r="A108" s="3" t="s">
        <v>154</v>
      </c>
      <c r="B108" s="8">
        <v>45786</v>
      </c>
      <c r="C108" s="3" t="s">
        <v>21</v>
      </c>
      <c r="D108" s="3" t="s">
        <v>36</v>
      </c>
      <c r="E108" s="3" t="s">
        <v>38</v>
      </c>
      <c r="F108" s="3" t="s">
        <v>27</v>
      </c>
      <c r="G108" s="4">
        <v>6436.65</v>
      </c>
    </row>
    <row r="109" spans="1:7" x14ac:dyDescent="0.25">
      <c r="A109" s="5" t="s">
        <v>155</v>
      </c>
      <c r="B109" s="7">
        <v>45871</v>
      </c>
      <c r="C109" s="5" t="s">
        <v>54</v>
      </c>
      <c r="D109" s="5" t="s">
        <v>10</v>
      </c>
      <c r="E109" s="5" t="s">
        <v>17</v>
      </c>
      <c r="F109" s="5" t="s">
        <v>12</v>
      </c>
      <c r="G109" s="6">
        <v>10459.81</v>
      </c>
    </row>
    <row r="110" spans="1:7" x14ac:dyDescent="0.25">
      <c r="A110" s="3" t="s">
        <v>156</v>
      </c>
      <c r="B110" s="8">
        <v>45843</v>
      </c>
      <c r="C110" s="3" t="s">
        <v>54</v>
      </c>
      <c r="D110" s="3" t="s">
        <v>10</v>
      </c>
      <c r="E110" s="3" t="s">
        <v>29</v>
      </c>
      <c r="F110" s="3" t="s">
        <v>75</v>
      </c>
      <c r="G110" s="4">
        <v>8092.03</v>
      </c>
    </row>
    <row r="111" spans="1:7" x14ac:dyDescent="0.25">
      <c r="A111" s="5" t="s">
        <v>157</v>
      </c>
      <c r="B111" s="7">
        <v>45775</v>
      </c>
      <c r="C111" s="5" t="s">
        <v>56</v>
      </c>
      <c r="D111" s="5" t="s">
        <v>16</v>
      </c>
      <c r="E111" s="5" t="s">
        <v>29</v>
      </c>
      <c r="F111" s="5" t="s">
        <v>75</v>
      </c>
      <c r="G111" s="6">
        <v>6972.23</v>
      </c>
    </row>
    <row r="112" spans="1:7" x14ac:dyDescent="0.25">
      <c r="A112" s="3" t="s">
        <v>158</v>
      </c>
      <c r="B112" s="8">
        <v>45675</v>
      </c>
      <c r="C112" s="3" t="s">
        <v>15</v>
      </c>
      <c r="D112" s="3" t="s">
        <v>10</v>
      </c>
      <c r="E112" s="3" t="s">
        <v>17</v>
      </c>
      <c r="F112" s="3" t="s">
        <v>34</v>
      </c>
      <c r="G112" s="4">
        <v>2054.69</v>
      </c>
    </row>
    <row r="113" spans="1:7" x14ac:dyDescent="0.25">
      <c r="A113" s="5" t="s">
        <v>159</v>
      </c>
      <c r="B113" s="7">
        <v>45756</v>
      </c>
      <c r="C113" s="5" t="s">
        <v>56</v>
      </c>
      <c r="D113" s="5" t="s">
        <v>16</v>
      </c>
      <c r="E113" s="5" t="s">
        <v>38</v>
      </c>
      <c r="F113" s="5" t="s">
        <v>47</v>
      </c>
      <c r="G113" s="6">
        <v>13837.28</v>
      </c>
    </row>
    <row r="114" spans="1:7" x14ac:dyDescent="0.25">
      <c r="A114" s="3" t="s">
        <v>160</v>
      </c>
      <c r="B114" s="8">
        <v>45811</v>
      </c>
      <c r="C114" s="3" t="s">
        <v>40</v>
      </c>
      <c r="D114" s="3" t="s">
        <v>36</v>
      </c>
      <c r="E114" s="3" t="s">
        <v>77</v>
      </c>
      <c r="F114" s="3" t="s">
        <v>18</v>
      </c>
      <c r="G114" s="4">
        <v>5688.66</v>
      </c>
    </row>
    <row r="115" spans="1:7" x14ac:dyDescent="0.25">
      <c r="A115" s="5" t="s">
        <v>161</v>
      </c>
      <c r="B115" s="7">
        <v>45950</v>
      </c>
      <c r="C115" s="5" t="s">
        <v>21</v>
      </c>
      <c r="D115" s="5" t="s">
        <v>25</v>
      </c>
      <c r="E115" s="5" t="s">
        <v>46</v>
      </c>
      <c r="F115" s="5" t="s">
        <v>75</v>
      </c>
      <c r="G115" s="6">
        <v>11437.36</v>
      </c>
    </row>
    <row r="116" spans="1:7" x14ac:dyDescent="0.25">
      <c r="A116" s="3" t="s">
        <v>162</v>
      </c>
      <c r="B116" s="8">
        <v>46013</v>
      </c>
      <c r="C116" s="3" t="s">
        <v>40</v>
      </c>
      <c r="D116" s="3" t="s">
        <v>36</v>
      </c>
      <c r="E116" s="3" t="s">
        <v>59</v>
      </c>
      <c r="F116" s="3" t="s">
        <v>57</v>
      </c>
      <c r="G116" s="4">
        <v>13048.63</v>
      </c>
    </row>
    <row r="117" spans="1:7" x14ac:dyDescent="0.25">
      <c r="A117" s="5" t="s">
        <v>163</v>
      </c>
      <c r="B117" s="7">
        <v>45818</v>
      </c>
      <c r="C117" s="5" t="s">
        <v>21</v>
      </c>
      <c r="D117" s="5" t="s">
        <v>36</v>
      </c>
      <c r="E117" s="5" t="s">
        <v>46</v>
      </c>
      <c r="F117" s="5" t="s">
        <v>30</v>
      </c>
      <c r="G117" s="6">
        <v>1803.88</v>
      </c>
    </row>
    <row r="118" spans="1:7" x14ac:dyDescent="0.25">
      <c r="A118" s="3" t="s">
        <v>164</v>
      </c>
      <c r="B118" s="8">
        <v>45877</v>
      </c>
      <c r="C118" s="3" t="s">
        <v>9</v>
      </c>
      <c r="D118" s="3" t="s">
        <v>36</v>
      </c>
      <c r="E118" s="3" t="s">
        <v>11</v>
      </c>
      <c r="F118" s="3" t="s">
        <v>62</v>
      </c>
      <c r="G118" s="4">
        <v>3628</v>
      </c>
    </row>
    <row r="119" spans="1:7" x14ac:dyDescent="0.25">
      <c r="A119" s="5" t="s">
        <v>165</v>
      </c>
      <c r="B119" s="7">
        <v>45833</v>
      </c>
      <c r="C119" s="5" t="s">
        <v>54</v>
      </c>
      <c r="D119" s="5" t="s">
        <v>10</v>
      </c>
      <c r="E119" s="5" t="s">
        <v>59</v>
      </c>
      <c r="F119" s="5" t="s">
        <v>34</v>
      </c>
      <c r="G119" s="6">
        <v>9748.3799999999992</v>
      </c>
    </row>
    <row r="120" spans="1:7" x14ac:dyDescent="0.25">
      <c r="A120" s="3" t="s">
        <v>166</v>
      </c>
      <c r="B120" s="8">
        <v>45786</v>
      </c>
      <c r="C120" s="3" t="s">
        <v>54</v>
      </c>
      <c r="D120" s="3" t="s">
        <v>10</v>
      </c>
      <c r="E120" s="3" t="s">
        <v>59</v>
      </c>
      <c r="F120" s="3" t="s">
        <v>47</v>
      </c>
      <c r="G120" s="4">
        <v>12052.11</v>
      </c>
    </row>
    <row r="121" spans="1:7" x14ac:dyDescent="0.25">
      <c r="A121" s="5" t="s">
        <v>167</v>
      </c>
      <c r="B121" s="7">
        <v>46007</v>
      </c>
      <c r="C121" s="5" t="s">
        <v>43</v>
      </c>
      <c r="D121" s="5" t="s">
        <v>16</v>
      </c>
      <c r="E121" s="5" t="s">
        <v>46</v>
      </c>
      <c r="F121" s="5" t="s">
        <v>12</v>
      </c>
      <c r="G121" s="6">
        <v>4728.18</v>
      </c>
    </row>
    <row r="122" spans="1:7" x14ac:dyDescent="0.25">
      <c r="A122" s="3" t="s">
        <v>168</v>
      </c>
      <c r="B122" s="8">
        <v>45676</v>
      </c>
      <c r="C122" s="3" t="s">
        <v>43</v>
      </c>
      <c r="D122" s="3" t="s">
        <v>36</v>
      </c>
      <c r="E122" s="3" t="s">
        <v>29</v>
      </c>
      <c r="F122" s="3" t="s">
        <v>60</v>
      </c>
      <c r="G122" s="4">
        <v>3948.57</v>
      </c>
    </row>
    <row r="123" spans="1:7" x14ac:dyDescent="0.25">
      <c r="A123" s="5" t="s">
        <v>169</v>
      </c>
      <c r="B123" s="7">
        <v>45949</v>
      </c>
      <c r="C123" s="5" t="s">
        <v>9</v>
      </c>
      <c r="D123" s="5" t="s">
        <v>10</v>
      </c>
      <c r="E123" s="5" t="s">
        <v>87</v>
      </c>
      <c r="F123" s="5" t="s">
        <v>44</v>
      </c>
      <c r="G123" s="6">
        <v>2983.07</v>
      </c>
    </row>
    <row r="124" spans="1:7" x14ac:dyDescent="0.25">
      <c r="A124" s="3" t="s">
        <v>170</v>
      </c>
      <c r="B124" s="8">
        <v>45760</v>
      </c>
      <c r="C124" s="3" t="s">
        <v>40</v>
      </c>
      <c r="D124" s="3" t="s">
        <v>36</v>
      </c>
      <c r="E124" s="3" t="s">
        <v>59</v>
      </c>
      <c r="F124" s="3" t="s">
        <v>34</v>
      </c>
      <c r="G124" s="4">
        <v>9836.39</v>
      </c>
    </row>
    <row r="125" spans="1:7" x14ac:dyDescent="0.25">
      <c r="A125" s="5" t="s">
        <v>171</v>
      </c>
      <c r="B125" s="7">
        <v>45972</v>
      </c>
      <c r="C125" s="5" t="s">
        <v>54</v>
      </c>
      <c r="D125" s="5" t="s">
        <v>10</v>
      </c>
      <c r="E125" s="5" t="s">
        <v>38</v>
      </c>
      <c r="F125" s="5" t="s">
        <v>30</v>
      </c>
      <c r="G125" s="6">
        <v>7384.4</v>
      </c>
    </row>
    <row r="126" spans="1:7" x14ac:dyDescent="0.25">
      <c r="A126" s="3" t="s">
        <v>172</v>
      </c>
      <c r="B126" s="8">
        <v>45740</v>
      </c>
      <c r="C126" s="3" t="s">
        <v>43</v>
      </c>
      <c r="D126" s="3" t="s">
        <v>16</v>
      </c>
      <c r="E126" s="3" t="s">
        <v>29</v>
      </c>
      <c r="F126" s="3" t="s">
        <v>44</v>
      </c>
      <c r="G126" s="4">
        <v>10818.69</v>
      </c>
    </row>
    <row r="127" spans="1:7" x14ac:dyDescent="0.25">
      <c r="A127" s="5" t="s">
        <v>173</v>
      </c>
      <c r="B127" s="7">
        <v>45875</v>
      </c>
      <c r="C127" s="5" t="s">
        <v>40</v>
      </c>
      <c r="D127" s="5" t="s">
        <v>25</v>
      </c>
      <c r="E127" s="5" t="s">
        <v>17</v>
      </c>
      <c r="F127" s="5" t="s">
        <v>60</v>
      </c>
      <c r="G127" s="6">
        <v>12594.07</v>
      </c>
    </row>
    <row r="128" spans="1:7" x14ac:dyDescent="0.25">
      <c r="A128" s="3" t="s">
        <v>174</v>
      </c>
      <c r="B128" s="8">
        <v>45715</v>
      </c>
      <c r="C128" s="3" t="s">
        <v>9</v>
      </c>
      <c r="D128" s="3" t="s">
        <v>25</v>
      </c>
      <c r="E128" s="3" t="s">
        <v>77</v>
      </c>
      <c r="F128" s="3" t="s">
        <v>32</v>
      </c>
      <c r="G128" s="4">
        <v>2105.5</v>
      </c>
    </row>
    <row r="129" spans="1:7" x14ac:dyDescent="0.25">
      <c r="A129" s="5" t="s">
        <v>175</v>
      </c>
      <c r="B129" s="7">
        <v>45969</v>
      </c>
      <c r="C129" s="5" t="s">
        <v>21</v>
      </c>
      <c r="D129" s="5" t="s">
        <v>36</v>
      </c>
      <c r="E129" s="5" t="s">
        <v>77</v>
      </c>
      <c r="F129" s="5" t="s">
        <v>57</v>
      </c>
      <c r="G129" s="6">
        <v>7610.71</v>
      </c>
    </row>
    <row r="130" spans="1:7" x14ac:dyDescent="0.25">
      <c r="A130" s="3" t="s">
        <v>176</v>
      </c>
      <c r="B130" s="8">
        <v>45810</v>
      </c>
      <c r="C130" s="3" t="s">
        <v>40</v>
      </c>
      <c r="D130" s="3" t="s">
        <v>10</v>
      </c>
      <c r="E130" s="3" t="s">
        <v>38</v>
      </c>
      <c r="F130" s="3" t="s">
        <v>41</v>
      </c>
      <c r="G130" s="4">
        <v>285.19</v>
      </c>
    </row>
    <row r="131" spans="1:7" x14ac:dyDescent="0.25">
      <c r="A131" s="5" t="s">
        <v>177</v>
      </c>
      <c r="B131" s="7">
        <v>45918</v>
      </c>
      <c r="C131" s="5" t="s">
        <v>15</v>
      </c>
      <c r="D131" s="5" t="s">
        <v>25</v>
      </c>
      <c r="E131" s="5" t="s">
        <v>77</v>
      </c>
      <c r="F131" s="5" t="s">
        <v>34</v>
      </c>
      <c r="G131" s="6">
        <v>10846.78</v>
      </c>
    </row>
    <row r="132" spans="1:7" x14ac:dyDescent="0.25">
      <c r="A132" s="3" t="s">
        <v>178</v>
      </c>
      <c r="B132" s="8">
        <v>45910</v>
      </c>
      <c r="C132" s="3" t="s">
        <v>21</v>
      </c>
      <c r="D132" s="3" t="s">
        <v>10</v>
      </c>
      <c r="E132" s="3" t="s">
        <v>29</v>
      </c>
      <c r="F132" s="3" t="s">
        <v>47</v>
      </c>
      <c r="G132" s="4">
        <v>13774.83</v>
      </c>
    </row>
    <row r="133" spans="1:7" x14ac:dyDescent="0.25">
      <c r="A133" s="5" t="s">
        <v>179</v>
      </c>
      <c r="B133" s="7">
        <v>45905</v>
      </c>
      <c r="C133" s="5" t="s">
        <v>56</v>
      </c>
      <c r="D133" s="5" t="s">
        <v>36</v>
      </c>
      <c r="E133" s="5" t="s">
        <v>22</v>
      </c>
      <c r="F133" s="5" t="s">
        <v>34</v>
      </c>
      <c r="G133" s="6">
        <v>3823.65</v>
      </c>
    </row>
    <row r="134" spans="1:7" x14ac:dyDescent="0.25">
      <c r="A134" s="3" t="s">
        <v>180</v>
      </c>
      <c r="B134" s="8">
        <v>45817</v>
      </c>
      <c r="C134" s="3" t="s">
        <v>43</v>
      </c>
      <c r="D134" s="3" t="s">
        <v>10</v>
      </c>
      <c r="E134" s="3" t="s">
        <v>51</v>
      </c>
      <c r="F134" s="3" t="s">
        <v>12</v>
      </c>
      <c r="G134" s="4">
        <v>14391.5</v>
      </c>
    </row>
    <row r="135" spans="1:7" x14ac:dyDescent="0.25">
      <c r="A135" s="5" t="s">
        <v>181</v>
      </c>
      <c r="B135" s="7">
        <v>45888</v>
      </c>
      <c r="C135" s="5" t="s">
        <v>56</v>
      </c>
      <c r="D135" s="5" t="s">
        <v>36</v>
      </c>
      <c r="E135" s="5" t="s">
        <v>87</v>
      </c>
      <c r="F135" s="5" t="s">
        <v>27</v>
      </c>
      <c r="G135" s="6">
        <v>12429.53</v>
      </c>
    </row>
    <row r="136" spans="1:7" x14ac:dyDescent="0.25">
      <c r="A136" s="3" t="s">
        <v>182</v>
      </c>
      <c r="B136" s="8">
        <v>45709</v>
      </c>
      <c r="C136" s="3" t="s">
        <v>43</v>
      </c>
      <c r="D136" s="3" t="s">
        <v>25</v>
      </c>
      <c r="E136" s="3" t="s">
        <v>51</v>
      </c>
      <c r="F136" s="3" t="s">
        <v>32</v>
      </c>
      <c r="G136" s="4">
        <v>5720</v>
      </c>
    </row>
    <row r="137" spans="1:7" x14ac:dyDescent="0.25">
      <c r="A137" s="5" t="s">
        <v>183</v>
      </c>
      <c r="B137" s="7">
        <v>45916</v>
      </c>
      <c r="C137" s="5" t="s">
        <v>21</v>
      </c>
      <c r="D137" s="5" t="s">
        <v>25</v>
      </c>
      <c r="E137" s="5" t="s">
        <v>29</v>
      </c>
      <c r="F137" s="5" t="s">
        <v>47</v>
      </c>
      <c r="G137" s="6">
        <v>7522.88</v>
      </c>
    </row>
    <row r="138" spans="1:7" x14ac:dyDescent="0.25">
      <c r="A138" s="3" t="s">
        <v>184</v>
      </c>
      <c r="B138" s="8">
        <v>45859</v>
      </c>
      <c r="C138" s="3" t="s">
        <v>43</v>
      </c>
      <c r="D138" s="3" t="s">
        <v>16</v>
      </c>
      <c r="E138" s="3" t="s">
        <v>22</v>
      </c>
      <c r="F138" s="3" t="s">
        <v>23</v>
      </c>
      <c r="G138" s="4">
        <v>14608.9</v>
      </c>
    </row>
    <row r="139" spans="1:7" x14ac:dyDescent="0.25">
      <c r="A139" s="5" t="s">
        <v>185</v>
      </c>
      <c r="B139" s="7">
        <v>45902</v>
      </c>
      <c r="C139" s="5" t="s">
        <v>56</v>
      </c>
      <c r="D139" s="5" t="s">
        <v>36</v>
      </c>
      <c r="E139" s="5" t="s">
        <v>22</v>
      </c>
      <c r="F139" s="5" t="s">
        <v>41</v>
      </c>
      <c r="G139" s="6">
        <v>4102.87</v>
      </c>
    </row>
    <row r="140" spans="1:7" x14ac:dyDescent="0.25">
      <c r="A140" s="3" t="s">
        <v>186</v>
      </c>
      <c r="B140" s="8">
        <v>45710</v>
      </c>
      <c r="C140" s="3" t="s">
        <v>54</v>
      </c>
      <c r="D140" s="3" t="s">
        <v>25</v>
      </c>
      <c r="E140" s="3" t="s">
        <v>29</v>
      </c>
      <c r="F140" s="3" t="s">
        <v>62</v>
      </c>
      <c r="G140" s="4">
        <v>12763.89</v>
      </c>
    </row>
    <row r="141" spans="1:7" x14ac:dyDescent="0.25">
      <c r="A141" s="5" t="s">
        <v>187</v>
      </c>
      <c r="B141" s="7">
        <v>45664</v>
      </c>
      <c r="C141" s="5" t="s">
        <v>40</v>
      </c>
      <c r="D141" s="5" t="s">
        <v>36</v>
      </c>
      <c r="E141" s="5" t="s">
        <v>11</v>
      </c>
      <c r="F141" s="5" t="s">
        <v>62</v>
      </c>
      <c r="G141" s="63" t="s">
        <v>188</v>
      </c>
    </row>
    <row r="142" spans="1:7" x14ac:dyDescent="0.25">
      <c r="A142" s="3" t="s">
        <v>189</v>
      </c>
      <c r="B142" s="8">
        <v>45735</v>
      </c>
      <c r="C142" s="3" t="s">
        <v>56</v>
      </c>
      <c r="D142" s="3" t="s">
        <v>10</v>
      </c>
      <c r="E142" s="3" t="s">
        <v>38</v>
      </c>
      <c r="F142" s="3" t="s">
        <v>62</v>
      </c>
      <c r="G142" s="4">
        <v>8131.41</v>
      </c>
    </row>
    <row r="143" spans="1:7" x14ac:dyDescent="0.25">
      <c r="A143" s="5" t="s">
        <v>190</v>
      </c>
      <c r="B143" s="7">
        <v>45863</v>
      </c>
      <c r="C143" s="5" t="s">
        <v>9</v>
      </c>
      <c r="D143" s="5" t="s">
        <v>36</v>
      </c>
      <c r="E143" s="5" t="s">
        <v>51</v>
      </c>
      <c r="F143" s="5" t="s">
        <v>34</v>
      </c>
      <c r="G143" s="6">
        <v>11194.58</v>
      </c>
    </row>
    <row r="144" spans="1:7" x14ac:dyDescent="0.25">
      <c r="A144" s="3" t="s">
        <v>191</v>
      </c>
      <c r="B144" s="8">
        <v>45810</v>
      </c>
      <c r="C144" s="3" t="s">
        <v>21</v>
      </c>
      <c r="D144" s="3" t="s">
        <v>10</v>
      </c>
      <c r="E144" s="3" t="s">
        <v>46</v>
      </c>
      <c r="F144" s="3" t="s">
        <v>23</v>
      </c>
      <c r="G144" s="4">
        <v>1186.47</v>
      </c>
    </row>
    <row r="145" spans="1:7" x14ac:dyDescent="0.25">
      <c r="A145" s="5" t="s">
        <v>192</v>
      </c>
      <c r="B145" s="7">
        <v>45955</v>
      </c>
      <c r="C145" s="5" t="s">
        <v>40</v>
      </c>
      <c r="D145" s="5" t="s">
        <v>10</v>
      </c>
      <c r="E145" s="5" t="s">
        <v>26</v>
      </c>
      <c r="F145" s="5" t="s">
        <v>60</v>
      </c>
      <c r="G145" s="6">
        <v>9530.14</v>
      </c>
    </row>
    <row r="146" spans="1:7" x14ac:dyDescent="0.25">
      <c r="A146" s="3" t="s">
        <v>193</v>
      </c>
      <c r="B146" s="8">
        <v>45885</v>
      </c>
      <c r="C146" s="3" t="s">
        <v>56</v>
      </c>
      <c r="D146" s="3" t="s">
        <v>16</v>
      </c>
      <c r="E146" s="3" t="s">
        <v>17</v>
      </c>
      <c r="F146" s="3" t="s">
        <v>32</v>
      </c>
      <c r="G146" s="4">
        <v>6506.13</v>
      </c>
    </row>
    <row r="147" spans="1:7" x14ac:dyDescent="0.25">
      <c r="A147" s="5" t="s">
        <v>194</v>
      </c>
      <c r="B147" s="7">
        <v>45980</v>
      </c>
      <c r="C147" s="5" t="s">
        <v>9</v>
      </c>
      <c r="D147" s="5" t="s">
        <v>10</v>
      </c>
      <c r="E147" s="5" t="s">
        <v>51</v>
      </c>
      <c r="F147" s="5" t="s">
        <v>75</v>
      </c>
      <c r="G147" s="6">
        <v>9298.31</v>
      </c>
    </row>
    <row r="148" spans="1:7" x14ac:dyDescent="0.25">
      <c r="A148" s="3" t="s">
        <v>195</v>
      </c>
      <c r="B148" s="8">
        <v>45770</v>
      </c>
      <c r="C148" s="3" t="s">
        <v>21</v>
      </c>
      <c r="D148" s="3" t="s">
        <v>25</v>
      </c>
      <c r="E148" s="3" t="s">
        <v>87</v>
      </c>
      <c r="F148" s="3" t="s">
        <v>44</v>
      </c>
      <c r="G148" s="4">
        <v>5731</v>
      </c>
    </row>
    <row r="149" spans="1:7" x14ac:dyDescent="0.25">
      <c r="A149" s="5" t="s">
        <v>196</v>
      </c>
      <c r="B149" s="7">
        <v>45966</v>
      </c>
      <c r="C149" s="5" t="s">
        <v>9</v>
      </c>
      <c r="D149" s="5" t="s">
        <v>10</v>
      </c>
      <c r="E149" s="5" t="s">
        <v>26</v>
      </c>
      <c r="F149" s="5" t="s">
        <v>12</v>
      </c>
      <c r="G149" s="6">
        <v>1642.94</v>
      </c>
    </row>
    <row r="150" spans="1:7" x14ac:dyDescent="0.25">
      <c r="A150" s="3" t="s">
        <v>197</v>
      </c>
      <c r="B150" s="8">
        <v>45667</v>
      </c>
      <c r="C150" s="3" t="s">
        <v>15</v>
      </c>
      <c r="D150" s="3" t="s">
        <v>16</v>
      </c>
      <c r="E150" s="3" t="s">
        <v>87</v>
      </c>
      <c r="F150" s="3" t="s">
        <v>47</v>
      </c>
      <c r="G150" s="4">
        <v>2030.98</v>
      </c>
    </row>
    <row r="151" spans="1:7" x14ac:dyDescent="0.25">
      <c r="A151" s="5" t="s">
        <v>198</v>
      </c>
      <c r="B151" s="7">
        <v>45730</v>
      </c>
      <c r="C151" s="5" t="s">
        <v>15</v>
      </c>
      <c r="D151" s="5" t="s">
        <v>10</v>
      </c>
      <c r="E151" s="5" t="s">
        <v>51</v>
      </c>
      <c r="F151" s="5" t="s">
        <v>60</v>
      </c>
      <c r="G151" s="6">
        <v>1389.8</v>
      </c>
    </row>
    <row r="152" spans="1:7" x14ac:dyDescent="0.25">
      <c r="A152" s="3" t="s">
        <v>199</v>
      </c>
      <c r="B152" s="8">
        <v>45903</v>
      </c>
      <c r="C152" s="3" t="s">
        <v>40</v>
      </c>
      <c r="D152" s="3" t="s">
        <v>16</v>
      </c>
      <c r="E152" s="3" t="s">
        <v>11</v>
      </c>
      <c r="F152" s="3" t="s">
        <v>60</v>
      </c>
      <c r="G152" s="4">
        <v>4413.12</v>
      </c>
    </row>
    <row r="153" spans="1:7" x14ac:dyDescent="0.25">
      <c r="A153" s="5" t="s">
        <v>200</v>
      </c>
      <c r="B153" s="7">
        <v>45863</v>
      </c>
      <c r="C153" s="5" t="s">
        <v>21</v>
      </c>
      <c r="D153" s="5" t="s">
        <v>36</v>
      </c>
      <c r="E153" s="5" t="s">
        <v>22</v>
      </c>
      <c r="F153" s="5" t="s">
        <v>34</v>
      </c>
      <c r="G153" s="6">
        <v>2585.2600000000002</v>
      </c>
    </row>
    <row r="154" spans="1:7" x14ac:dyDescent="0.25">
      <c r="A154" s="3" t="s">
        <v>201</v>
      </c>
      <c r="B154" s="8">
        <v>45844</v>
      </c>
      <c r="C154" s="3" t="s">
        <v>56</v>
      </c>
      <c r="D154" s="3" t="s">
        <v>16</v>
      </c>
      <c r="E154" s="3" t="s">
        <v>87</v>
      </c>
      <c r="F154" s="3" t="s">
        <v>18</v>
      </c>
      <c r="G154" s="4">
        <v>7422.2</v>
      </c>
    </row>
    <row r="155" spans="1:7" x14ac:dyDescent="0.25">
      <c r="A155" s="5" t="s">
        <v>202</v>
      </c>
      <c r="B155" s="7">
        <v>45694</v>
      </c>
      <c r="C155" s="5" t="s">
        <v>15</v>
      </c>
      <c r="D155" s="5" t="s">
        <v>16</v>
      </c>
      <c r="E155" s="5" t="s">
        <v>11</v>
      </c>
      <c r="F155" s="5" t="s">
        <v>18</v>
      </c>
      <c r="G155" s="6">
        <v>7289.26</v>
      </c>
    </row>
    <row r="156" spans="1:7" x14ac:dyDescent="0.25">
      <c r="A156" s="3" t="s">
        <v>203</v>
      </c>
      <c r="B156" s="8">
        <v>45700</v>
      </c>
      <c r="C156" s="3" t="s">
        <v>54</v>
      </c>
      <c r="D156" s="3" t="s">
        <v>36</v>
      </c>
      <c r="E156" s="3" t="s">
        <v>38</v>
      </c>
      <c r="F156" s="3" t="s">
        <v>41</v>
      </c>
      <c r="G156" s="4">
        <v>8927.41</v>
      </c>
    </row>
    <row r="157" spans="1:7" x14ac:dyDescent="0.25">
      <c r="A157" s="5" t="s">
        <v>204</v>
      </c>
      <c r="B157" s="7">
        <v>45762</v>
      </c>
      <c r="C157" s="5" t="s">
        <v>21</v>
      </c>
      <c r="D157" s="5" t="s">
        <v>36</v>
      </c>
      <c r="E157" s="5" t="s">
        <v>87</v>
      </c>
      <c r="F157" s="5" t="s">
        <v>60</v>
      </c>
      <c r="G157" s="6">
        <v>14234.91</v>
      </c>
    </row>
    <row r="158" spans="1:7" x14ac:dyDescent="0.25">
      <c r="A158" s="3" t="s">
        <v>205</v>
      </c>
      <c r="B158" s="8">
        <v>45835</v>
      </c>
      <c r="C158" s="3" t="s">
        <v>40</v>
      </c>
      <c r="D158" s="3" t="s">
        <v>10</v>
      </c>
      <c r="E158" s="3" t="s">
        <v>26</v>
      </c>
      <c r="F158" s="3" t="s">
        <v>41</v>
      </c>
      <c r="G158" s="4">
        <v>5054.3100000000004</v>
      </c>
    </row>
    <row r="159" spans="1:7" x14ac:dyDescent="0.25">
      <c r="A159" s="5" t="s">
        <v>206</v>
      </c>
      <c r="B159" s="7">
        <v>45981</v>
      </c>
      <c r="C159" s="5" t="s">
        <v>56</v>
      </c>
      <c r="D159" s="5" t="s">
        <v>16</v>
      </c>
      <c r="E159" s="5" t="s">
        <v>26</v>
      </c>
      <c r="F159" s="5" t="s">
        <v>70</v>
      </c>
      <c r="G159" s="6">
        <v>14211.82</v>
      </c>
    </row>
    <row r="160" spans="1:7" x14ac:dyDescent="0.25">
      <c r="A160" s="3" t="s">
        <v>207</v>
      </c>
      <c r="B160" s="8">
        <v>45763</v>
      </c>
      <c r="C160" s="3" t="s">
        <v>54</v>
      </c>
      <c r="D160" s="3" t="s">
        <v>36</v>
      </c>
      <c r="E160" s="3" t="s">
        <v>11</v>
      </c>
      <c r="F160" s="3" t="s">
        <v>12</v>
      </c>
      <c r="G160" s="4">
        <v>4407.1499999999996</v>
      </c>
    </row>
    <row r="161" spans="1:7" x14ac:dyDescent="0.25">
      <c r="A161" s="5" t="s">
        <v>208</v>
      </c>
      <c r="B161" s="7">
        <v>46012</v>
      </c>
      <c r="C161" s="5" t="s">
        <v>15</v>
      </c>
      <c r="D161" s="5" t="s">
        <v>36</v>
      </c>
      <c r="E161" s="5" t="s">
        <v>26</v>
      </c>
      <c r="F161" s="5" t="s">
        <v>32</v>
      </c>
      <c r="G161" s="6">
        <v>4240.49</v>
      </c>
    </row>
    <row r="162" spans="1:7" x14ac:dyDescent="0.25">
      <c r="A162" s="3" t="s">
        <v>209</v>
      </c>
      <c r="B162" s="8">
        <v>45850</v>
      </c>
      <c r="C162" s="3" t="s">
        <v>21</v>
      </c>
      <c r="D162" s="3" t="s">
        <v>36</v>
      </c>
      <c r="E162" s="3" t="s">
        <v>22</v>
      </c>
      <c r="F162" s="3" t="s">
        <v>34</v>
      </c>
      <c r="G162" s="4">
        <v>2739.91</v>
      </c>
    </row>
    <row r="163" spans="1:7" x14ac:dyDescent="0.25">
      <c r="A163" s="5" t="s">
        <v>210</v>
      </c>
      <c r="B163" s="7">
        <v>45901</v>
      </c>
      <c r="C163" s="5" t="s">
        <v>9</v>
      </c>
      <c r="D163" s="5" t="s">
        <v>10</v>
      </c>
      <c r="E163" s="5" t="s">
        <v>46</v>
      </c>
      <c r="F163" s="5" t="s">
        <v>41</v>
      </c>
      <c r="G163" s="6">
        <v>11975.4</v>
      </c>
    </row>
    <row r="164" spans="1:7" x14ac:dyDescent="0.25">
      <c r="A164" s="3" t="s">
        <v>211</v>
      </c>
      <c r="B164" s="8">
        <v>45994</v>
      </c>
      <c r="C164" s="3" t="s">
        <v>43</v>
      </c>
      <c r="D164" s="3" t="s">
        <v>10</v>
      </c>
      <c r="E164" s="3" t="s">
        <v>38</v>
      </c>
      <c r="F164" s="3" t="s">
        <v>41</v>
      </c>
      <c r="G164" s="4">
        <v>2130.73</v>
      </c>
    </row>
    <row r="165" spans="1:7" x14ac:dyDescent="0.25">
      <c r="A165" s="5" t="s">
        <v>212</v>
      </c>
      <c r="B165" s="7">
        <v>45785</v>
      </c>
      <c r="C165" s="5" t="s">
        <v>54</v>
      </c>
      <c r="D165" s="5" t="s">
        <v>36</v>
      </c>
      <c r="E165" s="5" t="s">
        <v>11</v>
      </c>
      <c r="F165" s="5" t="s">
        <v>75</v>
      </c>
      <c r="G165" s="6">
        <v>5686.01</v>
      </c>
    </row>
    <row r="166" spans="1:7" x14ac:dyDescent="0.25">
      <c r="A166" s="3" t="s">
        <v>213</v>
      </c>
      <c r="B166" s="8">
        <v>45889</v>
      </c>
      <c r="C166" s="3" t="s">
        <v>15</v>
      </c>
      <c r="D166" s="3" t="s">
        <v>10</v>
      </c>
      <c r="E166" s="3" t="s">
        <v>17</v>
      </c>
      <c r="F166" s="3" t="s">
        <v>34</v>
      </c>
      <c r="G166" s="4">
        <v>13856.26</v>
      </c>
    </row>
    <row r="167" spans="1:7" x14ac:dyDescent="0.25">
      <c r="A167" s="5" t="s">
        <v>214</v>
      </c>
      <c r="B167" s="7">
        <v>46005</v>
      </c>
      <c r="C167" s="5" t="s">
        <v>40</v>
      </c>
      <c r="D167" s="5" t="s">
        <v>25</v>
      </c>
      <c r="E167" s="5" t="s">
        <v>26</v>
      </c>
      <c r="F167" s="5" t="s">
        <v>30</v>
      </c>
      <c r="G167" s="6">
        <v>13437.75</v>
      </c>
    </row>
    <row r="168" spans="1:7" x14ac:dyDescent="0.25">
      <c r="A168" s="3" t="s">
        <v>215</v>
      </c>
      <c r="B168" s="8">
        <v>45920</v>
      </c>
      <c r="C168" s="3" t="s">
        <v>9</v>
      </c>
      <c r="D168" s="3" t="s">
        <v>25</v>
      </c>
      <c r="E168" s="3" t="s">
        <v>51</v>
      </c>
      <c r="F168" s="3" t="s">
        <v>75</v>
      </c>
      <c r="G168" s="4">
        <v>3761.05</v>
      </c>
    </row>
    <row r="169" spans="1:7" x14ac:dyDescent="0.25">
      <c r="A169" s="5" t="s">
        <v>216</v>
      </c>
      <c r="B169" s="7">
        <v>45973</v>
      </c>
      <c r="C169" s="5" t="s">
        <v>56</v>
      </c>
      <c r="D169" s="5" t="s">
        <v>25</v>
      </c>
      <c r="E169" s="5" t="s">
        <v>22</v>
      </c>
      <c r="F169" s="5" t="s">
        <v>27</v>
      </c>
      <c r="G169" s="6">
        <v>10178.200000000001</v>
      </c>
    </row>
    <row r="170" spans="1:7" x14ac:dyDescent="0.25">
      <c r="A170" s="3" t="s">
        <v>217</v>
      </c>
      <c r="B170" s="8">
        <v>45863</v>
      </c>
      <c r="C170" s="3" t="s">
        <v>54</v>
      </c>
      <c r="D170" s="3" t="s">
        <v>10</v>
      </c>
      <c r="E170" s="3" t="s">
        <v>51</v>
      </c>
      <c r="F170" s="3" t="s">
        <v>60</v>
      </c>
      <c r="G170" s="4">
        <v>1524.17</v>
      </c>
    </row>
    <row r="171" spans="1:7" x14ac:dyDescent="0.25">
      <c r="A171" s="5" t="s">
        <v>218</v>
      </c>
      <c r="B171" s="7">
        <v>45764</v>
      </c>
      <c r="C171" s="5" t="s">
        <v>9</v>
      </c>
      <c r="D171" s="5" t="s">
        <v>36</v>
      </c>
      <c r="E171" s="5" t="s">
        <v>59</v>
      </c>
      <c r="F171" s="5" t="s">
        <v>12</v>
      </c>
      <c r="G171" s="63" t="s">
        <v>219</v>
      </c>
    </row>
    <row r="172" spans="1:7" x14ac:dyDescent="0.25">
      <c r="A172" s="3" t="s">
        <v>220</v>
      </c>
      <c r="B172" s="8">
        <v>45980</v>
      </c>
      <c r="C172" s="3" t="s">
        <v>9</v>
      </c>
      <c r="D172" s="3" t="s">
        <v>36</v>
      </c>
      <c r="E172" s="3" t="s">
        <v>26</v>
      </c>
      <c r="F172" s="3" t="s">
        <v>60</v>
      </c>
      <c r="G172" s="4">
        <v>7267.43</v>
      </c>
    </row>
    <row r="173" spans="1:7" x14ac:dyDescent="0.25">
      <c r="A173" s="5" t="s">
        <v>221</v>
      </c>
      <c r="B173" s="7">
        <v>45791</v>
      </c>
      <c r="C173" s="5" t="s">
        <v>21</v>
      </c>
      <c r="D173" s="5" t="s">
        <v>25</v>
      </c>
      <c r="E173" s="5" t="s">
        <v>29</v>
      </c>
      <c r="F173" s="5" t="s">
        <v>12</v>
      </c>
      <c r="G173" s="6">
        <v>4712.76</v>
      </c>
    </row>
    <row r="174" spans="1:7" x14ac:dyDescent="0.25">
      <c r="A174" s="3" t="s">
        <v>222</v>
      </c>
      <c r="B174" s="8">
        <v>45895</v>
      </c>
      <c r="C174" s="3" t="s">
        <v>56</v>
      </c>
      <c r="D174" s="3" t="s">
        <v>10</v>
      </c>
      <c r="E174" s="3" t="s">
        <v>26</v>
      </c>
      <c r="F174" s="3" t="s">
        <v>41</v>
      </c>
      <c r="G174" s="4">
        <v>1509.46</v>
      </c>
    </row>
    <row r="175" spans="1:7" x14ac:dyDescent="0.25">
      <c r="A175" s="5" t="s">
        <v>223</v>
      </c>
      <c r="B175" s="7">
        <v>46014</v>
      </c>
      <c r="C175" s="5" t="s">
        <v>15</v>
      </c>
      <c r="D175" s="5" t="s">
        <v>16</v>
      </c>
      <c r="E175" s="5" t="s">
        <v>51</v>
      </c>
      <c r="F175" s="5" t="s">
        <v>18</v>
      </c>
      <c r="G175" s="6">
        <v>718.01</v>
      </c>
    </row>
    <row r="176" spans="1:7" x14ac:dyDescent="0.25">
      <c r="A176" s="3" t="s">
        <v>224</v>
      </c>
      <c r="B176" s="8">
        <v>45995</v>
      </c>
      <c r="C176" s="3" t="s">
        <v>21</v>
      </c>
      <c r="D176" s="3" t="s">
        <v>16</v>
      </c>
      <c r="E176" s="3" t="s">
        <v>38</v>
      </c>
      <c r="F176" s="3" t="s">
        <v>47</v>
      </c>
      <c r="G176" s="4">
        <v>10173.23</v>
      </c>
    </row>
    <row r="177" spans="1:7" x14ac:dyDescent="0.25">
      <c r="A177" s="5" t="s">
        <v>225</v>
      </c>
      <c r="B177" s="7">
        <v>45740</v>
      </c>
      <c r="C177" s="5" t="s">
        <v>56</v>
      </c>
      <c r="D177" s="5" t="s">
        <v>36</v>
      </c>
      <c r="E177" s="5" t="s">
        <v>17</v>
      </c>
      <c r="F177" s="5" t="s">
        <v>44</v>
      </c>
      <c r="G177" s="6">
        <v>4998.3</v>
      </c>
    </row>
    <row r="178" spans="1:7" x14ac:dyDescent="0.25">
      <c r="A178" s="3" t="s">
        <v>226</v>
      </c>
      <c r="B178" s="8">
        <v>45853</v>
      </c>
      <c r="C178" s="3" t="s">
        <v>56</v>
      </c>
      <c r="D178" s="3" t="s">
        <v>10</v>
      </c>
      <c r="E178" s="3" t="s">
        <v>38</v>
      </c>
      <c r="F178" s="3" t="s">
        <v>44</v>
      </c>
      <c r="G178" s="4">
        <v>2836.48</v>
      </c>
    </row>
    <row r="179" spans="1:7" x14ac:dyDescent="0.25">
      <c r="A179" s="5" t="s">
        <v>227</v>
      </c>
      <c r="B179" s="7">
        <v>45975</v>
      </c>
      <c r="C179" s="5" t="s">
        <v>15</v>
      </c>
      <c r="D179" s="5" t="s">
        <v>25</v>
      </c>
      <c r="E179" s="5" t="s">
        <v>22</v>
      </c>
      <c r="F179" s="5" t="s">
        <v>62</v>
      </c>
      <c r="G179" s="6">
        <v>3000</v>
      </c>
    </row>
    <row r="180" spans="1:7" x14ac:dyDescent="0.25">
      <c r="A180" s="3" t="s">
        <v>228</v>
      </c>
      <c r="B180" s="8">
        <v>45944</v>
      </c>
      <c r="C180" s="3" t="s">
        <v>15</v>
      </c>
      <c r="D180" s="3" t="s">
        <v>25</v>
      </c>
      <c r="E180" s="3" t="s">
        <v>46</v>
      </c>
      <c r="F180" s="3" t="s">
        <v>57</v>
      </c>
      <c r="G180" s="4">
        <v>4211.26</v>
      </c>
    </row>
    <row r="181" spans="1:7" x14ac:dyDescent="0.25">
      <c r="A181" s="5" t="s">
        <v>229</v>
      </c>
      <c r="B181" s="7">
        <v>46017</v>
      </c>
      <c r="C181" s="5" t="s">
        <v>43</v>
      </c>
      <c r="D181" s="5" t="s">
        <v>25</v>
      </c>
      <c r="E181" s="5" t="s">
        <v>22</v>
      </c>
      <c r="F181" s="5" t="s">
        <v>47</v>
      </c>
      <c r="G181" s="6">
        <v>12002.56</v>
      </c>
    </row>
    <row r="182" spans="1:7" x14ac:dyDescent="0.25">
      <c r="A182" s="3" t="s">
        <v>230</v>
      </c>
      <c r="B182" s="8">
        <v>45906</v>
      </c>
      <c r="C182" s="3" t="s">
        <v>54</v>
      </c>
      <c r="D182" s="3" t="s">
        <v>16</v>
      </c>
      <c r="E182" s="3" t="s">
        <v>46</v>
      </c>
      <c r="F182" s="3" t="s">
        <v>41</v>
      </c>
      <c r="G182" s="4">
        <v>1753.63</v>
      </c>
    </row>
    <row r="183" spans="1:7" x14ac:dyDescent="0.25">
      <c r="A183" s="5" t="s">
        <v>231</v>
      </c>
      <c r="B183" s="7">
        <v>45989</v>
      </c>
      <c r="C183" s="5" t="s">
        <v>15</v>
      </c>
      <c r="D183" s="5" t="s">
        <v>16</v>
      </c>
      <c r="E183" s="5" t="s">
        <v>22</v>
      </c>
      <c r="F183" s="5" t="s">
        <v>32</v>
      </c>
      <c r="G183" s="6">
        <v>9189.06</v>
      </c>
    </row>
    <row r="184" spans="1:7" x14ac:dyDescent="0.25">
      <c r="A184" s="3" t="s">
        <v>232</v>
      </c>
      <c r="B184" s="8">
        <v>45934</v>
      </c>
      <c r="C184" s="3" t="s">
        <v>54</v>
      </c>
      <c r="D184" s="3" t="s">
        <v>16</v>
      </c>
      <c r="E184" s="3" t="s">
        <v>59</v>
      </c>
      <c r="F184" s="3" t="s">
        <v>70</v>
      </c>
      <c r="G184" s="4">
        <v>2629.29</v>
      </c>
    </row>
    <row r="185" spans="1:7" x14ac:dyDescent="0.25">
      <c r="A185" s="5" t="s">
        <v>233</v>
      </c>
      <c r="B185" s="7">
        <v>45984</v>
      </c>
      <c r="C185" s="5" t="s">
        <v>43</v>
      </c>
      <c r="D185" s="5" t="s">
        <v>16</v>
      </c>
      <c r="E185" s="5" t="s">
        <v>22</v>
      </c>
      <c r="F185" s="5" t="s">
        <v>70</v>
      </c>
      <c r="G185" s="6">
        <v>1317.04</v>
      </c>
    </row>
    <row r="186" spans="1:7" x14ac:dyDescent="0.25">
      <c r="A186" s="3" t="s">
        <v>234</v>
      </c>
      <c r="B186" s="8">
        <v>45727</v>
      </c>
      <c r="C186" s="3" t="s">
        <v>21</v>
      </c>
      <c r="D186" s="3" t="s">
        <v>36</v>
      </c>
      <c r="E186" s="3" t="s">
        <v>87</v>
      </c>
      <c r="F186" s="3" t="s">
        <v>47</v>
      </c>
      <c r="G186" s="4">
        <v>2786.52</v>
      </c>
    </row>
    <row r="187" spans="1:7" x14ac:dyDescent="0.25">
      <c r="A187" s="5" t="s">
        <v>235</v>
      </c>
      <c r="B187" s="7">
        <v>45996</v>
      </c>
      <c r="C187" s="5" t="s">
        <v>40</v>
      </c>
      <c r="D187" s="5" t="s">
        <v>10</v>
      </c>
      <c r="E187" s="5" t="s">
        <v>11</v>
      </c>
      <c r="F187" s="5" t="s">
        <v>70</v>
      </c>
      <c r="G187" s="6">
        <v>2111.12</v>
      </c>
    </row>
    <row r="188" spans="1:7" x14ac:dyDescent="0.25">
      <c r="A188" s="3" t="s">
        <v>236</v>
      </c>
      <c r="B188" s="8">
        <v>45852</v>
      </c>
      <c r="C188" s="3" t="s">
        <v>56</v>
      </c>
      <c r="D188" s="3" t="s">
        <v>10</v>
      </c>
      <c r="E188" s="3" t="s">
        <v>38</v>
      </c>
      <c r="F188" s="3" t="s">
        <v>34</v>
      </c>
      <c r="G188" s="4">
        <v>10416.82</v>
      </c>
    </row>
    <row r="189" spans="1:7" x14ac:dyDescent="0.25">
      <c r="A189" s="5" t="s">
        <v>237</v>
      </c>
      <c r="B189" s="7">
        <v>45967</v>
      </c>
      <c r="C189" s="5" t="s">
        <v>40</v>
      </c>
      <c r="D189" s="5" t="s">
        <v>36</v>
      </c>
      <c r="E189" s="5" t="s">
        <v>59</v>
      </c>
      <c r="F189" s="5" t="s">
        <v>18</v>
      </c>
      <c r="G189" s="6">
        <v>2147.4299999999998</v>
      </c>
    </row>
    <row r="190" spans="1:7" x14ac:dyDescent="0.25">
      <c r="A190" s="3" t="s">
        <v>238</v>
      </c>
      <c r="B190" s="8">
        <v>45835</v>
      </c>
      <c r="C190" s="3" t="s">
        <v>15</v>
      </c>
      <c r="D190" s="3" t="s">
        <v>25</v>
      </c>
      <c r="E190" s="3" t="s">
        <v>26</v>
      </c>
      <c r="F190" s="3" t="s">
        <v>60</v>
      </c>
      <c r="G190" s="64" t="s">
        <v>239</v>
      </c>
    </row>
    <row r="191" spans="1:7" x14ac:dyDescent="0.25">
      <c r="A191" s="5" t="s">
        <v>240</v>
      </c>
      <c r="B191" s="7">
        <v>45774</v>
      </c>
      <c r="C191" s="5" t="s">
        <v>15</v>
      </c>
      <c r="D191" s="5" t="s">
        <v>10</v>
      </c>
      <c r="E191" s="5" t="s">
        <v>11</v>
      </c>
      <c r="F191" s="5" t="s">
        <v>27</v>
      </c>
      <c r="G191" s="6">
        <v>7401.3</v>
      </c>
    </row>
    <row r="192" spans="1:7" x14ac:dyDescent="0.25">
      <c r="A192" s="3" t="s">
        <v>241</v>
      </c>
      <c r="B192" s="8">
        <v>46018</v>
      </c>
      <c r="C192" s="3" t="s">
        <v>15</v>
      </c>
      <c r="D192" s="3" t="s">
        <v>10</v>
      </c>
      <c r="E192" s="3" t="s">
        <v>29</v>
      </c>
      <c r="F192" s="3" t="s">
        <v>47</v>
      </c>
      <c r="G192" s="4">
        <v>8502.7000000000007</v>
      </c>
    </row>
    <row r="193" spans="1:7" x14ac:dyDescent="0.25">
      <c r="A193" s="5" t="s">
        <v>242</v>
      </c>
      <c r="B193" s="7">
        <v>45757</v>
      </c>
      <c r="C193" s="5" t="s">
        <v>21</v>
      </c>
      <c r="D193" s="5" t="s">
        <v>16</v>
      </c>
      <c r="E193" s="5" t="s">
        <v>46</v>
      </c>
      <c r="F193" s="5" t="s">
        <v>34</v>
      </c>
      <c r="G193" s="6">
        <v>4365.62</v>
      </c>
    </row>
    <row r="194" spans="1:7" x14ac:dyDescent="0.25">
      <c r="A194" s="3" t="s">
        <v>243</v>
      </c>
      <c r="B194" s="8">
        <v>45888</v>
      </c>
      <c r="C194" s="3" t="s">
        <v>9</v>
      </c>
      <c r="D194" s="3" t="s">
        <v>10</v>
      </c>
      <c r="E194" s="3" t="s">
        <v>17</v>
      </c>
      <c r="F194" s="3" t="s">
        <v>34</v>
      </c>
      <c r="G194" s="4">
        <v>1742.5</v>
      </c>
    </row>
    <row r="195" spans="1:7" x14ac:dyDescent="0.25">
      <c r="A195" s="5" t="s">
        <v>244</v>
      </c>
      <c r="B195" s="7">
        <v>45697</v>
      </c>
      <c r="C195" s="5" t="s">
        <v>43</v>
      </c>
      <c r="D195" s="5" t="s">
        <v>16</v>
      </c>
      <c r="E195" s="5" t="s">
        <v>17</v>
      </c>
      <c r="F195" s="5" t="s">
        <v>23</v>
      </c>
      <c r="G195" s="6">
        <v>11363.95</v>
      </c>
    </row>
    <row r="196" spans="1:7" x14ac:dyDescent="0.25">
      <c r="A196" s="3" t="s">
        <v>245</v>
      </c>
      <c r="B196" s="8">
        <v>46006</v>
      </c>
      <c r="C196" s="3" t="s">
        <v>40</v>
      </c>
      <c r="D196" s="3" t="s">
        <v>36</v>
      </c>
      <c r="E196" s="3" t="s">
        <v>11</v>
      </c>
      <c r="F196" s="3" t="s">
        <v>47</v>
      </c>
      <c r="G196" s="4">
        <v>11053.03</v>
      </c>
    </row>
    <row r="197" spans="1:7" x14ac:dyDescent="0.25">
      <c r="A197" s="5" t="s">
        <v>246</v>
      </c>
      <c r="B197" s="7">
        <v>45986</v>
      </c>
      <c r="C197" s="5" t="s">
        <v>56</v>
      </c>
      <c r="D197" s="5" t="s">
        <v>16</v>
      </c>
      <c r="E197" s="5" t="s">
        <v>77</v>
      </c>
      <c r="F197" s="5" t="s">
        <v>41</v>
      </c>
      <c r="G197" s="6">
        <v>3979.09</v>
      </c>
    </row>
    <row r="198" spans="1:7" x14ac:dyDescent="0.25">
      <c r="A198" s="3" t="s">
        <v>247</v>
      </c>
      <c r="B198" s="8">
        <v>45703</v>
      </c>
      <c r="C198" s="3" t="s">
        <v>43</v>
      </c>
      <c r="D198" s="3" t="s">
        <v>25</v>
      </c>
      <c r="E198" s="3" t="s">
        <v>46</v>
      </c>
      <c r="F198" s="3" t="s">
        <v>57</v>
      </c>
      <c r="G198" s="4">
        <v>12170.01</v>
      </c>
    </row>
    <row r="199" spans="1:7" x14ac:dyDescent="0.25">
      <c r="A199" s="5" t="s">
        <v>248</v>
      </c>
      <c r="B199" s="7">
        <v>45953</v>
      </c>
      <c r="C199" s="5" t="s">
        <v>54</v>
      </c>
      <c r="D199" s="5" t="s">
        <v>10</v>
      </c>
      <c r="E199" s="5" t="s">
        <v>29</v>
      </c>
      <c r="F199" s="5" t="s">
        <v>70</v>
      </c>
      <c r="G199" s="6">
        <v>2131.56</v>
      </c>
    </row>
    <row r="200" spans="1:7" x14ac:dyDescent="0.25">
      <c r="A200" s="3" t="s">
        <v>249</v>
      </c>
      <c r="B200" s="8">
        <v>45774</v>
      </c>
      <c r="C200" s="3" t="s">
        <v>56</v>
      </c>
      <c r="D200" s="3" t="s">
        <v>25</v>
      </c>
      <c r="E200" s="3" t="s">
        <v>22</v>
      </c>
      <c r="F200" s="3" t="s">
        <v>12</v>
      </c>
      <c r="G200" s="4">
        <v>8007.6</v>
      </c>
    </row>
    <row r="201" spans="1:7" x14ac:dyDescent="0.25">
      <c r="A201" s="5" t="s">
        <v>250</v>
      </c>
      <c r="B201" s="7">
        <v>45948</v>
      </c>
      <c r="C201" s="5" t="s">
        <v>56</v>
      </c>
      <c r="D201" s="5" t="s">
        <v>16</v>
      </c>
      <c r="E201" s="5" t="s">
        <v>87</v>
      </c>
      <c r="F201" s="5" t="s">
        <v>18</v>
      </c>
      <c r="G201" s="6">
        <v>8612.4</v>
      </c>
    </row>
    <row r="202" spans="1:7" x14ac:dyDescent="0.25">
      <c r="A202" s="3" t="s">
        <v>251</v>
      </c>
      <c r="B202" s="8">
        <v>45922</v>
      </c>
      <c r="C202" s="3" t="s">
        <v>43</v>
      </c>
      <c r="D202" s="3" t="s">
        <v>25</v>
      </c>
      <c r="E202" s="3" t="s">
        <v>29</v>
      </c>
      <c r="F202" s="3" t="s">
        <v>75</v>
      </c>
      <c r="G202" s="4">
        <v>11796.08</v>
      </c>
    </row>
    <row r="203" spans="1:7" x14ac:dyDescent="0.25">
      <c r="A203" s="5" t="s">
        <v>252</v>
      </c>
      <c r="B203" s="7">
        <v>45666</v>
      </c>
      <c r="C203" s="5" t="s">
        <v>43</v>
      </c>
      <c r="D203" s="5" t="s">
        <v>36</v>
      </c>
      <c r="E203" s="5" t="s">
        <v>29</v>
      </c>
      <c r="F203" s="5" t="s">
        <v>57</v>
      </c>
      <c r="G203" s="6">
        <v>2236.34</v>
      </c>
    </row>
    <row r="204" spans="1:7" x14ac:dyDescent="0.25">
      <c r="A204" s="3" t="s">
        <v>253</v>
      </c>
      <c r="B204" s="8">
        <v>45835</v>
      </c>
      <c r="C204" s="3" t="s">
        <v>56</v>
      </c>
      <c r="D204" s="3" t="s">
        <v>10</v>
      </c>
      <c r="E204" s="3" t="s">
        <v>59</v>
      </c>
      <c r="F204" s="3" t="s">
        <v>44</v>
      </c>
      <c r="G204" s="4">
        <v>8682.51</v>
      </c>
    </row>
    <row r="205" spans="1:7" x14ac:dyDescent="0.25">
      <c r="A205" s="5" t="s">
        <v>254</v>
      </c>
      <c r="B205" s="7">
        <v>45798</v>
      </c>
      <c r="C205" s="5" t="s">
        <v>15</v>
      </c>
      <c r="D205" s="5" t="s">
        <v>10</v>
      </c>
      <c r="E205" s="5" t="s">
        <v>59</v>
      </c>
      <c r="F205" s="5" t="s">
        <v>47</v>
      </c>
      <c r="G205" s="6">
        <v>9522.74</v>
      </c>
    </row>
    <row r="206" spans="1:7" x14ac:dyDescent="0.25">
      <c r="A206" s="3" t="s">
        <v>255</v>
      </c>
      <c r="B206" s="8">
        <v>45701</v>
      </c>
      <c r="C206" s="3" t="s">
        <v>40</v>
      </c>
      <c r="D206" s="3" t="s">
        <v>16</v>
      </c>
      <c r="E206" s="3" t="s">
        <v>26</v>
      </c>
      <c r="F206" s="3" t="s">
        <v>41</v>
      </c>
      <c r="G206" s="4">
        <v>14256.3</v>
      </c>
    </row>
    <row r="207" spans="1:7" x14ac:dyDescent="0.25">
      <c r="A207" s="5" t="s">
        <v>256</v>
      </c>
      <c r="B207" s="7">
        <v>45827</v>
      </c>
      <c r="C207" s="5" t="s">
        <v>21</v>
      </c>
      <c r="D207" s="5" t="s">
        <v>25</v>
      </c>
      <c r="E207" s="5" t="s">
        <v>59</v>
      </c>
      <c r="F207" s="5" t="s">
        <v>27</v>
      </c>
      <c r="G207" s="6">
        <v>9978.9500000000007</v>
      </c>
    </row>
    <row r="208" spans="1:7" x14ac:dyDescent="0.25">
      <c r="A208" s="3" t="s">
        <v>257</v>
      </c>
      <c r="B208" s="8">
        <v>45836</v>
      </c>
      <c r="C208" s="3" t="s">
        <v>21</v>
      </c>
      <c r="D208" s="3" t="s">
        <v>10</v>
      </c>
      <c r="E208" s="3" t="s">
        <v>46</v>
      </c>
      <c r="F208" s="3" t="s">
        <v>32</v>
      </c>
      <c r="G208" s="4">
        <v>12381.47</v>
      </c>
    </row>
    <row r="209" spans="1:7" x14ac:dyDescent="0.25">
      <c r="A209" s="5" t="s">
        <v>258</v>
      </c>
      <c r="B209" s="7">
        <v>45878</v>
      </c>
      <c r="C209" s="5" t="s">
        <v>54</v>
      </c>
      <c r="D209" s="5" t="s">
        <v>16</v>
      </c>
      <c r="E209" s="5" t="s">
        <v>26</v>
      </c>
      <c r="F209" s="5" t="s">
        <v>34</v>
      </c>
      <c r="G209" s="6">
        <v>8690.11</v>
      </c>
    </row>
    <row r="210" spans="1:7" x14ac:dyDescent="0.25">
      <c r="A210" s="3" t="s">
        <v>259</v>
      </c>
      <c r="B210" s="8">
        <v>45958</v>
      </c>
      <c r="C210" s="3" t="s">
        <v>15</v>
      </c>
      <c r="D210" s="3" t="s">
        <v>16</v>
      </c>
      <c r="E210" s="3" t="s">
        <v>38</v>
      </c>
      <c r="F210" s="3" t="s">
        <v>75</v>
      </c>
      <c r="G210" s="4">
        <v>773.72</v>
      </c>
    </row>
    <row r="211" spans="1:7" x14ac:dyDescent="0.25">
      <c r="A211" s="5" t="s">
        <v>260</v>
      </c>
      <c r="B211" s="7">
        <v>45709</v>
      </c>
      <c r="C211" s="5" t="s">
        <v>43</v>
      </c>
      <c r="D211" s="5" t="s">
        <v>10</v>
      </c>
      <c r="E211" s="5" t="s">
        <v>77</v>
      </c>
      <c r="F211" s="5" t="s">
        <v>47</v>
      </c>
      <c r="G211" s="6">
        <v>13945.02</v>
      </c>
    </row>
    <row r="212" spans="1:7" x14ac:dyDescent="0.25">
      <c r="A212" s="3" t="s">
        <v>261</v>
      </c>
      <c r="B212" s="8">
        <v>45731</v>
      </c>
      <c r="C212" s="3" t="s">
        <v>15</v>
      </c>
      <c r="D212" s="3" t="s">
        <v>25</v>
      </c>
      <c r="E212" s="3" t="s">
        <v>11</v>
      </c>
      <c r="F212" s="3" t="s">
        <v>57</v>
      </c>
      <c r="G212" s="4">
        <v>14935.63</v>
      </c>
    </row>
    <row r="213" spans="1:7" x14ac:dyDescent="0.25">
      <c r="A213" s="5" t="s">
        <v>262</v>
      </c>
      <c r="B213" s="7">
        <v>45737</v>
      </c>
      <c r="C213" s="5" t="s">
        <v>54</v>
      </c>
      <c r="D213" s="5" t="s">
        <v>36</v>
      </c>
      <c r="E213" s="5" t="s">
        <v>87</v>
      </c>
      <c r="F213" s="5" t="s">
        <v>47</v>
      </c>
      <c r="G213" s="6">
        <v>9836.09</v>
      </c>
    </row>
    <row r="214" spans="1:7" x14ac:dyDescent="0.25">
      <c r="A214" s="3" t="s">
        <v>263</v>
      </c>
      <c r="B214" s="8">
        <v>45780</v>
      </c>
      <c r="C214" s="3" t="s">
        <v>54</v>
      </c>
      <c r="D214" s="3" t="s">
        <v>36</v>
      </c>
      <c r="E214" s="3" t="s">
        <v>77</v>
      </c>
      <c r="F214" s="3" t="s">
        <v>32</v>
      </c>
      <c r="G214" s="4">
        <v>9402.7800000000007</v>
      </c>
    </row>
    <row r="215" spans="1:7" x14ac:dyDescent="0.25">
      <c r="A215" s="5" t="s">
        <v>264</v>
      </c>
      <c r="B215" s="7">
        <v>46014</v>
      </c>
      <c r="C215" s="5" t="s">
        <v>43</v>
      </c>
      <c r="D215" s="5" t="s">
        <v>36</v>
      </c>
      <c r="E215" s="5" t="s">
        <v>11</v>
      </c>
      <c r="F215" s="5" t="s">
        <v>27</v>
      </c>
      <c r="G215" s="6">
        <v>1413.43</v>
      </c>
    </row>
    <row r="216" spans="1:7" x14ac:dyDescent="0.25">
      <c r="A216" s="3" t="s">
        <v>265</v>
      </c>
      <c r="B216" s="8">
        <v>45689</v>
      </c>
      <c r="C216" s="3" t="s">
        <v>56</v>
      </c>
      <c r="D216" s="3" t="s">
        <v>10</v>
      </c>
      <c r="E216" s="3" t="s">
        <v>51</v>
      </c>
      <c r="F216" s="3" t="s">
        <v>44</v>
      </c>
      <c r="G216" s="4">
        <v>8925.51</v>
      </c>
    </row>
    <row r="217" spans="1:7" x14ac:dyDescent="0.25">
      <c r="A217" s="5" t="s">
        <v>266</v>
      </c>
      <c r="B217" s="7">
        <v>45922</v>
      </c>
      <c r="C217" s="5" t="s">
        <v>15</v>
      </c>
      <c r="D217" s="5" t="s">
        <v>25</v>
      </c>
      <c r="E217" s="5" t="s">
        <v>77</v>
      </c>
      <c r="F217" s="5" t="s">
        <v>30</v>
      </c>
      <c r="G217" s="6">
        <v>5186.43</v>
      </c>
    </row>
    <row r="218" spans="1:7" x14ac:dyDescent="0.25">
      <c r="A218" s="3" t="s">
        <v>267</v>
      </c>
      <c r="B218" s="8">
        <v>45716</v>
      </c>
      <c r="C218" s="3" t="s">
        <v>15</v>
      </c>
      <c r="D218" s="3" t="s">
        <v>36</v>
      </c>
      <c r="E218" s="3" t="s">
        <v>59</v>
      </c>
      <c r="F218" s="3" t="s">
        <v>47</v>
      </c>
      <c r="G218" s="4">
        <v>3472.76</v>
      </c>
    </row>
    <row r="219" spans="1:7" x14ac:dyDescent="0.25">
      <c r="A219" s="5" t="s">
        <v>268</v>
      </c>
      <c r="B219" s="7">
        <v>45712</v>
      </c>
      <c r="C219" s="5" t="s">
        <v>43</v>
      </c>
      <c r="D219" s="5" t="s">
        <v>25</v>
      </c>
      <c r="E219" s="5" t="s">
        <v>51</v>
      </c>
      <c r="F219" s="5" t="s">
        <v>12</v>
      </c>
      <c r="G219" s="6">
        <v>5545.05</v>
      </c>
    </row>
    <row r="220" spans="1:7" x14ac:dyDescent="0.25">
      <c r="A220" s="3" t="s">
        <v>269</v>
      </c>
      <c r="B220" s="8">
        <v>45782</v>
      </c>
      <c r="C220" s="3" t="s">
        <v>15</v>
      </c>
      <c r="D220" s="3" t="s">
        <v>36</v>
      </c>
      <c r="E220" s="3" t="s">
        <v>38</v>
      </c>
      <c r="F220" s="3" t="s">
        <v>27</v>
      </c>
      <c r="G220" s="4">
        <v>2185.65</v>
      </c>
    </row>
    <row r="221" spans="1:7" x14ac:dyDescent="0.25">
      <c r="A221" s="5" t="s">
        <v>270</v>
      </c>
      <c r="B221" s="7">
        <v>45919</v>
      </c>
      <c r="C221" s="5" t="s">
        <v>21</v>
      </c>
      <c r="D221" s="5" t="s">
        <v>36</v>
      </c>
      <c r="E221" s="5" t="s">
        <v>59</v>
      </c>
      <c r="F221" s="5" t="s">
        <v>12</v>
      </c>
      <c r="G221" s="6">
        <v>10850.36</v>
      </c>
    </row>
    <row r="222" spans="1:7" x14ac:dyDescent="0.25">
      <c r="A222" s="3" t="s">
        <v>271</v>
      </c>
      <c r="B222" s="8">
        <v>45985</v>
      </c>
      <c r="C222" s="3" t="s">
        <v>56</v>
      </c>
      <c r="D222" s="3" t="s">
        <v>10</v>
      </c>
      <c r="E222" s="3" t="s">
        <v>22</v>
      </c>
      <c r="F222" s="3" t="s">
        <v>27</v>
      </c>
      <c r="G222" s="4">
        <v>6663.64</v>
      </c>
    </row>
    <row r="223" spans="1:7" x14ac:dyDescent="0.25">
      <c r="A223" s="5" t="s">
        <v>272</v>
      </c>
      <c r="B223" s="7">
        <v>45750</v>
      </c>
      <c r="C223" s="5" t="s">
        <v>21</v>
      </c>
      <c r="D223" s="5" t="s">
        <v>36</v>
      </c>
      <c r="E223" s="5" t="s">
        <v>51</v>
      </c>
      <c r="F223" s="5" t="s">
        <v>70</v>
      </c>
      <c r="G223" s="6">
        <v>10963.64</v>
      </c>
    </row>
    <row r="224" spans="1:7" x14ac:dyDescent="0.25">
      <c r="A224" s="3" t="s">
        <v>273</v>
      </c>
      <c r="B224" s="8">
        <v>45822</v>
      </c>
      <c r="C224" s="3" t="s">
        <v>54</v>
      </c>
      <c r="D224" s="3" t="s">
        <v>36</v>
      </c>
      <c r="E224" s="3" t="s">
        <v>46</v>
      </c>
      <c r="F224" s="3" t="s">
        <v>18</v>
      </c>
      <c r="G224" s="4">
        <v>9687.08</v>
      </c>
    </row>
    <row r="225" spans="1:7" x14ac:dyDescent="0.25">
      <c r="A225" s="5" t="s">
        <v>274</v>
      </c>
      <c r="B225" s="7">
        <v>45765</v>
      </c>
      <c r="C225" s="5" t="s">
        <v>40</v>
      </c>
      <c r="D225" s="5" t="s">
        <v>16</v>
      </c>
      <c r="E225" s="5" t="s">
        <v>77</v>
      </c>
      <c r="F225" s="5" t="s">
        <v>23</v>
      </c>
      <c r="G225" s="6">
        <v>12713.7</v>
      </c>
    </row>
    <row r="226" spans="1:7" x14ac:dyDescent="0.25">
      <c r="A226" s="3" t="s">
        <v>275</v>
      </c>
      <c r="B226" s="8">
        <v>45784</v>
      </c>
      <c r="C226" s="3" t="s">
        <v>40</v>
      </c>
      <c r="D226" s="3" t="s">
        <v>36</v>
      </c>
      <c r="E226" s="3" t="s">
        <v>11</v>
      </c>
      <c r="F226" s="3" t="s">
        <v>18</v>
      </c>
      <c r="G226" s="4">
        <v>9710.24</v>
      </c>
    </row>
    <row r="227" spans="1:7" x14ac:dyDescent="0.25">
      <c r="A227" s="5" t="s">
        <v>276</v>
      </c>
      <c r="B227" s="7">
        <v>45763</v>
      </c>
      <c r="C227" s="5" t="s">
        <v>15</v>
      </c>
      <c r="D227" s="5" t="s">
        <v>25</v>
      </c>
      <c r="E227" s="5" t="s">
        <v>46</v>
      </c>
      <c r="F227" s="5" t="s">
        <v>41</v>
      </c>
      <c r="G227" s="6">
        <v>9589.33</v>
      </c>
    </row>
    <row r="228" spans="1:7" x14ac:dyDescent="0.25">
      <c r="A228" s="3" t="s">
        <v>277</v>
      </c>
      <c r="B228" s="8">
        <v>45705</v>
      </c>
      <c r="C228" s="3" t="s">
        <v>21</v>
      </c>
      <c r="D228" s="3" t="s">
        <v>16</v>
      </c>
      <c r="E228" s="3" t="s">
        <v>26</v>
      </c>
      <c r="F228" s="3" t="s">
        <v>44</v>
      </c>
      <c r="G228" s="4">
        <v>5833.23</v>
      </c>
    </row>
    <row r="229" spans="1:7" x14ac:dyDescent="0.25">
      <c r="A229" s="5" t="s">
        <v>278</v>
      </c>
      <c r="B229" s="7">
        <v>45944</v>
      </c>
      <c r="C229" s="5" t="s">
        <v>54</v>
      </c>
      <c r="D229" s="5" t="s">
        <v>36</v>
      </c>
      <c r="E229" s="5" t="s">
        <v>59</v>
      </c>
      <c r="F229" s="5" t="s">
        <v>75</v>
      </c>
      <c r="G229" s="6">
        <v>1141.23</v>
      </c>
    </row>
    <row r="230" spans="1:7" x14ac:dyDescent="0.25">
      <c r="A230" s="3" t="s">
        <v>279</v>
      </c>
      <c r="B230" s="8">
        <v>45933</v>
      </c>
      <c r="C230" s="3" t="s">
        <v>21</v>
      </c>
      <c r="D230" s="3" t="s">
        <v>16</v>
      </c>
      <c r="E230" s="3" t="s">
        <v>46</v>
      </c>
      <c r="F230" s="3" t="s">
        <v>60</v>
      </c>
      <c r="G230" s="4">
        <v>13842.56</v>
      </c>
    </row>
    <row r="231" spans="1:7" x14ac:dyDescent="0.25">
      <c r="A231" s="5" t="s">
        <v>280</v>
      </c>
      <c r="B231" s="7">
        <v>45855</v>
      </c>
      <c r="C231" s="5" t="s">
        <v>54</v>
      </c>
      <c r="D231" s="5" t="s">
        <v>10</v>
      </c>
      <c r="E231" s="5" t="s">
        <v>11</v>
      </c>
      <c r="F231" s="5" t="s">
        <v>30</v>
      </c>
      <c r="G231" s="6">
        <v>6064.05</v>
      </c>
    </row>
    <row r="232" spans="1:7" x14ac:dyDescent="0.25">
      <c r="A232" s="3" t="s">
        <v>281</v>
      </c>
      <c r="B232" s="8">
        <v>45979</v>
      </c>
      <c r="C232" s="3" t="s">
        <v>40</v>
      </c>
      <c r="D232" s="3" t="s">
        <v>36</v>
      </c>
      <c r="E232" s="3" t="s">
        <v>87</v>
      </c>
      <c r="F232" s="3" t="s">
        <v>47</v>
      </c>
      <c r="G232" s="4">
        <v>4683.1099999999997</v>
      </c>
    </row>
    <row r="233" spans="1:7" x14ac:dyDescent="0.25">
      <c r="A233" s="5" t="s">
        <v>282</v>
      </c>
      <c r="B233" s="7">
        <v>45907</v>
      </c>
      <c r="C233" s="5" t="s">
        <v>43</v>
      </c>
      <c r="D233" s="5" t="s">
        <v>36</v>
      </c>
      <c r="E233" s="5" t="s">
        <v>17</v>
      </c>
      <c r="F233" s="5" t="s">
        <v>12</v>
      </c>
      <c r="G233" s="6">
        <v>5891.44</v>
      </c>
    </row>
    <row r="234" spans="1:7" x14ac:dyDescent="0.25">
      <c r="A234" s="3" t="s">
        <v>283</v>
      </c>
      <c r="B234" s="8">
        <v>45986</v>
      </c>
      <c r="C234" s="3" t="s">
        <v>43</v>
      </c>
      <c r="D234" s="3" t="s">
        <v>25</v>
      </c>
      <c r="E234" s="3" t="s">
        <v>87</v>
      </c>
      <c r="F234" s="3" t="s">
        <v>30</v>
      </c>
      <c r="G234" s="4">
        <v>6590.42</v>
      </c>
    </row>
    <row r="235" spans="1:7" x14ac:dyDescent="0.25">
      <c r="A235" s="5" t="s">
        <v>284</v>
      </c>
      <c r="B235" s="7">
        <v>45749</v>
      </c>
      <c r="C235" s="5" t="s">
        <v>56</v>
      </c>
      <c r="D235" s="5" t="s">
        <v>25</v>
      </c>
      <c r="E235" s="5" t="s">
        <v>11</v>
      </c>
      <c r="F235" s="5" t="s">
        <v>47</v>
      </c>
      <c r="G235" s="6">
        <v>6827.91</v>
      </c>
    </row>
    <row r="236" spans="1:7" x14ac:dyDescent="0.25">
      <c r="A236" s="3" t="s">
        <v>285</v>
      </c>
      <c r="B236" s="8">
        <v>45932</v>
      </c>
      <c r="C236" s="3" t="s">
        <v>54</v>
      </c>
      <c r="D236" s="3" t="s">
        <v>36</v>
      </c>
      <c r="E236" s="3" t="s">
        <v>51</v>
      </c>
      <c r="F236" s="3" t="s">
        <v>60</v>
      </c>
      <c r="G236" s="4">
        <v>10633.11</v>
      </c>
    </row>
    <row r="237" spans="1:7" x14ac:dyDescent="0.25">
      <c r="A237" s="5" t="s">
        <v>286</v>
      </c>
      <c r="B237" s="7">
        <v>45992</v>
      </c>
      <c r="C237" s="5" t="s">
        <v>56</v>
      </c>
      <c r="D237" s="5" t="s">
        <v>10</v>
      </c>
      <c r="E237" s="5" t="s">
        <v>26</v>
      </c>
      <c r="F237" s="5" t="s">
        <v>34</v>
      </c>
      <c r="G237" s="6">
        <v>7782.48</v>
      </c>
    </row>
    <row r="238" spans="1:7" x14ac:dyDescent="0.25">
      <c r="A238" s="3" t="s">
        <v>287</v>
      </c>
      <c r="B238" s="8">
        <v>46000</v>
      </c>
      <c r="C238" s="3" t="s">
        <v>56</v>
      </c>
      <c r="D238" s="3" t="s">
        <v>16</v>
      </c>
      <c r="E238" s="3" t="s">
        <v>29</v>
      </c>
      <c r="F238" s="3" t="s">
        <v>30</v>
      </c>
      <c r="G238" s="4">
        <v>11727.8</v>
      </c>
    </row>
    <row r="239" spans="1:7" x14ac:dyDescent="0.25">
      <c r="A239" s="5" t="s">
        <v>288</v>
      </c>
      <c r="B239" s="7">
        <v>45801</v>
      </c>
      <c r="C239" s="5" t="s">
        <v>21</v>
      </c>
      <c r="D239" s="5" t="s">
        <v>25</v>
      </c>
      <c r="E239" s="5" t="s">
        <v>26</v>
      </c>
      <c r="F239" s="5" t="s">
        <v>75</v>
      </c>
      <c r="G239" s="6">
        <v>6468.4</v>
      </c>
    </row>
    <row r="240" spans="1:7" x14ac:dyDescent="0.25">
      <c r="A240" s="3" t="s">
        <v>289</v>
      </c>
      <c r="B240" s="8">
        <v>45903</v>
      </c>
      <c r="C240" s="3" t="s">
        <v>54</v>
      </c>
      <c r="D240" s="3" t="s">
        <v>25</v>
      </c>
      <c r="E240" s="3" t="s">
        <v>59</v>
      </c>
      <c r="F240" s="3" t="s">
        <v>41</v>
      </c>
      <c r="G240" s="4">
        <v>7686.19</v>
      </c>
    </row>
    <row r="241" spans="1:7" x14ac:dyDescent="0.25">
      <c r="A241" s="5" t="s">
        <v>290</v>
      </c>
      <c r="B241" s="7">
        <v>45673</v>
      </c>
      <c r="C241" s="5" t="s">
        <v>43</v>
      </c>
      <c r="D241" s="5" t="s">
        <v>36</v>
      </c>
      <c r="E241" s="5" t="s">
        <v>26</v>
      </c>
      <c r="F241" s="5" t="s">
        <v>44</v>
      </c>
      <c r="G241" s="6">
        <v>3863.99</v>
      </c>
    </row>
    <row r="242" spans="1:7" x14ac:dyDescent="0.25">
      <c r="A242" s="3" t="s">
        <v>291</v>
      </c>
      <c r="B242" s="8">
        <v>45707</v>
      </c>
      <c r="C242" s="3" t="s">
        <v>9</v>
      </c>
      <c r="D242" s="3" t="s">
        <v>25</v>
      </c>
      <c r="E242" s="3" t="s">
        <v>46</v>
      </c>
      <c r="F242" s="3" t="s">
        <v>30</v>
      </c>
      <c r="G242" s="4">
        <v>7656.93</v>
      </c>
    </row>
    <row r="243" spans="1:7" x14ac:dyDescent="0.25">
      <c r="A243" s="5" t="s">
        <v>292</v>
      </c>
      <c r="B243" s="7">
        <v>45685</v>
      </c>
      <c r="C243" s="5" t="s">
        <v>43</v>
      </c>
      <c r="D243" s="5" t="s">
        <v>25</v>
      </c>
      <c r="E243" s="5" t="s">
        <v>46</v>
      </c>
      <c r="F243" s="5" t="s">
        <v>60</v>
      </c>
      <c r="G243" s="6">
        <v>7102.88</v>
      </c>
    </row>
    <row r="244" spans="1:7" x14ac:dyDescent="0.25">
      <c r="A244" s="3" t="s">
        <v>293</v>
      </c>
      <c r="B244" s="8">
        <v>45843</v>
      </c>
      <c r="C244" s="3" t="s">
        <v>56</v>
      </c>
      <c r="D244" s="3" t="s">
        <v>25</v>
      </c>
      <c r="E244" s="3" t="s">
        <v>17</v>
      </c>
      <c r="F244" s="3" t="s">
        <v>75</v>
      </c>
      <c r="G244" s="4">
        <v>13713.52</v>
      </c>
    </row>
    <row r="245" spans="1:7" x14ac:dyDescent="0.25">
      <c r="A245" s="5" t="s">
        <v>294</v>
      </c>
      <c r="B245" s="7">
        <v>46012</v>
      </c>
      <c r="C245" s="5" t="s">
        <v>15</v>
      </c>
      <c r="D245" s="5" t="s">
        <v>36</v>
      </c>
      <c r="E245" s="5" t="s">
        <v>26</v>
      </c>
      <c r="F245" s="5" t="s">
        <v>57</v>
      </c>
      <c r="G245" s="6">
        <v>6273.04</v>
      </c>
    </row>
    <row r="246" spans="1:7" x14ac:dyDescent="0.25">
      <c r="A246" s="3" t="s">
        <v>295</v>
      </c>
      <c r="B246" s="8">
        <v>46002</v>
      </c>
      <c r="C246" s="3" t="s">
        <v>54</v>
      </c>
      <c r="D246" s="3" t="s">
        <v>25</v>
      </c>
      <c r="E246" s="3" t="s">
        <v>22</v>
      </c>
      <c r="F246" s="3" t="s">
        <v>12</v>
      </c>
      <c r="G246" s="4">
        <v>1835.04</v>
      </c>
    </row>
    <row r="247" spans="1:7" x14ac:dyDescent="0.25">
      <c r="A247" s="5" t="s">
        <v>296</v>
      </c>
      <c r="B247" s="7">
        <v>45963</v>
      </c>
      <c r="C247" s="5" t="s">
        <v>56</v>
      </c>
      <c r="D247" s="5" t="s">
        <v>36</v>
      </c>
      <c r="E247" s="5" t="s">
        <v>17</v>
      </c>
      <c r="F247" s="5" t="s">
        <v>60</v>
      </c>
      <c r="G247" s="6">
        <v>14313.49</v>
      </c>
    </row>
    <row r="248" spans="1:7" x14ac:dyDescent="0.25">
      <c r="A248" s="3" t="s">
        <v>297</v>
      </c>
      <c r="B248" s="8">
        <v>45703</v>
      </c>
      <c r="C248" s="3" t="s">
        <v>43</v>
      </c>
      <c r="D248" s="3" t="s">
        <v>16</v>
      </c>
      <c r="E248" s="3" t="s">
        <v>87</v>
      </c>
      <c r="F248" s="3" t="s">
        <v>12</v>
      </c>
      <c r="G248" s="4">
        <v>1341.46</v>
      </c>
    </row>
    <row r="249" spans="1:7" x14ac:dyDescent="0.25">
      <c r="A249" s="5" t="s">
        <v>298</v>
      </c>
      <c r="B249" s="7">
        <v>45870</v>
      </c>
      <c r="C249" s="5" t="s">
        <v>54</v>
      </c>
      <c r="D249" s="5" t="s">
        <v>36</v>
      </c>
      <c r="E249" s="5" t="s">
        <v>87</v>
      </c>
      <c r="F249" s="5" t="s">
        <v>70</v>
      </c>
      <c r="G249" s="6">
        <v>11778.38</v>
      </c>
    </row>
    <row r="250" spans="1:7" x14ac:dyDescent="0.25">
      <c r="A250" s="3" t="s">
        <v>299</v>
      </c>
      <c r="B250" s="8">
        <v>46011</v>
      </c>
      <c r="C250" s="3" t="s">
        <v>56</v>
      </c>
      <c r="D250" s="3" t="s">
        <v>10</v>
      </c>
      <c r="E250" s="3" t="s">
        <v>26</v>
      </c>
      <c r="F250" s="3" t="s">
        <v>70</v>
      </c>
      <c r="G250" s="4">
        <v>14579.27</v>
      </c>
    </row>
    <row r="251" spans="1:7" x14ac:dyDescent="0.25">
      <c r="A251" s="5" t="s">
        <v>300</v>
      </c>
      <c r="B251" s="7">
        <v>45771</v>
      </c>
      <c r="C251" s="5" t="s">
        <v>40</v>
      </c>
      <c r="D251" s="5" t="s">
        <v>36</v>
      </c>
      <c r="E251" s="5" t="s">
        <v>29</v>
      </c>
      <c r="F251" s="5" t="s">
        <v>60</v>
      </c>
      <c r="G251" s="6">
        <v>13989.34</v>
      </c>
    </row>
    <row r="252" spans="1:7" x14ac:dyDescent="0.25">
      <c r="A252" s="3" t="s">
        <v>301</v>
      </c>
      <c r="B252" s="8">
        <v>45665</v>
      </c>
      <c r="C252" s="3" t="s">
        <v>40</v>
      </c>
      <c r="D252" s="3" t="s">
        <v>16</v>
      </c>
      <c r="E252" s="3" t="s">
        <v>38</v>
      </c>
      <c r="F252" s="3" t="s">
        <v>23</v>
      </c>
      <c r="G252" s="4">
        <v>10417.24</v>
      </c>
    </row>
    <row r="253" spans="1:7" x14ac:dyDescent="0.25">
      <c r="A253" s="5" t="s">
        <v>302</v>
      </c>
      <c r="B253" s="7">
        <v>45668</v>
      </c>
      <c r="C253" s="5" t="s">
        <v>21</v>
      </c>
      <c r="D253" s="5" t="s">
        <v>10</v>
      </c>
      <c r="E253" s="5" t="s">
        <v>87</v>
      </c>
      <c r="F253" s="5" t="s">
        <v>47</v>
      </c>
      <c r="G253" s="6">
        <v>3117.66</v>
      </c>
    </row>
    <row r="254" spans="1:7" x14ac:dyDescent="0.25">
      <c r="A254" s="3" t="s">
        <v>303</v>
      </c>
      <c r="B254" s="8">
        <v>45761</v>
      </c>
      <c r="C254" s="3" t="s">
        <v>15</v>
      </c>
      <c r="D254" s="3" t="s">
        <v>25</v>
      </c>
      <c r="E254" s="3" t="s">
        <v>29</v>
      </c>
      <c r="F254" s="3" t="s">
        <v>30</v>
      </c>
      <c r="G254" s="4">
        <v>4233.3900000000003</v>
      </c>
    </row>
    <row r="255" spans="1:7" x14ac:dyDescent="0.25">
      <c r="A255" s="5" t="s">
        <v>304</v>
      </c>
      <c r="B255" s="7">
        <v>45665</v>
      </c>
      <c r="C255" s="5" t="s">
        <v>43</v>
      </c>
      <c r="D255" s="5" t="s">
        <v>10</v>
      </c>
      <c r="E255" s="5" t="s">
        <v>26</v>
      </c>
      <c r="F255" s="5" t="s">
        <v>41</v>
      </c>
      <c r="G255" s="6">
        <v>14619.59</v>
      </c>
    </row>
    <row r="256" spans="1:7" x14ac:dyDescent="0.25">
      <c r="A256" s="3" t="s">
        <v>305</v>
      </c>
      <c r="B256" s="8">
        <v>45707</v>
      </c>
      <c r="C256" s="3" t="s">
        <v>21</v>
      </c>
      <c r="D256" s="3" t="s">
        <v>36</v>
      </c>
      <c r="E256" s="3" t="s">
        <v>38</v>
      </c>
      <c r="F256" s="3" t="s">
        <v>23</v>
      </c>
      <c r="G256" s="4">
        <v>5945.55</v>
      </c>
    </row>
    <row r="257" spans="1:7" x14ac:dyDescent="0.25">
      <c r="A257" s="5" t="s">
        <v>306</v>
      </c>
      <c r="B257" s="7">
        <v>45949</v>
      </c>
      <c r="C257" s="5" t="s">
        <v>21</v>
      </c>
      <c r="D257" s="5" t="s">
        <v>10</v>
      </c>
      <c r="E257" s="5" t="s">
        <v>38</v>
      </c>
      <c r="F257" s="5" t="s">
        <v>44</v>
      </c>
      <c r="G257" s="6">
        <v>3589.74</v>
      </c>
    </row>
    <row r="258" spans="1:7" x14ac:dyDescent="0.25">
      <c r="A258" s="3" t="s">
        <v>307</v>
      </c>
      <c r="B258" s="8">
        <v>45805</v>
      </c>
      <c r="C258" s="3" t="s">
        <v>54</v>
      </c>
      <c r="D258" s="3" t="s">
        <v>10</v>
      </c>
      <c r="E258" s="3" t="s">
        <v>26</v>
      </c>
      <c r="F258" s="3" t="s">
        <v>12</v>
      </c>
      <c r="G258" s="4">
        <v>6818.73</v>
      </c>
    </row>
    <row r="259" spans="1:7" x14ac:dyDescent="0.25">
      <c r="A259" s="5" t="s">
        <v>308</v>
      </c>
      <c r="B259" s="7">
        <v>45750</v>
      </c>
      <c r="C259" s="5" t="s">
        <v>56</v>
      </c>
      <c r="D259" s="5" t="s">
        <v>36</v>
      </c>
      <c r="E259" s="5" t="s">
        <v>22</v>
      </c>
      <c r="F259" s="5" t="s">
        <v>47</v>
      </c>
      <c r="G259" s="6">
        <v>2373.39</v>
      </c>
    </row>
    <row r="260" spans="1:7" x14ac:dyDescent="0.25">
      <c r="A260" s="3" t="s">
        <v>309</v>
      </c>
      <c r="B260" s="8">
        <v>45731</v>
      </c>
      <c r="C260" s="3" t="s">
        <v>15</v>
      </c>
      <c r="D260" s="3" t="s">
        <v>16</v>
      </c>
      <c r="E260" s="3" t="s">
        <v>11</v>
      </c>
      <c r="F260" s="3" t="s">
        <v>47</v>
      </c>
      <c r="G260" s="4">
        <v>8062.07</v>
      </c>
    </row>
    <row r="261" spans="1:7" x14ac:dyDescent="0.25">
      <c r="A261" s="5" t="s">
        <v>310</v>
      </c>
      <c r="B261" s="7">
        <v>45762</v>
      </c>
      <c r="C261" s="5" t="s">
        <v>54</v>
      </c>
      <c r="D261" s="5" t="s">
        <v>10</v>
      </c>
      <c r="E261" s="5" t="s">
        <v>87</v>
      </c>
      <c r="F261" s="5" t="s">
        <v>23</v>
      </c>
      <c r="G261" s="6">
        <v>1842.71</v>
      </c>
    </row>
    <row r="262" spans="1:7" x14ac:dyDescent="0.25">
      <c r="A262" s="3" t="s">
        <v>311</v>
      </c>
      <c r="B262" s="8">
        <v>45742</v>
      </c>
      <c r="C262" s="3" t="s">
        <v>9</v>
      </c>
      <c r="D262" s="3" t="s">
        <v>16</v>
      </c>
      <c r="E262" s="3" t="s">
        <v>22</v>
      </c>
      <c r="F262" s="3" t="s">
        <v>60</v>
      </c>
      <c r="G262" s="4">
        <v>3264.56</v>
      </c>
    </row>
    <row r="263" spans="1:7" x14ac:dyDescent="0.25">
      <c r="A263" s="5" t="s">
        <v>312</v>
      </c>
      <c r="B263" s="7">
        <v>45813</v>
      </c>
      <c r="C263" s="5" t="s">
        <v>21</v>
      </c>
      <c r="D263" s="5" t="s">
        <v>36</v>
      </c>
      <c r="E263" s="5" t="s">
        <v>26</v>
      </c>
      <c r="F263" s="5" t="s">
        <v>32</v>
      </c>
      <c r="G263" s="6">
        <v>7726.22</v>
      </c>
    </row>
    <row r="264" spans="1:7" x14ac:dyDescent="0.25">
      <c r="A264" s="3" t="s">
        <v>313</v>
      </c>
      <c r="B264" s="8">
        <v>45971</v>
      </c>
      <c r="C264" s="3" t="s">
        <v>54</v>
      </c>
      <c r="D264" s="3" t="s">
        <v>36</v>
      </c>
      <c r="E264" s="3" t="s">
        <v>77</v>
      </c>
      <c r="F264" s="3" t="s">
        <v>32</v>
      </c>
      <c r="G264" s="4">
        <v>12826.29</v>
      </c>
    </row>
    <row r="265" spans="1:7" x14ac:dyDescent="0.25">
      <c r="A265" s="5" t="s">
        <v>314</v>
      </c>
      <c r="B265" s="7">
        <v>45924</v>
      </c>
      <c r="C265" s="5" t="s">
        <v>40</v>
      </c>
      <c r="D265" s="5" t="s">
        <v>36</v>
      </c>
      <c r="E265" s="5" t="s">
        <v>51</v>
      </c>
      <c r="F265" s="5" t="s">
        <v>41</v>
      </c>
      <c r="G265" s="6">
        <v>1573.51</v>
      </c>
    </row>
    <row r="266" spans="1:7" x14ac:dyDescent="0.25">
      <c r="A266" s="3" t="s">
        <v>315</v>
      </c>
      <c r="B266" s="8">
        <v>45720</v>
      </c>
      <c r="C266" s="3" t="s">
        <v>21</v>
      </c>
      <c r="D266" s="3" t="s">
        <v>25</v>
      </c>
      <c r="E266" s="3" t="s">
        <v>46</v>
      </c>
      <c r="F266" s="3" t="s">
        <v>44</v>
      </c>
      <c r="G266" s="4">
        <v>3012.09</v>
      </c>
    </row>
    <row r="267" spans="1:7" x14ac:dyDescent="0.25">
      <c r="A267" s="5" t="s">
        <v>316</v>
      </c>
      <c r="B267" s="7">
        <v>45850</v>
      </c>
      <c r="C267" s="5" t="s">
        <v>9</v>
      </c>
      <c r="D267" s="5" t="s">
        <v>25</v>
      </c>
      <c r="E267" s="5" t="s">
        <v>22</v>
      </c>
      <c r="F267" s="5" t="s">
        <v>70</v>
      </c>
      <c r="G267" s="6">
        <v>3919.37</v>
      </c>
    </row>
    <row r="268" spans="1:7" x14ac:dyDescent="0.25">
      <c r="A268" s="3" t="s">
        <v>317</v>
      </c>
      <c r="B268" s="8">
        <v>45689</v>
      </c>
      <c r="C268" s="3" t="s">
        <v>21</v>
      </c>
      <c r="D268" s="3" t="s">
        <v>36</v>
      </c>
      <c r="E268" s="3" t="s">
        <v>38</v>
      </c>
      <c r="F268" s="3" t="s">
        <v>41</v>
      </c>
      <c r="G268" s="4">
        <v>12149.02</v>
      </c>
    </row>
    <row r="269" spans="1:7" x14ac:dyDescent="0.25">
      <c r="A269" s="5" t="s">
        <v>318</v>
      </c>
      <c r="B269" s="7">
        <v>45716</v>
      </c>
      <c r="C269" s="5" t="s">
        <v>43</v>
      </c>
      <c r="D269" s="5" t="s">
        <v>16</v>
      </c>
      <c r="E269" s="5" t="s">
        <v>51</v>
      </c>
      <c r="F269" s="5" t="s">
        <v>60</v>
      </c>
      <c r="G269" s="6">
        <v>14137.1</v>
      </c>
    </row>
    <row r="270" spans="1:7" x14ac:dyDescent="0.25">
      <c r="A270" s="3" t="s">
        <v>319</v>
      </c>
      <c r="B270" s="8">
        <v>45663</v>
      </c>
      <c r="C270" s="3" t="s">
        <v>40</v>
      </c>
      <c r="D270" s="3" t="s">
        <v>10</v>
      </c>
      <c r="E270" s="3" t="s">
        <v>11</v>
      </c>
      <c r="F270" s="3" t="s">
        <v>41</v>
      </c>
      <c r="G270" s="4">
        <v>490.76</v>
      </c>
    </row>
    <row r="271" spans="1:7" x14ac:dyDescent="0.25">
      <c r="A271" s="5" t="s">
        <v>320</v>
      </c>
      <c r="B271" s="7">
        <v>45975</v>
      </c>
      <c r="C271" s="5" t="s">
        <v>56</v>
      </c>
      <c r="D271" s="5" t="s">
        <v>16</v>
      </c>
      <c r="E271" s="5" t="s">
        <v>46</v>
      </c>
      <c r="F271" s="5" t="s">
        <v>62</v>
      </c>
      <c r="G271" s="6">
        <v>2847.91</v>
      </c>
    </row>
    <row r="272" spans="1:7" x14ac:dyDescent="0.25">
      <c r="A272" s="3" t="s">
        <v>321</v>
      </c>
      <c r="B272" s="8">
        <v>45792</v>
      </c>
      <c r="C272" s="3" t="s">
        <v>56</v>
      </c>
      <c r="D272" s="3" t="s">
        <v>25</v>
      </c>
      <c r="E272" s="3" t="s">
        <v>22</v>
      </c>
      <c r="F272" s="3" t="s">
        <v>70</v>
      </c>
      <c r="G272" s="4">
        <v>9273.81</v>
      </c>
    </row>
    <row r="273" spans="1:7" x14ac:dyDescent="0.25">
      <c r="A273" s="5" t="s">
        <v>322</v>
      </c>
      <c r="B273" s="7">
        <v>45971</v>
      </c>
      <c r="C273" s="5" t="s">
        <v>15</v>
      </c>
      <c r="D273" s="5" t="s">
        <v>10</v>
      </c>
      <c r="E273" s="5" t="s">
        <v>17</v>
      </c>
      <c r="F273" s="5" t="s">
        <v>41</v>
      </c>
      <c r="G273" s="6">
        <v>961.64</v>
      </c>
    </row>
    <row r="274" spans="1:7" x14ac:dyDescent="0.25">
      <c r="A274" s="3" t="s">
        <v>323</v>
      </c>
      <c r="B274" s="8">
        <v>45790</v>
      </c>
      <c r="C274" s="3" t="s">
        <v>56</v>
      </c>
      <c r="D274" s="3" t="s">
        <v>10</v>
      </c>
      <c r="E274" s="3" t="s">
        <v>46</v>
      </c>
      <c r="F274" s="3" t="s">
        <v>27</v>
      </c>
      <c r="G274" s="4">
        <v>13275.56</v>
      </c>
    </row>
    <row r="275" spans="1:7" x14ac:dyDescent="0.25">
      <c r="A275" s="5" t="s">
        <v>324</v>
      </c>
      <c r="B275" s="7">
        <v>45908</v>
      </c>
      <c r="C275" s="5" t="s">
        <v>9</v>
      </c>
      <c r="D275" s="5" t="s">
        <v>25</v>
      </c>
      <c r="E275" s="5" t="s">
        <v>11</v>
      </c>
      <c r="F275" s="5" t="s">
        <v>75</v>
      </c>
      <c r="G275" s="6">
        <v>10714.89</v>
      </c>
    </row>
    <row r="276" spans="1:7" x14ac:dyDescent="0.25">
      <c r="A276" s="3" t="s">
        <v>325</v>
      </c>
      <c r="B276" s="8">
        <v>45887</v>
      </c>
      <c r="C276" s="3" t="s">
        <v>43</v>
      </c>
      <c r="D276" s="3" t="s">
        <v>10</v>
      </c>
      <c r="E276" s="3" t="s">
        <v>26</v>
      </c>
      <c r="F276" s="3" t="s">
        <v>62</v>
      </c>
      <c r="G276" s="4">
        <v>8506.48</v>
      </c>
    </row>
    <row r="277" spans="1:7" x14ac:dyDescent="0.25">
      <c r="A277" s="5" t="s">
        <v>326</v>
      </c>
      <c r="B277" s="7">
        <v>45821</v>
      </c>
      <c r="C277" s="5" t="s">
        <v>54</v>
      </c>
      <c r="D277" s="5" t="s">
        <v>36</v>
      </c>
      <c r="E277" s="5" t="s">
        <v>77</v>
      </c>
      <c r="F277" s="5" t="s">
        <v>12</v>
      </c>
      <c r="G277" s="6">
        <v>8976.89</v>
      </c>
    </row>
    <row r="278" spans="1:7" x14ac:dyDescent="0.25">
      <c r="A278" s="3" t="s">
        <v>327</v>
      </c>
      <c r="B278" s="8">
        <v>45683</v>
      </c>
      <c r="C278" s="3" t="s">
        <v>43</v>
      </c>
      <c r="D278" s="3" t="s">
        <v>16</v>
      </c>
      <c r="E278" s="3" t="s">
        <v>77</v>
      </c>
      <c r="F278" s="3" t="s">
        <v>75</v>
      </c>
      <c r="G278" s="4">
        <v>14873.39</v>
      </c>
    </row>
    <row r="279" spans="1:7" x14ac:dyDescent="0.25">
      <c r="A279" s="5" t="s">
        <v>328</v>
      </c>
      <c r="B279" s="7">
        <v>45912</v>
      </c>
      <c r="C279" s="5" t="s">
        <v>43</v>
      </c>
      <c r="D279" s="5" t="s">
        <v>36</v>
      </c>
      <c r="E279" s="5" t="s">
        <v>29</v>
      </c>
      <c r="F279" s="5" t="s">
        <v>47</v>
      </c>
      <c r="G279" s="6">
        <v>3755.46</v>
      </c>
    </row>
    <row r="280" spans="1:7" x14ac:dyDescent="0.25">
      <c r="A280" s="3" t="s">
        <v>329</v>
      </c>
      <c r="B280" s="8">
        <v>45756</v>
      </c>
      <c r="C280" s="3" t="s">
        <v>40</v>
      </c>
      <c r="D280" s="3" t="s">
        <v>25</v>
      </c>
      <c r="E280" s="3" t="s">
        <v>46</v>
      </c>
      <c r="F280" s="3" t="s">
        <v>70</v>
      </c>
      <c r="G280" s="4">
        <v>12705.25</v>
      </c>
    </row>
    <row r="281" spans="1:7" x14ac:dyDescent="0.25">
      <c r="A281" s="5" t="s">
        <v>330</v>
      </c>
      <c r="B281" s="7">
        <v>45850</v>
      </c>
      <c r="C281" s="5" t="s">
        <v>43</v>
      </c>
      <c r="D281" s="5" t="s">
        <v>36</v>
      </c>
      <c r="E281" s="5" t="s">
        <v>29</v>
      </c>
      <c r="F281" s="5" t="s">
        <v>57</v>
      </c>
      <c r="G281" s="6">
        <v>8908.17</v>
      </c>
    </row>
    <row r="282" spans="1:7" x14ac:dyDescent="0.25">
      <c r="A282" s="3" t="s">
        <v>331</v>
      </c>
      <c r="B282" s="8">
        <v>46014</v>
      </c>
      <c r="C282" s="3" t="s">
        <v>54</v>
      </c>
      <c r="D282" s="3" t="s">
        <v>25</v>
      </c>
      <c r="E282" s="3" t="s">
        <v>26</v>
      </c>
      <c r="F282" s="3" t="s">
        <v>70</v>
      </c>
      <c r="G282" s="4">
        <v>8475.92</v>
      </c>
    </row>
    <row r="283" spans="1:7" x14ac:dyDescent="0.25">
      <c r="A283" s="5" t="s">
        <v>332</v>
      </c>
      <c r="B283" s="7">
        <v>45937</v>
      </c>
      <c r="C283" s="5" t="s">
        <v>43</v>
      </c>
      <c r="D283" s="5" t="s">
        <v>10</v>
      </c>
      <c r="E283" s="5" t="s">
        <v>17</v>
      </c>
      <c r="F283" s="5" t="s">
        <v>18</v>
      </c>
      <c r="G283" s="6">
        <v>2674.57</v>
      </c>
    </row>
    <row r="284" spans="1:7" x14ac:dyDescent="0.25">
      <c r="A284" s="3" t="s">
        <v>333</v>
      </c>
      <c r="B284" s="8">
        <v>45660</v>
      </c>
      <c r="C284" s="3" t="s">
        <v>21</v>
      </c>
      <c r="D284" s="3" t="s">
        <v>36</v>
      </c>
      <c r="E284" s="3" t="s">
        <v>22</v>
      </c>
      <c r="F284" s="3" t="s">
        <v>57</v>
      </c>
      <c r="G284" s="4">
        <v>347.92</v>
      </c>
    </row>
    <row r="285" spans="1:7" x14ac:dyDescent="0.25">
      <c r="A285" s="5" t="s">
        <v>334</v>
      </c>
      <c r="B285" s="7">
        <v>45870</v>
      </c>
      <c r="C285" s="5" t="s">
        <v>54</v>
      </c>
      <c r="D285" s="5" t="s">
        <v>36</v>
      </c>
      <c r="E285" s="5" t="s">
        <v>29</v>
      </c>
      <c r="F285" s="5" t="s">
        <v>12</v>
      </c>
      <c r="G285" s="6">
        <v>10768.22</v>
      </c>
    </row>
    <row r="286" spans="1:7" x14ac:dyDescent="0.25">
      <c r="A286" s="3" t="s">
        <v>335</v>
      </c>
      <c r="B286" s="8">
        <v>45810</v>
      </c>
      <c r="C286" s="3" t="s">
        <v>21</v>
      </c>
      <c r="D286" s="3" t="s">
        <v>36</v>
      </c>
      <c r="E286" s="3" t="s">
        <v>22</v>
      </c>
      <c r="F286" s="3" t="s">
        <v>30</v>
      </c>
      <c r="G286" s="4">
        <v>13762.5</v>
      </c>
    </row>
    <row r="287" spans="1:7" x14ac:dyDescent="0.25">
      <c r="A287" s="5" t="s">
        <v>336</v>
      </c>
      <c r="B287" s="7">
        <v>45716</v>
      </c>
      <c r="C287" s="5" t="s">
        <v>40</v>
      </c>
      <c r="D287" s="5" t="s">
        <v>16</v>
      </c>
      <c r="E287" s="5" t="s">
        <v>51</v>
      </c>
      <c r="F287" s="5" t="s">
        <v>12</v>
      </c>
      <c r="G287" s="6">
        <v>10582.84</v>
      </c>
    </row>
    <row r="288" spans="1:7" x14ac:dyDescent="0.25">
      <c r="A288" s="3" t="s">
        <v>337</v>
      </c>
      <c r="B288" s="8">
        <v>45974</v>
      </c>
      <c r="C288" s="3" t="s">
        <v>40</v>
      </c>
      <c r="D288" s="3" t="s">
        <v>25</v>
      </c>
      <c r="E288" s="3" t="s">
        <v>26</v>
      </c>
      <c r="F288" s="3" t="s">
        <v>18</v>
      </c>
      <c r="G288" s="4">
        <v>4872.92</v>
      </c>
    </row>
    <row r="289" spans="1:7" x14ac:dyDescent="0.25">
      <c r="A289" s="5" t="s">
        <v>338</v>
      </c>
      <c r="B289" s="7">
        <v>45740</v>
      </c>
      <c r="C289" s="5" t="s">
        <v>15</v>
      </c>
      <c r="D289" s="5" t="s">
        <v>10</v>
      </c>
      <c r="E289" s="5" t="s">
        <v>38</v>
      </c>
      <c r="F289" s="5" t="s">
        <v>12</v>
      </c>
      <c r="G289" s="6">
        <v>2654.33</v>
      </c>
    </row>
    <row r="290" spans="1:7" x14ac:dyDescent="0.25">
      <c r="A290" s="3" t="s">
        <v>339</v>
      </c>
      <c r="B290" s="8">
        <v>45923</v>
      </c>
      <c r="C290" s="3" t="s">
        <v>40</v>
      </c>
      <c r="D290" s="3" t="s">
        <v>16</v>
      </c>
      <c r="E290" s="3" t="s">
        <v>46</v>
      </c>
      <c r="F290" s="3" t="s">
        <v>27</v>
      </c>
      <c r="G290" s="4">
        <v>8854.7999999999993</v>
      </c>
    </row>
    <row r="291" spans="1:7" x14ac:dyDescent="0.25">
      <c r="A291" s="5" t="s">
        <v>340</v>
      </c>
      <c r="B291" s="7">
        <v>45729</v>
      </c>
      <c r="C291" s="5" t="s">
        <v>54</v>
      </c>
      <c r="D291" s="5" t="s">
        <v>16</v>
      </c>
      <c r="E291" s="5" t="s">
        <v>29</v>
      </c>
      <c r="F291" s="5" t="s">
        <v>44</v>
      </c>
      <c r="G291" s="6">
        <v>10946.02</v>
      </c>
    </row>
    <row r="292" spans="1:7" x14ac:dyDescent="0.25">
      <c r="A292" s="3" t="s">
        <v>341</v>
      </c>
      <c r="B292" s="8">
        <v>46010</v>
      </c>
      <c r="C292" s="3" t="s">
        <v>15</v>
      </c>
      <c r="D292" s="3" t="s">
        <v>25</v>
      </c>
      <c r="E292" s="3" t="s">
        <v>29</v>
      </c>
      <c r="F292" s="3" t="s">
        <v>70</v>
      </c>
      <c r="G292" s="4">
        <v>4807.34</v>
      </c>
    </row>
    <row r="293" spans="1:7" x14ac:dyDescent="0.25">
      <c r="A293" s="5" t="s">
        <v>342</v>
      </c>
      <c r="B293" s="7">
        <v>45938</v>
      </c>
      <c r="C293" s="5" t="s">
        <v>9</v>
      </c>
      <c r="D293" s="5" t="s">
        <v>25</v>
      </c>
      <c r="E293" s="5" t="s">
        <v>59</v>
      </c>
      <c r="F293" s="5" t="s">
        <v>44</v>
      </c>
      <c r="G293" s="6">
        <v>5000.97</v>
      </c>
    </row>
    <row r="294" spans="1:7" x14ac:dyDescent="0.25">
      <c r="A294" s="3" t="s">
        <v>343</v>
      </c>
      <c r="B294" s="8">
        <v>45696</v>
      </c>
      <c r="C294" s="3" t="s">
        <v>54</v>
      </c>
      <c r="D294" s="3" t="s">
        <v>16</v>
      </c>
      <c r="E294" s="3" t="s">
        <v>29</v>
      </c>
      <c r="F294" s="3" t="s">
        <v>27</v>
      </c>
      <c r="G294" s="4">
        <v>13285.54</v>
      </c>
    </row>
    <row r="295" spans="1:7" x14ac:dyDescent="0.25">
      <c r="A295" s="5" t="s">
        <v>344</v>
      </c>
      <c r="B295" s="7">
        <v>45715</v>
      </c>
      <c r="C295" s="5" t="s">
        <v>9</v>
      </c>
      <c r="D295" s="5" t="s">
        <v>16</v>
      </c>
      <c r="E295" s="5" t="s">
        <v>59</v>
      </c>
      <c r="F295" s="5" t="s">
        <v>60</v>
      </c>
      <c r="G295" s="6">
        <v>4014.93</v>
      </c>
    </row>
    <row r="296" spans="1:7" x14ac:dyDescent="0.25">
      <c r="A296" s="3" t="s">
        <v>345</v>
      </c>
      <c r="B296" s="8">
        <v>45770</v>
      </c>
      <c r="C296" s="3" t="s">
        <v>21</v>
      </c>
      <c r="D296" s="3" t="s">
        <v>16</v>
      </c>
      <c r="E296" s="3" t="s">
        <v>87</v>
      </c>
      <c r="F296" s="3" t="s">
        <v>75</v>
      </c>
      <c r="G296" s="4">
        <v>1665.12</v>
      </c>
    </row>
    <row r="297" spans="1:7" x14ac:dyDescent="0.25">
      <c r="A297" s="5" t="s">
        <v>346</v>
      </c>
      <c r="B297" s="7">
        <v>45659</v>
      </c>
      <c r="C297" s="5" t="s">
        <v>15</v>
      </c>
      <c r="D297" s="5" t="s">
        <v>10</v>
      </c>
      <c r="E297" s="5" t="s">
        <v>11</v>
      </c>
      <c r="F297" s="5" t="s">
        <v>44</v>
      </c>
      <c r="G297" s="6">
        <v>13274.05</v>
      </c>
    </row>
    <row r="298" spans="1:7" x14ac:dyDescent="0.25">
      <c r="A298" s="3" t="s">
        <v>347</v>
      </c>
      <c r="B298" s="8">
        <v>45882</v>
      </c>
      <c r="C298" s="3" t="s">
        <v>54</v>
      </c>
      <c r="D298" s="3" t="s">
        <v>10</v>
      </c>
      <c r="E298" s="3" t="s">
        <v>51</v>
      </c>
      <c r="F298" s="3" t="s">
        <v>23</v>
      </c>
      <c r="G298" s="4">
        <v>7218.36</v>
      </c>
    </row>
    <row r="299" spans="1:7" x14ac:dyDescent="0.25">
      <c r="A299" s="5" t="s">
        <v>348</v>
      </c>
      <c r="B299" s="7">
        <v>45951</v>
      </c>
      <c r="C299" s="5" t="s">
        <v>43</v>
      </c>
      <c r="D299" s="5" t="s">
        <v>36</v>
      </c>
      <c r="E299" s="5" t="s">
        <v>29</v>
      </c>
      <c r="F299" s="5" t="s">
        <v>41</v>
      </c>
      <c r="G299" s="6">
        <v>1151.96</v>
      </c>
    </row>
    <row r="300" spans="1:7" x14ac:dyDescent="0.25">
      <c r="A300" s="3" t="s">
        <v>349</v>
      </c>
      <c r="B300" s="8">
        <v>45667</v>
      </c>
      <c r="C300" s="3" t="s">
        <v>21</v>
      </c>
      <c r="D300" s="3" t="s">
        <v>16</v>
      </c>
      <c r="E300" s="3" t="s">
        <v>87</v>
      </c>
      <c r="F300" s="3" t="s">
        <v>47</v>
      </c>
      <c r="G300" s="4">
        <v>1159.3</v>
      </c>
    </row>
    <row r="301" spans="1:7" x14ac:dyDescent="0.25">
      <c r="A301" s="5" t="s">
        <v>350</v>
      </c>
      <c r="B301" s="7">
        <v>45729</v>
      </c>
      <c r="C301" s="5" t="s">
        <v>56</v>
      </c>
      <c r="D301" s="5" t="s">
        <v>25</v>
      </c>
      <c r="E301" s="5" t="s">
        <v>17</v>
      </c>
      <c r="F301" s="5" t="s">
        <v>62</v>
      </c>
      <c r="G301" s="6">
        <v>14671.72</v>
      </c>
    </row>
    <row r="302" spans="1:7" x14ac:dyDescent="0.25">
      <c r="A302" s="3" t="s">
        <v>351</v>
      </c>
      <c r="B302" s="8">
        <v>45828</v>
      </c>
      <c r="C302" s="3" t="s">
        <v>40</v>
      </c>
      <c r="D302" s="3" t="s">
        <v>10</v>
      </c>
      <c r="E302" s="3" t="s">
        <v>77</v>
      </c>
      <c r="F302" s="3" t="s">
        <v>32</v>
      </c>
      <c r="G302" s="4">
        <v>14139.51</v>
      </c>
    </row>
    <row r="303" spans="1:7" x14ac:dyDescent="0.25">
      <c r="A303" s="5" t="s">
        <v>352</v>
      </c>
      <c r="B303" s="7">
        <v>45736</v>
      </c>
      <c r="C303" s="5" t="s">
        <v>15</v>
      </c>
      <c r="D303" s="5" t="s">
        <v>36</v>
      </c>
      <c r="E303" s="5" t="s">
        <v>77</v>
      </c>
      <c r="F303" s="5" t="s">
        <v>47</v>
      </c>
      <c r="G303" s="6">
        <v>4999.8599999999997</v>
      </c>
    </row>
    <row r="304" spans="1:7" x14ac:dyDescent="0.25">
      <c r="A304" s="3" t="s">
        <v>353</v>
      </c>
      <c r="B304" s="8">
        <v>45761</v>
      </c>
      <c r="C304" s="3" t="s">
        <v>9</v>
      </c>
      <c r="D304" s="3" t="s">
        <v>16</v>
      </c>
      <c r="E304" s="3" t="s">
        <v>38</v>
      </c>
      <c r="F304" s="3" t="s">
        <v>18</v>
      </c>
      <c r="G304" s="4">
        <v>4496.1400000000003</v>
      </c>
    </row>
    <row r="305" spans="1:7" x14ac:dyDescent="0.25">
      <c r="A305" s="5" t="s">
        <v>354</v>
      </c>
      <c r="B305" s="7">
        <v>45690</v>
      </c>
      <c r="C305" s="5" t="s">
        <v>15</v>
      </c>
      <c r="D305" s="5" t="s">
        <v>10</v>
      </c>
      <c r="E305" s="5" t="s">
        <v>29</v>
      </c>
      <c r="F305" s="5" t="s">
        <v>60</v>
      </c>
      <c r="G305" s="6">
        <v>5444.39</v>
      </c>
    </row>
    <row r="306" spans="1:7" x14ac:dyDescent="0.25">
      <c r="A306" s="3" t="s">
        <v>355</v>
      </c>
      <c r="B306" s="8">
        <v>45841</v>
      </c>
      <c r="C306" s="3" t="s">
        <v>54</v>
      </c>
      <c r="D306" s="3" t="s">
        <v>10</v>
      </c>
      <c r="E306" s="3" t="s">
        <v>46</v>
      </c>
      <c r="F306" s="3" t="s">
        <v>47</v>
      </c>
      <c r="G306" s="4">
        <v>434.75</v>
      </c>
    </row>
    <row r="307" spans="1:7" x14ac:dyDescent="0.25">
      <c r="A307" s="5" t="s">
        <v>356</v>
      </c>
      <c r="B307" s="7">
        <v>45737</v>
      </c>
      <c r="C307" s="5" t="s">
        <v>54</v>
      </c>
      <c r="D307" s="5" t="s">
        <v>25</v>
      </c>
      <c r="E307" s="5" t="s">
        <v>59</v>
      </c>
      <c r="F307" s="5" t="s">
        <v>23</v>
      </c>
      <c r="G307" s="6">
        <v>1776.86</v>
      </c>
    </row>
    <row r="308" spans="1:7" x14ac:dyDescent="0.25">
      <c r="A308" s="3" t="s">
        <v>357</v>
      </c>
      <c r="B308" s="8">
        <v>45854</v>
      </c>
      <c r="C308" s="3" t="s">
        <v>15</v>
      </c>
      <c r="D308" s="3" t="s">
        <v>16</v>
      </c>
      <c r="E308" s="3" t="s">
        <v>51</v>
      </c>
      <c r="F308" s="3" t="s">
        <v>27</v>
      </c>
      <c r="G308" s="4">
        <v>8184.68</v>
      </c>
    </row>
    <row r="309" spans="1:7" x14ac:dyDescent="0.25">
      <c r="A309" s="5" t="s">
        <v>358</v>
      </c>
      <c r="B309" s="7">
        <v>45728</v>
      </c>
      <c r="C309" s="5" t="s">
        <v>15</v>
      </c>
      <c r="D309" s="5" t="s">
        <v>16</v>
      </c>
      <c r="E309" s="5" t="s">
        <v>29</v>
      </c>
      <c r="F309" s="5" t="s">
        <v>41</v>
      </c>
      <c r="G309" s="6">
        <v>717.02</v>
      </c>
    </row>
    <row r="310" spans="1:7" x14ac:dyDescent="0.25">
      <c r="A310" s="3" t="s">
        <v>359</v>
      </c>
      <c r="B310" s="8">
        <v>45884</v>
      </c>
      <c r="C310" s="3" t="s">
        <v>54</v>
      </c>
      <c r="D310" s="3" t="s">
        <v>36</v>
      </c>
      <c r="E310" s="3" t="s">
        <v>87</v>
      </c>
      <c r="F310" s="3" t="s">
        <v>70</v>
      </c>
      <c r="G310" s="4">
        <v>971.51</v>
      </c>
    </row>
    <row r="311" spans="1:7" x14ac:dyDescent="0.25">
      <c r="A311" s="5" t="s">
        <v>360</v>
      </c>
      <c r="B311" s="7">
        <v>46013</v>
      </c>
      <c r="C311" s="5" t="s">
        <v>21</v>
      </c>
      <c r="D311" s="5" t="s">
        <v>25</v>
      </c>
      <c r="E311" s="5" t="s">
        <v>38</v>
      </c>
      <c r="F311" s="5" t="s">
        <v>12</v>
      </c>
      <c r="G311" s="6">
        <v>12132.29</v>
      </c>
    </row>
    <row r="312" spans="1:7" x14ac:dyDescent="0.25">
      <c r="A312" s="3" t="s">
        <v>361</v>
      </c>
      <c r="B312" s="8">
        <v>45863</v>
      </c>
      <c r="C312" s="3" t="s">
        <v>40</v>
      </c>
      <c r="D312" s="3" t="s">
        <v>36</v>
      </c>
      <c r="E312" s="3" t="s">
        <v>17</v>
      </c>
      <c r="F312" s="3" t="s">
        <v>60</v>
      </c>
      <c r="G312" s="4">
        <v>12619.92</v>
      </c>
    </row>
    <row r="313" spans="1:7" x14ac:dyDescent="0.25">
      <c r="A313" s="5" t="s">
        <v>362</v>
      </c>
      <c r="B313" s="7">
        <v>45914</v>
      </c>
      <c r="C313" s="5" t="s">
        <v>40</v>
      </c>
      <c r="D313" s="5" t="s">
        <v>10</v>
      </c>
      <c r="E313" s="5" t="s">
        <v>22</v>
      </c>
      <c r="F313" s="5" t="s">
        <v>62</v>
      </c>
      <c r="G313" s="6">
        <v>3572.85</v>
      </c>
    </row>
    <row r="314" spans="1:7" x14ac:dyDescent="0.25">
      <c r="A314" s="3" t="s">
        <v>363</v>
      </c>
      <c r="B314" s="8">
        <v>45780</v>
      </c>
      <c r="C314" s="3" t="s">
        <v>15</v>
      </c>
      <c r="D314" s="3" t="s">
        <v>25</v>
      </c>
      <c r="E314" s="3" t="s">
        <v>17</v>
      </c>
      <c r="F314" s="3" t="s">
        <v>70</v>
      </c>
      <c r="G314" s="4">
        <v>13511.8</v>
      </c>
    </row>
    <row r="315" spans="1:7" x14ac:dyDescent="0.25">
      <c r="A315" s="5" t="s">
        <v>364</v>
      </c>
      <c r="B315" s="7">
        <v>45952</v>
      </c>
      <c r="C315" s="5" t="s">
        <v>40</v>
      </c>
      <c r="D315" s="5" t="s">
        <v>36</v>
      </c>
      <c r="E315" s="5" t="s">
        <v>51</v>
      </c>
      <c r="F315" s="5" t="s">
        <v>75</v>
      </c>
      <c r="G315" s="6">
        <v>6763.14</v>
      </c>
    </row>
    <row r="316" spans="1:7" x14ac:dyDescent="0.25">
      <c r="A316" s="3" t="s">
        <v>365</v>
      </c>
      <c r="B316" s="8">
        <v>45723</v>
      </c>
      <c r="C316" s="3" t="s">
        <v>43</v>
      </c>
      <c r="D316" s="3" t="s">
        <v>36</v>
      </c>
      <c r="E316" s="3" t="s">
        <v>29</v>
      </c>
      <c r="F316" s="3" t="s">
        <v>60</v>
      </c>
      <c r="G316" s="4">
        <v>6379.45</v>
      </c>
    </row>
    <row r="317" spans="1:7" x14ac:dyDescent="0.25">
      <c r="A317" s="5" t="s">
        <v>366</v>
      </c>
      <c r="B317" s="7">
        <v>45975</v>
      </c>
      <c r="C317" s="5" t="s">
        <v>56</v>
      </c>
      <c r="D317" s="5" t="s">
        <v>36</v>
      </c>
      <c r="E317" s="5" t="s">
        <v>22</v>
      </c>
      <c r="F317" s="5" t="s">
        <v>18</v>
      </c>
      <c r="G317" s="6">
        <v>4830.25</v>
      </c>
    </row>
    <row r="318" spans="1:7" x14ac:dyDescent="0.25">
      <c r="A318" s="3" t="s">
        <v>367</v>
      </c>
      <c r="B318" s="8">
        <v>46017</v>
      </c>
      <c r="C318" s="3" t="s">
        <v>21</v>
      </c>
      <c r="D318" s="3" t="s">
        <v>25</v>
      </c>
      <c r="E318" s="3" t="s">
        <v>11</v>
      </c>
      <c r="F318" s="3" t="s">
        <v>34</v>
      </c>
      <c r="G318" s="4">
        <v>5990.46</v>
      </c>
    </row>
    <row r="319" spans="1:7" x14ac:dyDescent="0.25">
      <c r="A319" s="5" t="s">
        <v>368</v>
      </c>
      <c r="B319" s="7">
        <v>45836</v>
      </c>
      <c r="C319" s="5" t="s">
        <v>54</v>
      </c>
      <c r="D319" s="5" t="s">
        <v>10</v>
      </c>
      <c r="E319" s="5" t="s">
        <v>77</v>
      </c>
      <c r="F319" s="5" t="s">
        <v>75</v>
      </c>
      <c r="G319" s="6">
        <v>10521.16</v>
      </c>
    </row>
    <row r="320" spans="1:7" x14ac:dyDescent="0.25">
      <c r="A320" s="3" t="s">
        <v>369</v>
      </c>
      <c r="B320" s="8">
        <v>45947</v>
      </c>
      <c r="C320" s="3" t="s">
        <v>43</v>
      </c>
      <c r="D320" s="3" t="s">
        <v>10</v>
      </c>
      <c r="E320" s="3" t="s">
        <v>51</v>
      </c>
      <c r="F320" s="3" t="s">
        <v>32</v>
      </c>
      <c r="G320" s="4">
        <v>2287.15</v>
      </c>
    </row>
    <row r="321" spans="1:7" x14ac:dyDescent="0.25">
      <c r="A321" s="5" t="s">
        <v>370</v>
      </c>
      <c r="B321" s="7">
        <v>45949</v>
      </c>
      <c r="C321" s="5" t="s">
        <v>40</v>
      </c>
      <c r="D321" s="5" t="s">
        <v>25</v>
      </c>
      <c r="E321" s="5" t="s">
        <v>51</v>
      </c>
      <c r="F321" s="5" t="s">
        <v>70</v>
      </c>
      <c r="G321" s="6">
        <v>11704.19</v>
      </c>
    </row>
    <row r="322" spans="1:7" x14ac:dyDescent="0.25">
      <c r="A322" s="3" t="s">
        <v>371</v>
      </c>
      <c r="B322" s="8">
        <v>45805</v>
      </c>
      <c r="C322" s="3" t="s">
        <v>40</v>
      </c>
      <c r="D322" s="3" t="s">
        <v>16</v>
      </c>
      <c r="E322" s="3" t="s">
        <v>11</v>
      </c>
      <c r="F322" s="3" t="s">
        <v>18</v>
      </c>
      <c r="G322" s="4">
        <v>5776.5</v>
      </c>
    </row>
    <row r="323" spans="1:7" x14ac:dyDescent="0.25">
      <c r="A323" s="5" t="s">
        <v>372</v>
      </c>
      <c r="B323" s="7">
        <v>45888</v>
      </c>
      <c r="C323" s="5" t="s">
        <v>40</v>
      </c>
      <c r="D323" s="5" t="s">
        <v>10</v>
      </c>
      <c r="E323" s="5" t="s">
        <v>77</v>
      </c>
      <c r="F323" s="5" t="s">
        <v>44</v>
      </c>
      <c r="G323" s="6">
        <v>4167.4399999999996</v>
      </c>
    </row>
    <row r="324" spans="1:7" x14ac:dyDescent="0.25">
      <c r="A324" s="3" t="s">
        <v>373</v>
      </c>
      <c r="B324" s="8">
        <v>45736</v>
      </c>
      <c r="C324" s="3" t="s">
        <v>40</v>
      </c>
      <c r="D324" s="3" t="s">
        <v>10</v>
      </c>
      <c r="E324" s="3" t="s">
        <v>77</v>
      </c>
      <c r="F324" s="3" t="s">
        <v>32</v>
      </c>
      <c r="G324" s="4">
        <v>13349.13</v>
      </c>
    </row>
    <row r="325" spans="1:7" x14ac:dyDescent="0.25">
      <c r="A325" s="5" t="s">
        <v>374</v>
      </c>
      <c r="B325" s="7">
        <v>45831</v>
      </c>
      <c r="C325" s="5" t="s">
        <v>56</v>
      </c>
      <c r="D325" s="5" t="s">
        <v>25</v>
      </c>
      <c r="E325" s="5" t="s">
        <v>59</v>
      </c>
      <c r="F325" s="5" t="s">
        <v>62</v>
      </c>
      <c r="G325" s="6">
        <v>4065.34</v>
      </c>
    </row>
    <row r="326" spans="1:7" x14ac:dyDescent="0.25">
      <c r="A326" s="3" t="s">
        <v>375</v>
      </c>
      <c r="B326" s="8">
        <v>45809</v>
      </c>
      <c r="C326" s="3" t="s">
        <v>54</v>
      </c>
      <c r="D326" s="3" t="s">
        <v>16</v>
      </c>
      <c r="E326" s="3" t="s">
        <v>87</v>
      </c>
      <c r="F326" s="3" t="s">
        <v>18</v>
      </c>
      <c r="G326" s="4">
        <v>12650.56</v>
      </c>
    </row>
    <row r="327" spans="1:7" x14ac:dyDescent="0.25">
      <c r="A327" s="5" t="s">
        <v>376</v>
      </c>
      <c r="B327" s="7">
        <v>46013</v>
      </c>
      <c r="C327" s="5" t="s">
        <v>21</v>
      </c>
      <c r="D327" s="5" t="s">
        <v>36</v>
      </c>
      <c r="E327" s="5" t="s">
        <v>29</v>
      </c>
      <c r="F327" s="5" t="s">
        <v>18</v>
      </c>
      <c r="G327" s="6">
        <v>14614.58</v>
      </c>
    </row>
    <row r="328" spans="1:7" x14ac:dyDescent="0.25">
      <c r="A328" s="3" t="s">
        <v>377</v>
      </c>
      <c r="B328" s="8">
        <v>45894</v>
      </c>
      <c r="C328" s="3" t="s">
        <v>43</v>
      </c>
      <c r="D328" s="3" t="s">
        <v>16</v>
      </c>
      <c r="E328" s="3" t="s">
        <v>87</v>
      </c>
      <c r="F328" s="3" t="s">
        <v>30</v>
      </c>
      <c r="G328" s="4">
        <v>6280.75</v>
      </c>
    </row>
    <row r="329" spans="1:7" x14ac:dyDescent="0.25">
      <c r="A329" s="5" t="s">
        <v>378</v>
      </c>
      <c r="B329" s="7">
        <v>45964</v>
      </c>
      <c r="C329" s="5" t="s">
        <v>56</v>
      </c>
      <c r="D329" s="5" t="s">
        <v>10</v>
      </c>
      <c r="E329" s="5" t="s">
        <v>46</v>
      </c>
      <c r="F329" s="5" t="s">
        <v>62</v>
      </c>
      <c r="G329" s="6">
        <v>12368.34</v>
      </c>
    </row>
    <row r="330" spans="1:7" x14ac:dyDescent="0.25">
      <c r="A330" s="3" t="s">
        <v>379</v>
      </c>
      <c r="B330" s="8">
        <v>46007</v>
      </c>
      <c r="C330" s="3" t="s">
        <v>43</v>
      </c>
      <c r="D330" s="3" t="s">
        <v>16</v>
      </c>
      <c r="E330" s="3" t="s">
        <v>77</v>
      </c>
      <c r="F330" s="3" t="s">
        <v>34</v>
      </c>
      <c r="G330" s="4">
        <v>11882.78</v>
      </c>
    </row>
    <row r="331" spans="1:7" x14ac:dyDescent="0.25">
      <c r="A331" s="5" t="s">
        <v>380</v>
      </c>
      <c r="B331" s="7">
        <v>45698</v>
      </c>
      <c r="C331" s="5" t="s">
        <v>9</v>
      </c>
      <c r="D331" s="5" t="s">
        <v>10</v>
      </c>
      <c r="E331" s="5" t="s">
        <v>29</v>
      </c>
      <c r="F331" s="5" t="s">
        <v>75</v>
      </c>
      <c r="G331" s="6">
        <v>12776.87</v>
      </c>
    </row>
    <row r="332" spans="1:7" x14ac:dyDescent="0.25">
      <c r="A332" s="3" t="s">
        <v>381</v>
      </c>
      <c r="B332" s="8">
        <v>45931</v>
      </c>
      <c r="C332" s="3" t="s">
        <v>56</v>
      </c>
      <c r="D332" s="3" t="s">
        <v>36</v>
      </c>
      <c r="E332" s="3" t="s">
        <v>46</v>
      </c>
      <c r="F332" s="3" t="s">
        <v>23</v>
      </c>
      <c r="G332" s="4">
        <v>911.53</v>
      </c>
    </row>
    <row r="333" spans="1:7" x14ac:dyDescent="0.25">
      <c r="A333" s="5" t="s">
        <v>382</v>
      </c>
      <c r="B333" s="7">
        <v>45672</v>
      </c>
      <c r="C333" s="5" t="s">
        <v>21</v>
      </c>
      <c r="D333" s="5" t="s">
        <v>16</v>
      </c>
      <c r="E333" s="5" t="s">
        <v>46</v>
      </c>
      <c r="F333" s="5" t="s">
        <v>18</v>
      </c>
      <c r="G333" s="6">
        <v>5556.86</v>
      </c>
    </row>
    <row r="334" spans="1:7" x14ac:dyDescent="0.25">
      <c r="A334" s="3" t="s">
        <v>383</v>
      </c>
      <c r="B334" s="8">
        <v>45886</v>
      </c>
      <c r="C334" s="3" t="s">
        <v>15</v>
      </c>
      <c r="D334" s="3" t="s">
        <v>25</v>
      </c>
      <c r="E334" s="3" t="s">
        <v>38</v>
      </c>
      <c r="F334" s="3" t="s">
        <v>60</v>
      </c>
      <c r="G334" s="4">
        <v>3666.97</v>
      </c>
    </row>
    <row r="335" spans="1:7" x14ac:dyDescent="0.25">
      <c r="A335" s="5" t="s">
        <v>384</v>
      </c>
      <c r="B335" s="7">
        <v>45889</v>
      </c>
      <c r="C335" s="5" t="s">
        <v>15</v>
      </c>
      <c r="D335" s="5" t="s">
        <v>36</v>
      </c>
      <c r="E335" s="5" t="s">
        <v>59</v>
      </c>
      <c r="F335" s="5" t="s">
        <v>70</v>
      </c>
      <c r="G335" s="6">
        <v>8292.44</v>
      </c>
    </row>
    <row r="336" spans="1:7" x14ac:dyDescent="0.25">
      <c r="A336" s="3" t="s">
        <v>385</v>
      </c>
      <c r="B336" s="8">
        <v>45814</v>
      </c>
      <c r="C336" s="3" t="s">
        <v>43</v>
      </c>
      <c r="D336" s="3" t="s">
        <v>16</v>
      </c>
      <c r="E336" s="3" t="s">
        <v>51</v>
      </c>
      <c r="F336" s="3" t="s">
        <v>18</v>
      </c>
      <c r="G336" s="4">
        <v>460.38</v>
      </c>
    </row>
    <row r="337" spans="1:7" x14ac:dyDescent="0.25">
      <c r="A337" s="5" t="s">
        <v>386</v>
      </c>
      <c r="B337" s="7">
        <v>45663</v>
      </c>
      <c r="C337" s="5" t="s">
        <v>43</v>
      </c>
      <c r="D337" s="5" t="s">
        <v>36</v>
      </c>
      <c r="E337" s="5" t="s">
        <v>46</v>
      </c>
      <c r="F337" s="5" t="s">
        <v>27</v>
      </c>
      <c r="G337" s="6">
        <v>3415.43</v>
      </c>
    </row>
    <row r="338" spans="1:7" x14ac:dyDescent="0.25">
      <c r="A338" s="3" t="s">
        <v>387</v>
      </c>
      <c r="B338" s="8">
        <v>45756</v>
      </c>
      <c r="C338" s="3" t="s">
        <v>9</v>
      </c>
      <c r="D338" s="3" t="s">
        <v>10</v>
      </c>
      <c r="E338" s="3" t="s">
        <v>17</v>
      </c>
      <c r="F338" s="3" t="s">
        <v>60</v>
      </c>
      <c r="G338" s="4">
        <v>12976.22</v>
      </c>
    </row>
    <row r="339" spans="1:7" x14ac:dyDescent="0.25">
      <c r="A339" s="5" t="s">
        <v>388</v>
      </c>
      <c r="B339" s="7">
        <v>45962</v>
      </c>
      <c r="C339" s="5" t="s">
        <v>15</v>
      </c>
      <c r="D339" s="5" t="s">
        <v>36</v>
      </c>
      <c r="E339" s="5" t="s">
        <v>38</v>
      </c>
      <c r="F339" s="5" t="s">
        <v>44</v>
      </c>
      <c r="G339" s="6">
        <v>9037.07</v>
      </c>
    </row>
    <row r="340" spans="1:7" x14ac:dyDescent="0.25">
      <c r="A340" s="3" t="s">
        <v>389</v>
      </c>
      <c r="B340" s="8">
        <v>45665</v>
      </c>
      <c r="C340" s="3" t="s">
        <v>54</v>
      </c>
      <c r="D340" s="3" t="s">
        <v>16</v>
      </c>
      <c r="E340" s="3" t="s">
        <v>38</v>
      </c>
      <c r="F340" s="3" t="s">
        <v>18</v>
      </c>
      <c r="G340" s="4">
        <v>6385.91</v>
      </c>
    </row>
    <row r="341" spans="1:7" x14ac:dyDescent="0.25">
      <c r="A341" s="5" t="s">
        <v>390</v>
      </c>
      <c r="B341" s="7">
        <v>45866</v>
      </c>
      <c r="C341" s="5" t="s">
        <v>54</v>
      </c>
      <c r="D341" s="5" t="s">
        <v>10</v>
      </c>
      <c r="E341" s="5" t="s">
        <v>87</v>
      </c>
      <c r="F341" s="5" t="s">
        <v>57</v>
      </c>
      <c r="G341" s="6">
        <v>7027.14</v>
      </c>
    </row>
    <row r="342" spans="1:7" x14ac:dyDescent="0.25">
      <c r="A342" s="3" t="s">
        <v>391</v>
      </c>
      <c r="B342" s="8">
        <v>45978</v>
      </c>
      <c r="C342" s="3" t="s">
        <v>43</v>
      </c>
      <c r="D342" s="3" t="s">
        <v>10</v>
      </c>
      <c r="E342" s="3" t="s">
        <v>22</v>
      </c>
      <c r="F342" s="3" t="s">
        <v>47</v>
      </c>
      <c r="G342" s="4">
        <v>159.85</v>
      </c>
    </row>
    <row r="343" spans="1:7" x14ac:dyDescent="0.25">
      <c r="A343" s="5" t="s">
        <v>392</v>
      </c>
      <c r="B343" s="7">
        <v>45988</v>
      </c>
      <c r="C343" s="5" t="s">
        <v>43</v>
      </c>
      <c r="D343" s="5" t="s">
        <v>16</v>
      </c>
      <c r="E343" s="5" t="s">
        <v>17</v>
      </c>
      <c r="F343" s="5" t="s">
        <v>27</v>
      </c>
      <c r="G343" s="6">
        <v>8926.9</v>
      </c>
    </row>
    <row r="344" spans="1:7" x14ac:dyDescent="0.25">
      <c r="A344" s="3" t="s">
        <v>393</v>
      </c>
      <c r="B344" s="8">
        <v>45787</v>
      </c>
      <c r="C344" s="3" t="s">
        <v>9</v>
      </c>
      <c r="D344" s="3" t="s">
        <v>25</v>
      </c>
      <c r="E344" s="3" t="s">
        <v>59</v>
      </c>
      <c r="F344" s="3" t="s">
        <v>47</v>
      </c>
      <c r="G344" s="4">
        <v>5077.4399999999996</v>
      </c>
    </row>
    <row r="345" spans="1:7" x14ac:dyDescent="0.25">
      <c r="A345" s="5" t="s">
        <v>394</v>
      </c>
      <c r="B345" s="7">
        <v>45798</v>
      </c>
      <c r="C345" s="5" t="s">
        <v>54</v>
      </c>
      <c r="D345" s="5" t="s">
        <v>16</v>
      </c>
      <c r="E345" s="5" t="s">
        <v>87</v>
      </c>
      <c r="F345" s="5" t="s">
        <v>27</v>
      </c>
      <c r="G345" s="6">
        <v>10680.85</v>
      </c>
    </row>
    <row r="346" spans="1:7" x14ac:dyDescent="0.25">
      <c r="A346" s="3" t="s">
        <v>395</v>
      </c>
      <c r="B346" s="8">
        <v>45971</v>
      </c>
      <c r="C346" s="3" t="s">
        <v>56</v>
      </c>
      <c r="D346" s="3" t="s">
        <v>36</v>
      </c>
      <c r="E346" s="3" t="s">
        <v>17</v>
      </c>
      <c r="F346" s="3" t="s">
        <v>75</v>
      </c>
      <c r="G346" s="4">
        <v>3642.52</v>
      </c>
    </row>
    <row r="347" spans="1:7" x14ac:dyDescent="0.25">
      <c r="A347" s="5" t="s">
        <v>396</v>
      </c>
      <c r="B347" s="7">
        <v>45683</v>
      </c>
      <c r="C347" s="5" t="s">
        <v>43</v>
      </c>
      <c r="D347" s="5" t="s">
        <v>10</v>
      </c>
      <c r="E347" s="5" t="s">
        <v>38</v>
      </c>
      <c r="F347" s="5" t="s">
        <v>12</v>
      </c>
      <c r="G347" s="6">
        <v>10227.299999999999</v>
      </c>
    </row>
    <row r="348" spans="1:7" x14ac:dyDescent="0.25">
      <c r="A348" s="3" t="s">
        <v>397</v>
      </c>
      <c r="B348" s="8">
        <v>45992</v>
      </c>
      <c r="C348" s="3" t="s">
        <v>9</v>
      </c>
      <c r="D348" s="3" t="s">
        <v>10</v>
      </c>
      <c r="E348" s="3" t="s">
        <v>87</v>
      </c>
      <c r="F348" s="3" t="s">
        <v>18</v>
      </c>
      <c r="G348" s="4">
        <v>13608.33</v>
      </c>
    </row>
    <row r="349" spans="1:7" x14ac:dyDescent="0.25">
      <c r="A349" s="5" t="s">
        <v>398</v>
      </c>
      <c r="B349" s="7">
        <v>45851</v>
      </c>
      <c r="C349" s="5" t="s">
        <v>9</v>
      </c>
      <c r="D349" s="5" t="s">
        <v>25</v>
      </c>
      <c r="E349" s="5" t="s">
        <v>22</v>
      </c>
      <c r="F349" s="5" t="s">
        <v>30</v>
      </c>
      <c r="G349" s="6">
        <v>14921.57</v>
      </c>
    </row>
    <row r="350" spans="1:7" x14ac:dyDescent="0.25">
      <c r="A350" s="3" t="s">
        <v>399</v>
      </c>
      <c r="B350" s="8">
        <v>45758</v>
      </c>
      <c r="C350" s="3" t="s">
        <v>9</v>
      </c>
      <c r="D350" s="3" t="s">
        <v>36</v>
      </c>
      <c r="E350" s="3" t="s">
        <v>38</v>
      </c>
      <c r="F350" s="3" t="s">
        <v>34</v>
      </c>
      <c r="G350" s="4">
        <v>9592.7900000000009</v>
      </c>
    </row>
    <row r="351" spans="1:7" x14ac:dyDescent="0.25">
      <c r="A351" s="5" t="s">
        <v>400</v>
      </c>
      <c r="B351" s="7">
        <v>45891</v>
      </c>
      <c r="C351" s="5" t="s">
        <v>54</v>
      </c>
      <c r="D351" s="5" t="s">
        <v>16</v>
      </c>
      <c r="E351" s="5" t="s">
        <v>29</v>
      </c>
      <c r="F351" s="5" t="s">
        <v>23</v>
      </c>
      <c r="G351" s="6">
        <v>9881.34</v>
      </c>
    </row>
    <row r="352" spans="1:7" x14ac:dyDescent="0.25">
      <c r="A352" s="3" t="s">
        <v>401</v>
      </c>
      <c r="B352" s="8">
        <v>45906</v>
      </c>
      <c r="C352" s="3" t="s">
        <v>54</v>
      </c>
      <c r="D352" s="3" t="s">
        <v>25</v>
      </c>
      <c r="E352" s="3" t="s">
        <v>59</v>
      </c>
      <c r="F352" s="3" t="s">
        <v>44</v>
      </c>
      <c r="G352" s="4">
        <v>11126.74</v>
      </c>
    </row>
    <row r="353" spans="1:7" x14ac:dyDescent="0.25">
      <c r="A353" s="5" t="s">
        <v>402</v>
      </c>
      <c r="B353" s="7">
        <v>46017</v>
      </c>
      <c r="C353" s="5" t="s">
        <v>40</v>
      </c>
      <c r="D353" s="5" t="s">
        <v>36</v>
      </c>
      <c r="E353" s="5" t="s">
        <v>38</v>
      </c>
      <c r="F353" s="5" t="s">
        <v>62</v>
      </c>
      <c r="G353" s="6">
        <v>5067.71</v>
      </c>
    </row>
    <row r="354" spans="1:7" x14ac:dyDescent="0.25">
      <c r="A354" s="3" t="s">
        <v>403</v>
      </c>
      <c r="B354" s="8">
        <v>45696</v>
      </c>
      <c r="C354" s="3" t="s">
        <v>54</v>
      </c>
      <c r="D354" s="3" t="s">
        <v>36</v>
      </c>
      <c r="E354" s="3" t="s">
        <v>87</v>
      </c>
      <c r="F354" s="3" t="s">
        <v>32</v>
      </c>
      <c r="G354" s="4">
        <v>11831.95</v>
      </c>
    </row>
    <row r="355" spans="1:7" x14ac:dyDescent="0.25">
      <c r="A355" s="5" t="s">
        <v>404</v>
      </c>
      <c r="B355" s="7">
        <v>45820</v>
      </c>
      <c r="C355" s="5" t="s">
        <v>54</v>
      </c>
      <c r="D355" s="5" t="s">
        <v>16</v>
      </c>
      <c r="E355" s="5" t="s">
        <v>59</v>
      </c>
      <c r="F355" s="5" t="s">
        <v>23</v>
      </c>
      <c r="G355" s="6">
        <v>1810.83</v>
      </c>
    </row>
    <row r="356" spans="1:7" x14ac:dyDescent="0.25">
      <c r="A356" s="3" t="s">
        <v>405</v>
      </c>
      <c r="B356" s="8">
        <v>45685</v>
      </c>
      <c r="C356" s="3" t="s">
        <v>9</v>
      </c>
      <c r="D356" s="3" t="s">
        <v>25</v>
      </c>
      <c r="E356" s="3" t="s">
        <v>59</v>
      </c>
      <c r="F356" s="3" t="s">
        <v>62</v>
      </c>
      <c r="G356" s="4">
        <v>2958.43</v>
      </c>
    </row>
    <row r="357" spans="1:7" x14ac:dyDescent="0.25">
      <c r="A357" s="5" t="s">
        <v>406</v>
      </c>
      <c r="B357" s="7">
        <v>45716</v>
      </c>
      <c r="C357" s="5" t="s">
        <v>9</v>
      </c>
      <c r="D357" s="5" t="s">
        <v>10</v>
      </c>
      <c r="E357" s="5" t="s">
        <v>17</v>
      </c>
      <c r="F357" s="5" t="s">
        <v>18</v>
      </c>
      <c r="G357" s="6">
        <v>6225.95</v>
      </c>
    </row>
    <row r="358" spans="1:7" x14ac:dyDescent="0.25">
      <c r="A358" s="3" t="s">
        <v>407</v>
      </c>
      <c r="B358" s="8">
        <v>45721</v>
      </c>
      <c r="C358" s="3" t="s">
        <v>56</v>
      </c>
      <c r="D358" s="3" t="s">
        <v>16</v>
      </c>
      <c r="E358" s="3" t="s">
        <v>11</v>
      </c>
      <c r="F358" s="3" t="s">
        <v>70</v>
      </c>
      <c r="G358" s="4">
        <v>13398.03</v>
      </c>
    </row>
    <row r="359" spans="1:7" x14ac:dyDescent="0.25">
      <c r="A359" s="5" t="s">
        <v>408</v>
      </c>
      <c r="B359" s="7">
        <v>45874</v>
      </c>
      <c r="C359" s="5" t="s">
        <v>54</v>
      </c>
      <c r="D359" s="5" t="s">
        <v>36</v>
      </c>
      <c r="E359" s="5" t="s">
        <v>51</v>
      </c>
      <c r="F359" s="5" t="s">
        <v>41</v>
      </c>
      <c r="G359" s="6">
        <v>5022.8100000000004</v>
      </c>
    </row>
    <row r="360" spans="1:7" x14ac:dyDescent="0.25">
      <c r="A360" s="3" t="s">
        <v>409</v>
      </c>
      <c r="B360" s="8">
        <v>45727</v>
      </c>
      <c r="C360" s="3" t="s">
        <v>9</v>
      </c>
      <c r="D360" s="3" t="s">
        <v>25</v>
      </c>
      <c r="E360" s="3" t="s">
        <v>77</v>
      </c>
      <c r="F360" s="3" t="s">
        <v>41</v>
      </c>
      <c r="G360" s="4">
        <v>4139.24</v>
      </c>
    </row>
    <row r="361" spans="1:7" x14ac:dyDescent="0.25">
      <c r="A361" s="5" t="s">
        <v>410</v>
      </c>
      <c r="B361" s="7">
        <v>45735</v>
      </c>
      <c r="C361" s="5" t="s">
        <v>43</v>
      </c>
      <c r="D361" s="5" t="s">
        <v>36</v>
      </c>
      <c r="E361" s="5" t="s">
        <v>59</v>
      </c>
      <c r="F361" s="5" t="s">
        <v>75</v>
      </c>
      <c r="G361" s="6">
        <v>11465.36</v>
      </c>
    </row>
    <row r="362" spans="1:7" x14ac:dyDescent="0.25">
      <c r="A362" s="3" t="s">
        <v>411</v>
      </c>
      <c r="B362" s="8">
        <v>45693</v>
      </c>
      <c r="C362" s="3" t="s">
        <v>40</v>
      </c>
      <c r="D362" s="3" t="s">
        <v>10</v>
      </c>
      <c r="E362" s="3" t="s">
        <v>38</v>
      </c>
      <c r="F362" s="3" t="s">
        <v>32</v>
      </c>
      <c r="G362" s="4">
        <v>6080.73</v>
      </c>
    </row>
    <row r="363" spans="1:7" x14ac:dyDescent="0.25">
      <c r="A363" s="5" t="s">
        <v>412</v>
      </c>
      <c r="B363" s="7">
        <v>45882</v>
      </c>
      <c r="C363" s="5" t="s">
        <v>21</v>
      </c>
      <c r="D363" s="5" t="s">
        <v>25</v>
      </c>
      <c r="E363" s="5" t="s">
        <v>17</v>
      </c>
      <c r="F363" s="5" t="s">
        <v>57</v>
      </c>
      <c r="G363" s="6">
        <v>10973.35</v>
      </c>
    </row>
    <row r="364" spans="1:7" x14ac:dyDescent="0.25">
      <c r="A364" s="3" t="s">
        <v>413</v>
      </c>
      <c r="B364" s="8">
        <v>45668</v>
      </c>
      <c r="C364" s="3" t="s">
        <v>43</v>
      </c>
      <c r="D364" s="3" t="s">
        <v>36</v>
      </c>
      <c r="E364" s="3" t="s">
        <v>77</v>
      </c>
      <c r="F364" s="3" t="s">
        <v>27</v>
      </c>
      <c r="G364" s="4">
        <v>111.65</v>
      </c>
    </row>
    <row r="365" spans="1:7" x14ac:dyDescent="0.25">
      <c r="A365" s="5" t="s">
        <v>414</v>
      </c>
      <c r="B365" s="7">
        <v>45999</v>
      </c>
      <c r="C365" s="5" t="s">
        <v>56</v>
      </c>
      <c r="D365" s="5" t="s">
        <v>16</v>
      </c>
      <c r="E365" s="5" t="s">
        <v>87</v>
      </c>
      <c r="F365" s="5" t="s">
        <v>44</v>
      </c>
      <c r="G365" s="6">
        <v>1585.49</v>
      </c>
    </row>
    <row r="366" spans="1:7" x14ac:dyDescent="0.25">
      <c r="A366" s="3" t="s">
        <v>415</v>
      </c>
      <c r="B366" s="8">
        <v>45919</v>
      </c>
      <c r="C366" s="3" t="s">
        <v>54</v>
      </c>
      <c r="D366" s="3" t="s">
        <v>36</v>
      </c>
      <c r="E366" s="3" t="s">
        <v>51</v>
      </c>
      <c r="F366" s="3" t="s">
        <v>23</v>
      </c>
      <c r="G366" s="4">
        <v>733.49</v>
      </c>
    </row>
    <row r="367" spans="1:7" x14ac:dyDescent="0.25">
      <c r="A367" s="5" t="s">
        <v>416</v>
      </c>
      <c r="B367" s="7">
        <v>45792</v>
      </c>
      <c r="C367" s="5" t="s">
        <v>9</v>
      </c>
      <c r="D367" s="5" t="s">
        <v>16</v>
      </c>
      <c r="E367" s="5" t="s">
        <v>11</v>
      </c>
      <c r="F367" s="5" t="s">
        <v>62</v>
      </c>
      <c r="G367" s="6">
        <v>10317.36</v>
      </c>
    </row>
    <row r="368" spans="1:7" x14ac:dyDescent="0.25">
      <c r="A368" s="3" t="s">
        <v>417</v>
      </c>
      <c r="B368" s="8">
        <v>45727</v>
      </c>
      <c r="C368" s="3" t="s">
        <v>15</v>
      </c>
      <c r="D368" s="3" t="s">
        <v>16</v>
      </c>
      <c r="E368" s="3" t="s">
        <v>46</v>
      </c>
      <c r="F368" s="3" t="s">
        <v>44</v>
      </c>
      <c r="G368" s="4">
        <v>14223.86</v>
      </c>
    </row>
    <row r="369" spans="1:7" x14ac:dyDescent="0.25">
      <c r="A369" s="5" t="s">
        <v>418</v>
      </c>
      <c r="B369" s="7">
        <v>45839</v>
      </c>
      <c r="C369" s="5" t="s">
        <v>56</v>
      </c>
      <c r="D369" s="5" t="s">
        <v>36</v>
      </c>
      <c r="E369" s="5" t="s">
        <v>29</v>
      </c>
      <c r="F369" s="5" t="s">
        <v>57</v>
      </c>
      <c r="G369" s="6">
        <v>11024.45</v>
      </c>
    </row>
    <row r="370" spans="1:7" x14ac:dyDescent="0.25">
      <c r="A370" s="3" t="s">
        <v>419</v>
      </c>
      <c r="B370" s="8">
        <v>45947</v>
      </c>
      <c r="C370" s="3" t="s">
        <v>56</v>
      </c>
      <c r="D370" s="3" t="s">
        <v>25</v>
      </c>
      <c r="E370" s="3" t="s">
        <v>26</v>
      </c>
      <c r="F370" s="3" t="s">
        <v>30</v>
      </c>
      <c r="G370" s="4">
        <v>9775.58</v>
      </c>
    </row>
    <row r="371" spans="1:7" x14ac:dyDescent="0.25">
      <c r="A371" s="5" t="s">
        <v>420</v>
      </c>
      <c r="B371" s="7">
        <v>45670</v>
      </c>
      <c r="C371" s="5" t="s">
        <v>9</v>
      </c>
      <c r="D371" s="5" t="s">
        <v>16</v>
      </c>
      <c r="E371" s="5" t="s">
        <v>17</v>
      </c>
      <c r="F371" s="5" t="s">
        <v>70</v>
      </c>
      <c r="G371" s="6">
        <v>776.38</v>
      </c>
    </row>
    <row r="372" spans="1:7" x14ac:dyDescent="0.25">
      <c r="A372" s="3" t="s">
        <v>421</v>
      </c>
      <c r="B372" s="8">
        <v>45679</v>
      </c>
      <c r="C372" s="3" t="s">
        <v>21</v>
      </c>
      <c r="D372" s="3" t="s">
        <v>25</v>
      </c>
      <c r="E372" s="3" t="s">
        <v>77</v>
      </c>
      <c r="F372" s="3" t="s">
        <v>30</v>
      </c>
      <c r="G372" s="4">
        <v>1781.06</v>
      </c>
    </row>
    <row r="373" spans="1:7" x14ac:dyDescent="0.25">
      <c r="A373" s="5" t="s">
        <v>422</v>
      </c>
      <c r="B373" s="7">
        <v>45882</v>
      </c>
      <c r="C373" s="5" t="s">
        <v>21</v>
      </c>
      <c r="D373" s="5" t="s">
        <v>16</v>
      </c>
      <c r="E373" s="5" t="s">
        <v>59</v>
      </c>
      <c r="F373" s="5" t="s">
        <v>30</v>
      </c>
      <c r="G373" s="6">
        <v>2339.25</v>
      </c>
    </row>
    <row r="374" spans="1:7" x14ac:dyDescent="0.25">
      <c r="A374" s="3" t="s">
        <v>423</v>
      </c>
      <c r="B374" s="8">
        <v>46013</v>
      </c>
      <c r="C374" s="3" t="s">
        <v>9</v>
      </c>
      <c r="D374" s="3" t="s">
        <v>25</v>
      </c>
      <c r="E374" s="3" t="s">
        <v>87</v>
      </c>
      <c r="F374" s="3" t="s">
        <v>32</v>
      </c>
      <c r="G374" s="4">
        <v>9941.89</v>
      </c>
    </row>
    <row r="375" spans="1:7" x14ac:dyDescent="0.25">
      <c r="A375" s="5" t="s">
        <v>424</v>
      </c>
      <c r="B375" s="7">
        <v>45978</v>
      </c>
      <c r="C375" s="5" t="s">
        <v>54</v>
      </c>
      <c r="D375" s="5" t="s">
        <v>36</v>
      </c>
      <c r="E375" s="5" t="s">
        <v>11</v>
      </c>
      <c r="F375" s="5" t="s">
        <v>23</v>
      </c>
      <c r="G375" s="6">
        <v>13484.4</v>
      </c>
    </row>
    <row r="376" spans="1:7" x14ac:dyDescent="0.25">
      <c r="A376" s="3" t="s">
        <v>425</v>
      </c>
      <c r="B376" s="8">
        <v>45924</v>
      </c>
      <c r="C376" s="3" t="s">
        <v>40</v>
      </c>
      <c r="D376" s="3" t="s">
        <v>25</v>
      </c>
      <c r="E376" s="3" t="s">
        <v>87</v>
      </c>
      <c r="F376" s="3" t="s">
        <v>47</v>
      </c>
      <c r="G376" s="4">
        <v>11782.16</v>
      </c>
    </row>
    <row r="377" spans="1:7" x14ac:dyDescent="0.25">
      <c r="A377" s="5" t="s">
        <v>426</v>
      </c>
      <c r="B377" s="7">
        <v>45876</v>
      </c>
      <c r="C377" s="5" t="s">
        <v>40</v>
      </c>
      <c r="D377" s="5" t="s">
        <v>36</v>
      </c>
      <c r="E377" s="5" t="s">
        <v>87</v>
      </c>
      <c r="F377" s="5" t="s">
        <v>23</v>
      </c>
      <c r="G377" s="6">
        <v>7871.03</v>
      </c>
    </row>
    <row r="378" spans="1:7" x14ac:dyDescent="0.25">
      <c r="A378" s="3" t="s">
        <v>427</v>
      </c>
      <c r="B378" s="8">
        <v>45759</v>
      </c>
      <c r="C378" s="3" t="s">
        <v>9</v>
      </c>
      <c r="D378" s="3" t="s">
        <v>10</v>
      </c>
      <c r="E378" s="3" t="s">
        <v>87</v>
      </c>
      <c r="F378" s="3" t="s">
        <v>44</v>
      </c>
      <c r="G378" s="4">
        <v>639.12</v>
      </c>
    </row>
    <row r="379" spans="1:7" x14ac:dyDescent="0.25">
      <c r="A379" s="5" t="s">
        <v>428</v>
      </c>
      <c r="B379" s="7">
        <v>45876</v>
      </c>
      <c r="C379" s="5" t="s">
        <v>9</v>
      </c>
      <c r="D379" s="5" t="s">
        <v>10</v>
      </c>
      <c r="E379" s="5" t="s">
        <v>26</v>
      </c>
      <c r="F379" s="5" t="s">
        <v>57</v>
      </c>
      <c r="G379" s="6">
        <v>90.93</v>
      </c>
    </row>
    <row r="380" spans="1:7" x14ac:dyDescent="0.25">
      <c r="A380" s="3" t="s">
        <v>429</v>
      </c>
      <c r="B380" s="8">
        <v>45964</v>
      </c>
      <c r="C380" s="3" t="s">
        <v>21</v>
      </c>
      <c r="D380" s="3" t="s">
        <v>10</v>
      </c>
      <c r="E380" s="3" t="s">
        <v>29</v>
      </c>
      <c r="F380" s="3" t="s">
        <v>47</v>
      </c>
      <c r="G380" s="4">
        <v>11703.92</v>
      </c>
    </row>
    <row r="381" spans="1:7" x14ac:dyDescent="0.25">
      <c r="A381" s="5" t="s">
        <v>430</v>
      </c>
      <c r="B381" s="7">
        <v>45712</v>
      </c>
      <c r="C381" s="5" t="s">
        <v>9</v>
      </c>
      <c r="D381" s="5" t="s">
        <v>25</v>
      </c>
      <c r="E381" s="5" t="s">
        <v>87</v>
      </c>
      <c r="F381" s="5" t="s">
        <v>27</v>
      </c>
      <c r="G381" s="6">
        <v>3505.85</v>
      </c>
    </row>
    <row r="382" spans="1:7" x14ac:dyDescent="0.25">
      <c r="A382" s="3" t="s">
        <v>431</v>
      </c>
      <c r="B382" s="8">
        <v>45786</v>
      </c>
      <c r="C382" s="3" t="s">
        <v>15</v>
      </c>
      <c r="D382" s="3" t="s">
        <v>25</v>
      </c>
      <c r="E382" s="3" t="s">
        <v>51</v>
      </c>
      <c r="F382" s="3" t="s">
        <v>23</v>
      </c>
      <c r="G382" s="4">
        <v>2661.79</v>
      </c>
    </row>
    <row r="383" spans="1:7" x14ac:dyDescent="0.25">
      <c r="A383" s="5" t="s">
        <v>432</v>
      </c>
      <c r="B383" s="7">
        <v>45685</v>
      </c>
      <c r="C383" s="5" t="s">
        <v>54</v>
      </c>
      <c r="D383" s="5" t="s">
        <v>16</v>
      </c>
      <c r="E383" s="5" t="s">
        <v>38</v>
      </c>
      <c r="F383" s="5" t="s">
        <v>12</v>
      </c>
      <c r="G383" s="6">
        <v>6418.63</v>
      </c>
    </row>
    <row r="384" spans="1:7" x14ac:dyDescent="0.25">
      <c r="A384" s="3" t="s">
        <v>433</v>
      </c>
      <c r="B384" s="8">
        <v>45692</v>
      </c>
      <c r="C384" s="3" t="s">
        <v>43</v>
      </c>
      <c r="D384" s="3" t="s">
        <v>25</v>
      </c>
      <c r="E384" s="3" t="s">
        <v>77</v>
      </c>
      <c r="F384" s="3" t="s">
        <v>23</v>
      </c>
      <c r="G384" s="4">
        <v>2119</v>
      </c>
    </row>
    <row r="385" spans="1:7" x14ac:dyDescent="0.25">
      <c r="A385" s="5" t="s">
        <v>434</v>
      </c>
      <c r="B385" s="7">
        <v>45967</v>
      </c>
      <c r="C385" s="5" t="s">
        <v>54</v>
      </c>
      <c r="D385" s="5" t="s">
        <v>16</v>
      </c>
      <c r="E385" s="5" t="s">
        <v>59</v>
      </c>
      <c r="F385" s="5" t="s">
        <v>70</v>
      </c>
      <c r="G385" s="6">
        <v>4061.23</v>
      </c>
    </row>
    <row r="386" spans="1:7" x14ac:dyDescent="0.25">
      <c r="A386" s="3" t="s">
        <v>435</v>
      </c>
      <c r="B386" s="8">
        <v>45994</v>
      </c>
      <c r="C386" s="3" t="s">
        <v>54</v>
      </c>
      <c r="D386" s="3" t="s">
        <v>16</v>
      </c>
      <c r="E386" s="3" t="s">
        <v>29</v>
      </c>
      <c r="F386" s="3" t="s">
        <v>47</v>
      </c>
      <c r="G386" s="4">
        <v>6041.62</v>
      </c>
    </row>
    <row r="387" spans="1:7" x14ac:dyDescent="0.25">
      <c r="A387" s="5" t="s">
        <v>436</v>
      </c>
      <c r="B387" s="7">
        <v>45878</v>
      </c>
      <c r="C387" s="5" t="s">
        <v>43</v>
      </c>
      <c r="D387" s="5" t="s">
        <v>10</v>
      </c>
      <c r="E387" s="5" t="s">
        <v>59</v>
      </c>
      <c r="F387" s="5" t="s">
        <v>75</v>
      </c>
      <c r="G387" s="6">
        <v>6355.01</v>
      </c>
    </row>
    <row r="388" spans="1:7" x14ac:dyDescent="0.25">
      <c r="A388" s="3" t="s">
        <v>437</v>
      </c>
      <c r="B388" s="8">
        <v>45720</v>
      </c>
      <c r="C388" s="3" t="s">
        <v>56</v>
      </c>
      <c r="D388" s="3" t="s">
        <v>25</v>
      </c>
      <c r="E388" s="3" t="s">
        <v>29</v>
      </c>
      <c r="F388" s="3" t="s">
        <v>47</v>
      </c>
      <c r="G388" s="4">
        <v>6269.61</v>
      </c>
    </row>
    <row r="389" spans="1:7" x14ac:dyDescent="0.25">
      <c r="A389" s="5" t="s">
        <v>438</v>
      </c>
      <c r="B389" s="7">
        <v>45946</v>
      </c>
      <c r="C389" s="5" t="s">
        <v>43</v>
      </c>
      <c r="D389" s="5" t="s">
        <v>10</v>
      </c>
      <c r="E389" s="5" t="s">
        <v>29</v>
      </c>
      <c r="F389" s="5" t="s">
        <v>70</v>
      </c>
      <c r="G389" s="6">
        <v>5727.27</v>
      </c>
    </row>
    <row r="390" spans="1:7" x14ac:dyDescent="0.25">
      <c r="A390" s="3" t="s">
        <v>439</v>
      </c>
      <c r="B390" s="8">
        <v>45828</v>
      </c>
      <c r="C390" s="3" t="s">
        <v>21</v>
      </c>
      <c r="D390" s="3" t="s">
        <v>36</v>
      </c>
      <c r="E390" s="3" t="s">
        <v>59</v>
      </c>
      <c r="F390" s="3" t="s">
        <v>62</v>
      </c>
      <c r="G390" s="4">
        <v>7347.44</v>
      </c>
    </row>
    <row r="391" spans="1:7" x14ac:dyDescent="0.25">
      <c r="A391" s="5" t="s">
        <v>440</v>
      </c>
      <c r="B391" s="7">
        <v>45853</v>
      </c>
      <c r="C391" s="5" t="s">
        <v>21</v>
      </c>
      <c r="D391" s="5" t="s">
        <v>25</v>
      </c>
      <c r="E391" s="5" t="s">
        <v>87</v>
      </c>
      <c r="F391" s="5" t="s">
        <v>27</v>
      </c>
      <c r="G391" s="6">
        <v>4747.8599999999997</v>
      </c>
    </row>
    <row r="392" spans="1:7" x14ac:dyDescent="0.25">
      <c r="A392" s="3" t="s">
        <v>441</v>
      </c>
      <c r="B392" s="8">
        <v>46019</v>
      </c>
      <c r="C392" s="3" t="s">
        <v>9</v>
      </c>
      <c r="D392" s="3" t="s">
        <v>36</v>
      </c>
      <c r="E392" s="3" t="s">
        <v>38</v>
      </c>
      <c r="F392" s="3" t="s">
        <v>23</v>
      </c>
      <c r="G392" s="4">
        <v>5107.59</v>
      </c>
    </row>
    <row r="393" spans="1:7" x14ac:dyDescent="0.25">
      <c r="A393" s="5" t="s">
        <v>442</v>
      </c>
      <c r="B393" s="7">
        <v>45923</v>
      </c>
      <c r="C393" s="5" t="s">
        <v>9</v>
      </c>
      <c r="D393" s="5" t="s">
        <v>25</v>
      </c>
      <c r="E393" s="5" t="s">
        <v>11</v>
      </c>
      <c r="F393" s="5" t="s">
        <v>27</v>
      </c>
      <c r="G393" s="6">
        <v>10913.45</v>
      </c>
    </row>
    <row r="394" spans="1:7" x14ac:dyDescent="0.25">
      <c r="A394" s="3" t="s">
        <v>443</v>
      </c>
      <c r="B394" s="8">
        <v>45881</v>
      </c>
      <c r="C394" s="3" t="s">
        <v>9</v>
      </c>
      <c r="D394" s="3" t="s">
        <v>10</v>
      </c>
      <c r="E394" s="3" t="s">
        <v>29</v>
      </c>
      <c r="F394" s="3" t="s">
        <v>23</v>
      </c>
      <c r="G394" s="4">
        <v>12405.25</v>
      </c>
    </row>
    <row r="395" spans="1:7" x14ac:dyDescent="0.25">
      <c r="A395" s="5" t="s">
        <v>444</v>
      </c>
      <c r="B395" s="7">
        <v>45932</v>
      </c>
      <c r="C395" s="5" t="s">
        <v>21</v>
      </c>
      <c r="D395" s="5" t="s">
        <v>36</v>
      </c>
      <c r="E395" s="5" t="s">
        <v>17</v>
      </c>
      <c r="F395" s="5" t="s">
        <v>23</v>
      </c>
      <c r="G395" s="6">
        <v>7065.87</v>
      </c>
    </row>
    <row r="396" spans="1:7" x14ac:dyDescent="0.25">
      <c r="A396" s="3" t="s">
        <v>445</v>
      </c>
      <c r="B396" s="8">
        <v>45897</v>
      </c>
      <c r="C396" s="3" t="s">
        <v>56</v>
      </c>
      <c r="D396" s="3" t="s">
        <v>25</v>
      </c>
      <c r="E396" s="3" t="s">
        <v>59</v>
      </c>
      <c r="F396" s="3" t="s">
        <v>12</v>
      </c>
      <c r="G396" s="4">
        <v>3651.33</v>
      </c>
    </row>
    <row r="397" spans="1:7" x14ac:dyDescent="0.25">
      <c r="A397" s="5" t="s">
        <v>446</v>
      </c>
      <c r="B397" s="7">
        <v>45779</v>
      </c>
      <c r="C397" s="5" t="s">
        <v>40</v>
      </c>
      <c r="D397" s="5" t="s">
        <v>36</v>
      </c>
      <c r="E397" s="5" t="s">
        <v>17</v>
      </c>
      <c r="F397" s="5" t="s">
        <v>27</v>
      </c>
      <c r="G397" s="6">
        <v>5710.63</v>
      </c>
    </row>
    <row r="398" spans="1:7" x14ac:dyDescent="0.25">
      <c r="A398" s="3" t="s">
        <v>447</v>
      </c>
      <c r="B398" s="8">
        <v>45750</v>
      </c>
      <c r="C398" s="3" t="s">
        <v>15</v>
      </c>
      <c r="D398" s="3" t="s">
        <v>10</v>
      </c>
      <c r="E398" s="3" t="s">
        <v>22</v>
      </c>
      <c r="F398" s="3" t="s">
        <v>41</v>
      </c>
      <c r="G398" s="4">
        <v>1365.9</v>
      </c>
    </row>
    <row r="399" spans="1:7" x14ac:dyDescent="0.25">
      <c r="A399" s="5" t="s">
        <v>448</v>
      </c>
      <c r="B399" s="7">
        <v>45884</v>
      </c>
      <c r="C399" s="5" t="s">
        <v>54</v>
      </c>
      <c r="D399" s="5" t="s">
        <v>25</v>
      </c>
      <c r="E399" s="5" t="s">
        <v>59</v>
      </c>
      <c r="F399" s="5" t="s">
        <v>30</v>
      </c>
      <c r="G399" s="6">
        <v>9817.93</v>
      </c>
    </row>
    <row r="400" spans="1:7" x14ac:dyDescent="0.25">
      <c r="A400" s="3" t="s">
        <v>449</v>
      </c>
      <c r="B400" s="8">
        <v>45701</v>
      </c>
      <c r="C400" s="3" t="s">
        <v>15</v>
      </c>
      <c r="D400" s="3" t="s">
        <v>25</v>
      </c>
      <c r="E400" s="3" t="s">
        <v>17</v>
      </c>
      <c r="F400" s="3" t="s">
        <v>34</v>
      </c>
      <c r="G400" s="4">
        <v>52.54</v>
      </c>
    </row>
    <row r="401" spans="1:7" x14ac:dyDescent="0.25">
      <c r="A401" s="5" t="s">
        <v>450</v>
      </c>
      <c r="B401" s="7">
        <v>45714</v>
      </c>
      <c r="C401" s="5" t="s">
        <v>40</v>
      </c>
      <c r="D401" s="5" t="s">
        <v>16</v>
      </c>
      <c r="E401" s="5" t="s">
        <v>17</v>
      </c>
      <c r="F401" s="5" t="s">
        <v>34</v>
      </c>
      <c r="G401" s="6">
        <v>3142.43</v>
      </c>
    </row>
    <row r="402" spans="1:7" x14ac:dyDescent="0.25">
      <c r="A402" s="3" t="s">
        <v>451</v>
      </c>
      <c r="B402" s="8">
        <v>45976</v>
      </c>
      <c r="C402" s="3" t="s">
        <v>54</v>
      </c>
      <c r="D402" s="3" t="s">
        <v>16</v>
      </c>
      <c r="E402" s="3" t="s">
        <v>77</v>
      </c>
      <c r="F402" s="3" t="s">
        <v>23</v>
      </c>
      <c r="G402" s="4">
        <v>3382.63</v>
      </c>
    </row>
    <row r="403" spans="1:7" x14ac:dyDescent="0.25">
      <c r="A403" s="5" t="s">
        <v>452</v>
      </c>
      <c r="B403" s="7">
        <v>45880</v>
      </c>
      <c r="C403" s="5" t="s">
        <v>40</v>
      </c>
      <c r="D403" s="5" t="s">
        <v>10</v>
      </c>
      <c r="E403" s="5" t="s">
        <v>38</v>
      </c>
      <c r="F403" s="5" t="s">
        <v>12</v>
      </c>
      <c r="G403" s="6">
        <v>10752.91</v>
      </c>
    </row>
    <row r="404" spans="1:7" x14ac:dyDescent="0.25">
      <c r="A404" s="3" t="s">
        <v>453</v>
      </c>
      <c r="B404" s="8">
        <v>45692</v>
      </c>
      <c r="C404" s="3" t="s">
        <v>43</v>
      </c>
      <c r="D404" s="3" t="s">
        <v>36</v>
      </c>
      <c r="E404" s="3" t="s">
        <v>77</v>
      </c>
      <c r="F404" s="3" t="s">
        <v>12</v>
      </c>
      <c r="G404" s="4">
        <v>5359.33</v>
      </c>
    </row>
    <row r="405" spans="1:7" x14ac:dyDescent="0.25">
      <c r="A405" s="5" t="s">
        <v>454</v>
      </c>
      <c r="B405" s="7">
        <v>45987</v>
      </c>
      <c r="C405" s="5" t="s">
        <v>54</v>
      </c>
      <c r="D405" s="5" t="s">
        <v>16</v>
      </c>
      <c r="E405" s="5" t="s">
        <v>51</v>
      </c>
      <c r="F405" s="5" t="s">
        <v>60</v>
      </c>
      <c r="G405" s="6">
        <v>13458.31</v>
      </c>
    </row>
    <row r="406" spans="1:7" x14ac:dyDescent="0.25">
      <c r="A406" s="3" t="s">
        <v>455</v>
      </c>
      <c r="B406" s="8">
        <v>45874</v>
      </c>
      <c r="C406" s="3" t="s">
        <v>43</v>
      </c>
      <c r="D406" s="3" t="s">
        <v>10</v>
      </c>
      <c r="E406" s="3" t="s">
        <v>51</v>
      </c>
      <c r="F406" s="3" t="s">
        <v>18</v>
      </c>
      <c r="G406" s="4">
        <v>9182.23</v>
      </c>
    </row>
    <row r="407" spans="1:7" x14ac:dyDescent="0.25">
      <c r="A407" s="5" t="s">
        <v>456</v>
      </c>
      <c r="B407" s="7">
        <v>45751</v>
      </c>
      <c r="C407" s="5" t="s">
        <v>43</v>
      </c>
      <c r="D407" s="5" t="s">
        <v>10</v>
      </c>
      <c r="E407" s="5" t="s">
        <v>46</v>
      </c>
      <c r="F407" s="5" t="s">
        <v>41</v>
      </c>
      <c r="G407" s="6">
        <v>12377.08</v>
      </c>
    </row>
    <row r="408" spans="1:7" x14ac:dyDescent="0.25">
      <c r="A408" s="3" t="s">
        <v>457</v>
      </c>
      <c r="B408" s="8">
        <v>45770</v>
      </c>
      <c r="C408" s="3" t="s">
        <v>54</v>
      </c>
      <c r="D408" s="3" t="s">
        <v>25</v>
      </c>
      <c r="E408" s="3" t="s">
        <v>11</v>
      </c>
      <c r="F408" s="3" t="s">
        <v>60</v>
      </c>
      <c r="G408" s="4">
        <v>13903.07</v>
      </c>
    </row>
    <row r="409" spans="1:7" x14ac:dyDescent="0.25">
      <c r="A409" s="5" t="s">
        <v>458</v>
      </c>
      <c r="B409" s="7">
        <v>45980</v>
      </c>
      <c r="C409" s="5" t="s">
        <v>21</v>
      </c>
      <c r="D409" s="5" t="s">
        <v>10</v>
      </c>
      <c r="E409" s="5" t="s">
        <v>59</v>
      </c>
      <c r="F409" s="5" t="s">
        <v>27</v>
      </c>
      <c r="G409" s="6">
        <v>8860.2800000000007</v>
      </c>
    </row>
    <row r="410" spans="1:7" x14ac:dyDescent="0.25">
      <c r="A410" s="3" t="s">
        <v>459</v>
      </c>
      <c r="B410" s="8">
        <v>45905</v>
      </c>
      <c r="C410" s="3" t="s">
        <v>15</v>
      </c>
      <c r="D410" s="3" t="s">
        <v>25</v>
      </c>
      <c r="E410" s="3" t="s">
        <v>17</v>
      </c>
      <c r="F410" s="3" t="s">
        <v>30</v>
      </c>
      <c r="G410" s="4">
        <v>776.15</v>
      </c>
    </row>
    <row r="411" spans="1:7" x14ac:dyDescent="0.25">
      <c r="A411" s="5" t="s">
        <v>460</v>
      </c>
      <c r="B411" s="7">
        <v>45865</v>
      </c>
      <c r="C411" s="5" t="s">
        <v>40</v>
      </c>
      <c r="D411" s="5" t="s">
        <v>10</v>
      </c>
      <c r="E411" s="5" t="s">
        <v>17</v>
      </c>
      <c r="F411" s="5" t="s">
        <v>75</v>
      </c>
      <c r="G411" s="63" t="s">
        <v>461</v>
      </c>
    </row>
    <row r="412" spans="1:7" x14ac:dyDescent="0.25">
      <c r="A412" s="3" t="s">
        <v>462</v>
      </c>
      <c r="B412" s="8">
        <v>45739</v>
      </c>
      <c r="C412" s="3" t="s">
        <v>40</v>
      </c>
      <c r="D412" s="3" t="s">
        <v>36</v>
      </c>
      <c r="E412" s="3" t="s">
        <v>29</v>
      </c>
      <c r="F412" s="3" t="s">
        <v>47</v>
      </c>
      <c r="G412" s="4">
        <v>5841.71</v>
      </c>
    </row>
    <row r="413" spans="1:7" x14ac:dyDescent="0.25">
      <c r="A413" s="5" t="s">
        <v>463</v>
      </c>
      <c r="B413" s="7">
        <v>45950</v>
      </c>
      <c r="C413" s="5" t="s">
        <v>54</v>
      </c>
      <c r="D413" s="5" t="s">
        <v>10</v>
      </c>
      <c r="E413" s="5" t="s">
        <v>11</v>
      </c>
      <c r="F413" s="5" t="s">
        <v>70</v>
      </c>
      <c r="G413" s="6">
        <v>13742.86</v>
      </c>
    </row>
    <row r="414" spans="1:7" x14ac:dyDescent="0.25">
      <c r="A414" s="3" t="s">
        <v>464</v>
      </c>
      <c r="B414" s="8">
        <v>45756</v>
      </c>
      <c r="C414" s="3" t="s">
        <v>15</v>
      </c>
      <c r="D414" s="3" t="s">
        <v>16</v>
      </c>
      <c r="E414" s="3" t="s">
        <v>87</v>
      </c>
      <c r="F414" s="3" t="s">
        <v>41</v>
      </c>
      <c r="G414" s="4">
        <v>12081.71</v>
      </c>
    </row>
    <row r="415" spans="1:7" x14ac:dyDescent="0.25">
      <c r="A415" s="5" t="s">
        <v>465</v>
      </c>
      <c r="B415" s="7">
        <v>45730</v>
      </c>
      <c r="C415" s="5" t="s">
        <v>40</v>
      </c>
      <c r="D415" s="5" t="s">
        <v>16</v>
      </c>
      <c r="E415" s="5" t="s">
        <v>17</v>
      </c>
      <c r="F415" s="5" t="s">
        <v>23</v>
      </c>
      <c r="G415" s="6">
        <v>4742.97</v>
      </c>
    </row>
    <row r="416" spans="1:7" x14ac:dyDescent="0.25">
      <c r="A416" s="3" t="s">
        <v>466</v>
      </c>
      <c r="B416" s="8">
        <v>46009</v>
      </c>
      <c r="C416" s="3" t="s">
        <v>9</v>
      </c>
      <c r="D416" s="3" t="s">
        <v>36</v>
      </c>
      <c r="E416" s="3" t="s">
        <v>46</v>
      </c>
      <c r="F416" s="3" t="s">
        <v>57</v>
      </c>
      <c r="G416" s="4">
        <v>9381.31</v>
      </c>
    </row>
    <row r="417" spans="1:7" x14ac:dyDescent="0.25">
      <c r="A417" s="5" t="s">
        <v>467</v>
      </c>
      <c r="B417" s="7">
        <v>45799</v>
      </c>
      <c r="C417" s="5" t="s">
        <v>54</v>
      </c>
      <c r="D417" s="5" t="s">
        <v>36</v>
      </c>
      <c r="E417" s="5" t="s">
        <v>38</v>
      </c>
      <c r="F417" s="5" t="s">
        <v>44</v>
      </c>
      <c r="G417" s="6">
        <v>7583.21</v>
      </c>
    </row>
    <row r="418" spans="1:7" x14ac:dyDescent="0.25">
      <c r="A418" s="3" t="s">
        <v>468</v>
      </c>
      <c r="B418" s="8">
        <v>46012</v>
      </c>
      <c r="C418" s="3" t="s">
        <v>54</v>
      </c>
      <c r="D418" s="3" t="s">
        <v>25</v>
      </c>
      <c r="E418" s="3" t="s">
        <v>26</v>
      </c>
      <c r="F418" s="3" t="s">
        <v>34</v>
      </c>
      <c r="G418" s="4">
        <v>7231.53</v>
      </c>
    </row>
    <row r="419" spans="1:7" x14ac:dyDescent="0.25">
      <c r="A419" s="5" t="s">
        <v>469</v>
      </c>
      <c r="B419" s="7">
        <v>45952</v>
      </c>
      <c r="C419" s="5" t="s">
        <v>9</v>
      </c>
      <c r="D419" s="5" t="s">
        <v>10</v>
      </c>
      <c r="E419" s="5" t="s">
        <v>38</v>
      </c>
      <c r="F419" s="5" t="s">
        <v>30</v>
      </c>
      <c r="G419" s="6">
        <v>13413.3</v>
      </c>
    </row>
    <row r="420" spans="1:7" x14ac:dyDescent="0.25">
      <c r="A420" s="3" t="s">
        <v>470</v>
      </c>
      <c r="B420" s="8">
        <v>45910</v>
      </c>
      <c r="C420" s="3" t="s">
        <v>43</v>
      </c>
      <c r="D420" s="3" t="s">
        <v>10</v>
      </c>
      <c r="E420" s="3" t="s">
        <v>77</v>
      </c>
      <c r="F420" s="3" t="s">
        <v>34</v>
      </c>
      <c r="G420" s="4">
        <v>1641.73</v>
      </c>
    </row>
    <row r="421" spans="1:7" x14ac:dyDescent="0.25">
      <c r="A421" s="5" t="s">
        <v>471</v>
      </c>
      <c r="B421" s="7">
        <v>45843</v>
      </c>
      <c r="C421" s="5" t="s">
        <v>21</v>
      </c>
      <c r="D421" s="5" t="s">
        <v>25</v>
      </c>
      <c r="E421" s="5" t="s">
        <v>46</v>
      </c>
      <c r="F421" s="5" t="s">
        <v>18</v>
      </c>
      <c r="G421" s="6">
        <v>11265.27</v>
      </c>
    </row>
    <row r="422" spans="1:7" x14ac:dyDescent="0.25">
      <c r="A422" s="3" t="s">
        <v>472</v>
      </c>
      <c r="B422" s="8">
        <v>45726</v>
      </c>
      <c r="C422" s="3" t="s">
        <v>9</v>
      </c>
      <c r="D422" s="3" t="s">
        <v>16</v>
      </c>
      <c r="E422" s="3" t="s">
        <v>29</v>
      </c>
      <c r="F422" s="3" t="s">
        <v>23</v>
      </c>
      <c r="G422" s="4">
        <v>977.39</v>
      </c>
    </row>
    <row r="423" spans="1:7" x14ac:dyDescent="0.25">
      <c r="A423" s="5" t="s">
        <v>473</v>
      </c>
      <c r="B423" s="7">
        <v>45784</v>
      </c>
      <c r="C423" s="5" t="s">
        <v>43</v>
      </c>
      <c r="D423" s="5" t="s">
        <v>25</v>
      </c>
      <c r="E423" s="5" t="s">
        <v>26</v>
      </c>
      <c r="F423" s="5" t="s">
        <v>23</v>
      </c>
      <c r="G423" s="6">
        <v>6816.29</v>
      </c>
    </row>
    <row r="424" spans="1:7" x14ac:dyDescent="0.25">
      <c r="A424" s="3" t="s">
        <v>474</v>
      </c>
      <c r="B424" s="8">
        <v>45958</v>
      </c>
      <c r="C424" s="3" t="s">
        <v>9</v>
      </c>
      <c r="D424" s="3" t="s">
        <v>36</v>
      </c>
      <c r="E424" s="3" t="s">
        <v>38</v>
      </c>
      <c r="F424" s="3" t="s">
        <v>34</v>
      </c>
      <c r="G424" s="4">
        <v>5863.86</v>
      </c>
    </row>
    <row r="425" spans="1:7" x14ac:dyDescent="0.25">
      <c r="A425" s="5" t="s">
        <v>475</v>
      </c>
      <c r="B425" s="7">
        <v>45926</v>
      </c>
      <c r="C425" s="5" t="s">
        <v>43</v>
      </c>
      <c r="D425" s="5" t="s">
        <v>16</v>
      </c>
      <c r="E425" s="5" t="s">
        <v>38</v>
      </c>
      <c r="F425" s="5" t="s">
        <v>60</v>
      </c>
      <c r="G425" s="6">
        <v>13900.95</v>
      </c>
    </row>
    <row r="426" spans="1:7" x14ac:dyDescent="0.25">
      <c r="A426" s="3" t="s">
        <v>476</v>
      </c>
      <c r="B426" s="8">
        <v>45852</v>
      </c>
      <c r="C426" s="3" t="s">
        <v>43</v>
      </c>
      <c r="D426" s="3" t="s">
        <v>16</v>
      </c>
      <c r="E426" s="3" t="s">
        <v>17</v>
      </c>
      <c r="F426" s="3" t="s">
        <v>60</v>
      </c>
      <c r="G426" s="4">
        <v>243.83</v>
      </c>
    </row>
    <row r="427" spans="1:7" x14ac:dyDescent="0.25">
      <c r="A427" s="5" t="s">
        <v>477</v>
      </c>
      <c r="B427" s="7">
        <v>45784</v>
      </c>
      <c r="C427" s="5" t="s">
        <v>40</v>
      </c>
      <c r="D427" s="5" t="s">
        <v>10</v>
      </c>
      <c r="E427" s="5" t="s">
        <v>46</v>
      </c>
      <c r="F427" s="5" t="s">
        <v>62</v>
      </c>
      <c r="G427" s="6">
        <v>9525.14</v>
      </c>
    </row>
    <row r="428" spans="1:7" x14ac:dyDescent="0.25">
      <c r="A428" s="3" t="s">
        <v>478</v>
      </c>
      <c r="B428" s="8">
        <v>46012</v>
      </c>
      <c r="C428" s="3" t="s">
        <v>54</v>
      </c>
      <c r="D428" s="3" t="s">
        <v>36</v>
      </c>
      <c r="E428" s="3" t="s">
        <v>46</v>
      </c>
      <c r="F428" s="3" t="s">
        <v>18</v>
      </c>
      <c r="G428" s="4">
        <v>6759.78</v>
      </c>
    </row>
    <row r="429" spans="1:7" x14ac:dyDescent="0.25">
      <c r="A429" s="5" t="s">
        <v>479</v>
      </c>
      <c r="B429" s="7">
        <v>45964</v>
      </c>
      <c r="C429" s="5" t="s">
        <v>56</v>
      </c>
      <c r="D429" s="5" t="s">
        <v>36</v>
      </c>
      <c r="E429" s="5" t="s">
        <v>17</v>
      </c>
      <c r="F429" s="5" t="s">
        <v>47</v>
      </c>
      <c r="G429" s="6">
        <v>5689.11</v>
      </c>
    </row>
    <row r="430" spans="1:7" x14ac:dyDescent="0.25">
      <c r="A430" s="3" t="s">
        <v>480</v>
      </c>
      <c r="B430" s="8">
        <v>45847</v>
      </c>
      <c r="C430" s="3" t="s">
        <v>40</v>
      </c>
      <c r="D430" s="3" t="s">
        <v>16</v>
      </c>
      <c r="E430" s="3" t="s">
        <v>29</v>
      </c>
      <c r="F430" s="3" t="s">
        <v>44</v>
      </c>
      <c r="G430" s="4">
        <v>8780.59</v>
      </c>
    </row>
    <row r="431" spans="1:7" x14ac:dyDescent="0.25">
      <c r="A431" s="5" t="s">
        <v>481</v>
      </c>
      <c r="B431" s="7">
        <v>45778</v>
      </c>
      <c r="C431" s="5" t="s">
        <v>54</v>
      </c>
      <c r="D431" s="5" t="s">
        <v>10</v>
      </c>
      <c r="E431" s="5" t="s">
        <v>29</v>
      </c>
      <c r="F431" s="5" t="s">
        <v>60</v>
      </c>
      <c r="G431" s="6">
        <v>2347.87</v>
      </c>
    </row>
    <row r="432" spans="1:7" x14ac:dyDescent="0.25">
      <c r="A432" s="3" t="s">
        <v>482</v>
      </c>
      <c r="B432" s="8">
        <v>45828</v>
      </c>
      <c r="C432" s="3" t="s">
        <v>21</v>
      </c>
      <c r="D432" s="3" t="s">
        <v>16</v>
      </c>
      <c r="E432" s="3" t="s">
        <v>59</v>
      </c>
      <c r="F432" s="3" t="s">
        <v>75</v>
      </c>
      <c r="G432" s="4">
        <v>8611.52</v>
      </c>
    </row>
    <row r="433" spans="1:7" x14ac:dyDescent="0.25">
      <c r="A433" s="5" t="s">
        <v>483</v>
      </c>
      <c r="B433" s="7">
        <v>45811</v>
      </c>
      <c r="C433" s="5" t="s">
        <v>43</v>
      </c>
      <c r="D433" s="5" t="s">
        <v>16</v>
      </c>
      <c r="E433" s="5" t="s">
        <v>17</v>
      </c>
      <c r="F433" s="5" t="s">
        <v>57</v>
      </c>
      <c r="G433" s="6">
        <v>14356.97</v>
      </c>
    </row>
    <row r="434" spans="1:7" x14ac:dyDescent="0.25">
      <c r="A434" s="3" t="s">
        <v>484</v>
      </c>
      <c r="B434" s="8">
        <v>45903</v>
      </c>
      <c r="C434" s="3" t="s">
        <v>43</v>
      </c>
      <c r="D434" s="3" t="s">
        <v>36</v>
      </c>
      <c r="E434" s="3" t="s">
        <v>11</v>
      </c>
      <c r="F434" s="3" t="s">
        <v>34</v>
      </c>
      <c r="G434" s="4">
        <v>8078.69</v>
      </c>
    </row>
    <row r="435" spans="1:7" x14ac:dyDescent="0.25">
      <c r="A435" s="5" t="s">
        <v>485</v>
      </c>
      <c r="B435" s="7">
        <v>45700</v>
      </c>
      <c r="C435" s="5" t="s">
        <v>56</v>
      </c>
      <c r="D435" s="5" t="s">
        <v>36</v>
      </c>
      <c r="E435" s="5" t="s">
        <v>38</v>
      </c>
      <c r="F435" s="5" t="s">
        <v>12</v>
      </c>
      <c r="G435" s="6">
        <v>4999.4399999999996</v>
      </c>
    </row>
    <row r="436" spans="1:7" x14ac:dyDescent="0.25">
      <c r="A436" s="3" t="s">
        <v>486</v>
      </c>
      <c r="B436" s="8">
        <v>45784</v>
      </c>
      <c r="C436" s="3" t="s">
        <v>43</v>
      </c>
      <c r="D436" s="3" t="s">
        <v>10</v>
      </c>
      <c r="E436" s="3" t="s">
        <v>17</v>
      </c>
      <c r="F436" s="3" t="s">
        <v>23</v>
      </c>
      <c r="G436" s="4">
        <v>11294.4</v>
      </c>
    </row>
    <row r="437" spans="1:7" x14ac:dyDescent="0.25">
      <c r="A437" s="5" t="s">
        <v>487</v>
      </c>
      <c r="B437" s="7">
        <v>45962</v>
      </c>
      <c r="C437" s="5" t="s">
        <v>21</v>
      </c>
      <c r="D437" s="5" t="s">
        <v>16</v>
      </c>
      <c r="E437" s="5" t="s">
        <v>59</v>
      </c>
      <c r="F437" s="5" t="s">
        <v>57</v>
      </c>
      <c r="G437" s="6">
        <v>13572.22</v>
      </c>
    </row>
    <row r="438" spans="1:7" x14ac:dyDescent="0.25">
      <c r="A438" s="3" t="s">
        <v>488</v>
      </c>
      <c r="B438" s="8">
        <v>45950</v>
      </c>
      <c r="C438" s="3" t="s">
        <v>56</v>
      </c>
      <c r="D438" s="3" t="s">
        <v>25</v>
      </c>
      <c r="E438" s="3" t="s">
        <v>38</v>
      </c>
      <c r="F438" s="3" t="s">
        <v>62</v>
      </c>
      <c r="G438" s="4">
        <v>4848.01</v>
      </c>
    </row>
    <row r="439" spans="1:7" x14ac:dyDescent="0.25">
      <c r="A439" s="5" t="s">
        <v>489</v>
      </c>
      <c r="B439" s="7">
        <v>45701</v>
      </c>
      <c r="C439" s="5" t="s">
        <v>54</v>
      </c>
      <c r="D439" s="5" t="s">
        <v>16</v>
      </c>
      <c r="E439" s="5" t="s">
        <v>77</v>
      </c>
      <c r="F439" s="5" t="s">
        <v>62</v>
      </c>
      <c r="G439" s="6">
        <v>7777.17</v>
      </c>
    </row>
    <row r="440" spans="1:7" x14ac:dyDescent="0.25">
      <c r="A440" s="3" t="s">
        <v>490</v>
      </c>
      <c r="B440" s="8">
        <v>45825</v>
      </c>
      <c r="C440" s="3" t="s">
        <v>43</v>
      </c>
      <c r="D440" s="3" t="s">
        <v>10</v>
      </c>
      <c r="E440" s="3" t="s">
        <v>59</v>
      </c>
      <c r="F440" s="3" t="s">
        <v>60</v>
      </c>
      <c r="G440" s="4">
        <v>4481.6899999999996</v>
      </c>
    </row>
    <row r="441" spans="1:7" x14ac:dyDescent="0.25">
      <c r="A441" s="5" t="s">
        <v>491</v>
      </c>
      <c r="B441" s="7">
        <v>45968</v>
      </c>
      <c r="C441" s="5" t="s">
        <v>54</v>
      </c>
      <c r="D441" s="5" t="s">
        <v>25</v>
      </c>
      <c r="E441" s="5" t="s">
        <v>51</v>
      </c>
      <c r="F441" s="5" t="s">
        <v>44</v>
      </c>
      <c r="G441" s="6">
        <v>14575.85</v>
      </c>
    </row>
    <row r="442" spans="1:7" x14ac:dyDescent="0.25">
      <c r="A442" s="3" t="s">
        <v>492</v>
      </c>
      <c r="B442" s="8">
        <v>45918</v>
      </c>
      <c r="C442" s="3" t="s">
        <v>21</v>
      </c>
      <c r="D442" s="3" t="s">
        <v>25</v>
      </c>
      <c r="E442" s="3" t="s">
        <v>46</v>
      </c>
      <c r="F442" s="3" t="s">
        <v>27</v>
      </c>
      <c r="G442" s="4">
        <v>9461.24</v>
      </c>
    </row>
    <row r="443" spans="1:7" x14ac:dyDescent="0.25">
      <c r="A443" s="5" t="s">
        <v>493</v>
      </c>
      <c r="B443" s="7">
        <v>45775</v>
      </c>
      <c r="C443" s="5" t="s">
        <v>9</v>
      </c>
      <c r="D443" s="5" t="s">
        <v>10</v>
      </c>
      <c r="E443" s="5" t="s">
        <v>51</v>
      </c>
      <c r="F443" s="5" t="s">
        <v>57</v>
      </c>
      <c r="G443" s="6">
        <v>8089.43</v>
      </c>
    </row>
    <row r="444" spans="1:7" x14ac:dyDescent="0.25">
      <c r="A444" s="3" t="s">
        <v>494</v>
      </c>
      <c r="B444" s="8">
        <v>46015</v>
      </c>
      <c r="C444" s="3" t="s">
        <v>43</v>
      </c>
      <c r="D444" s="3" t="s">
        <v>10</v>
      </c>
      <c r="E444" s="3" t="s">
        <v>38</v>
      </c>
      <c r="F444" s="3" t="s">
        <v>23</v>
      </c>
      <c r="G444" s="4">
        <v>14099.28</v>
      </c>
    </row>
    <row r="445" spans="1:7" x14ac:dyDescent="0.25">
      <c r="A445" s="5" t="s">
        <v>495</v>
      </c>
      <c r="B445" s="7">
        <v>46013</v>
      </c>
      <c r="C445" s="5" t="s">
        <v>56</v>
      </c>
      <c r="D445" s="5" t="s">
        <v>25</v>
      </c>
      <c r="E445" s="5" t="s">
        <v>59</v>
      </c>
      <c r="F445" s="5" t="s">
        <v>30</v>
      </c>
      <c r="G445" s="6">
        <v>5009.1400000000003</v>
      </c>
    </row>
    <row r="446" spans="1:7" x14ac:dyDescent="0.25">
      <c r="A446" s="3" t="s">
        <v>496</v>
      </c>
      <c r="B446" s="8">
        <v>45691</v>
      </c>
      <c r="C446" s="3" t="s">
        <v>21</v>
      </c>
      <c r="D446" s="3" t="s">
        <v>36</v>
      </c>
      <c r="E446" s="3" t="s">
        <v>87</v>
      </c>
      <c r="F446" s="3" t="s">
        <v>34</v>
      </c>
      <c r="G446" s="4">
        <v>1103.1099999999999</v>
      </c>
    </row>
    <row r="447" spans="1:7" x14ac:dyDescent="0.25">
      <c r="A447" s="5" t="s">
        <v>497</v>
      </c>
      <c r="B447" s="7">
        <v>45756</v>
      </c>
      <c r="C447" s="5" t="s">
        <v>15</v>
      </c>
      <c r="D447" s="5" t="s">
        <v>10</v>
      </c>
      <c r="E447" s="5" t="s">
        <v>59</v>
      </c>
      <c r="F447" s="5" t="s">
        <v>27</v>
      </c>
      <c r="G447" s="6">
        <v>6096.5</v>
      </c>
    </row>
    <row r="448" spans="1:7" x14ac:dyDescent="0.25">
      <c r="A448" s="3" t="s">
        <v>498</v>
      </c>
      <c r="B448" s="8">
        <v>45809</v>
      </c>
      <c r="C448" s="3" t="s">
        <v>15</v>
      </c>
      <c r="D448" s="3" t="s">
        <v>25</v>
      </c>
      <c r="E448" s="3" t="s">
        <v>17</v>
      </c>
      <c r="F448" s="3" t="s">
        <v>60</v>
      </c>
      <c r="G448" s="4">
        <v>9639.27</v>
      </c>
    </row>
    <row r="449" spans="1:7" x14ac:dyDescent="0.25">
      <c r="A449" s="5" t="s">
        <v>499</v>
      </c>
      <c r="B449" s="7">
        <v>45933</v>
      </c>
      <c r="C449" s="5" t="s">
        <v>43</v>
      </c>
      <c r="D449" s="5" t="s">
        <v>25</v>
      </c>
      <c r="E449" s="5" t="s">
        <v>51</v>
      </c>
      <c r="F449" s="5" t="s">
        <v>12</v>
      </c>
      <c r="G449" s="6">
        <v>13924.31</v>
      </c>
    </row>
    <row r="450" spans="1:7" x14ac:dyDescent="0.25">
      <c r="A450" s="3" t="s">
        <v>500</v>
      </c>
      <c r="B450" s="8">
        <v>45698</v>
      </c>
      <c r="C450" s="3" t="s">
        <v>43</v>
      </c>
      <c r="D450" s="3" t="s">
        <v>16</v>
      </c>
      <c r="E450" s="3" t="s">
        <v>22</v>
      </c>
      <c r="F450" s="3" t="s">
        <v>47</v>
      </c>
      <c r="G450" s="4">
        <v>4258.6899999999996</v>
      </c>
    </row>
    <row r="451" spans="1:7" x14ac:dyDescent="0.25">
      <c r="A451" s="5" t="s">
        <v>501</v>
      </c>
      <c r="B451" s="7">
        <v>45882</v>
      </c>
      <c r="C451" s="5" t="s">
        <v>15</v>
      </c>
      <c r="D451" s="5" t="s">
        <v>25</v>
      </c>
      <c r="E451" s="5" t="s">
        <v>59</v>
      </c>
      <c r="F451" s="5" t="s">
        <v>44</v>
      </c>
      <c r="G451" s="6">
        <v>8025.34</v>
      </c>
    </row>
    <row r="452" spans="1:7" x14ac:dyDescent="0.25">
      <c r="A452" s="3" t="s">
        <v>502</v>
      </c>
      <c r="B452" s="8">
        <v>45740</v>
      </c>
      <c r="C452" s="3" t="s">
        <v>15</v>
      </c>
      <c r="D452" s="3" t="s">
        <v>16</v>
      </c>
      <c r="E452" s="3" t="s">
        <v>38</v>
      </c>
      <c r="F452" s="3" t="s">
        <v>44</v>
      </c>
      <c r="G452" s="4">
        <v>4505.9399999999996</v>
      </c>
    </row>
    <row r="453" spans="1:7" x14ac:dyDescent="0.25">
      <c r="A453" s="5" t="s">
        <v>503</v>
      </c>
      <c r="B453" s="7">
        <v>46012</v>
      </c>
      <c r="C453" s="5" t="s">
        <v>54</v>
      </c>
      <c r="D453" s="5" t="s">
        <v>25</v>
      </c>
      <c r="E453" s="5" t="s">
        <v>17</v>
      </c>
      <c r="F453" s="5" t="s">
        <v>23</v>
      </c>
      <c r="G453" s="6">
        <v>8348.2900000000009</v>
      </c>
    </row>
    <row r="454" spans="1:7" x14ac:dyDescent="0.25">
      <c r="A454" s="3" t="s">
        <v>504</v>
      </c>
      <c r="B454" s="8">
        <v>45690</v>
      </c>
      <c r="C454" s="3" t="s">
        <v>21</v>
      </c>
      <c r="D454" s="3" t="s">
        <v>10</v>
      </c>
      <c r="E454" s="3" t="s">
        <v>17</v>
      </c>
      <c r="F454" s="3" t="s">
        <v>34</v>
      </c>
      <c r="G454" s="4">
        <v>14207.34</v>
      </c>
    </row>
    <row r="455" spans="1:7" x14ac:dyDescent="0.25">
      <c r="A455" s="5" t="s">
        <v>505</v>
      </c>
      <c r="B455" s="7">
        <v>45784</v>
      </c>
      <c r="C455" s="5" t="s">
        <v>9</v>
      </c>
      <c r="D455" s="5" t="s">
        <v>16</v>
      </c>
      <c r="E455" s="5" t="s">
        <v>46</v>
      </c>
      <c r="F455" s="5" t="s">
        <v>32</v>
      </c>
      <c r="G455" s="6">
        <v>13589.14</v>
      </c>
    </row>
    <row r="456" spans="1:7" x14ac:dyDescent="0.25">
      <c r="A456" s="3" t="s">
        <v>506</v>
      </c>
      <c r="B456" s="8">
        <v>45905</v>
      </c>
      <c r="C456" s="3" t="s">
        <v>56</v>
      </c>
      <c r="D456" s="3" t="s">
        <v>36</v>
      </c>
      <c r="E456" s="3" t="s">
        <v>46</v>
      </c>
      <c r="F456" s="3" t="s">
        <v>70</v>
      </c>
      <c r="G456" s="4">
        <v>12529.49</v>
      </c>
    </row>
    <row r="457" spans="1:7" x14ac:dyDescent="0.25">
      <c r="A457" s="5" t="s">
        <v>507</v>
      </c>
      <c r="B457" s="7">
        <v>45751</v>
      </c>
      <c r="C457" s="5" t="s">
        <v>56</v>
      </c>
      <c r="D457" s="5" t="s">
        <v>25</v>
      </c>
      <c r="E457" s="5" t="s">
        <v>17</v>
      </c>
      <c r="F457" s="5" t="s">
        <v>41</v>
      </c>
      <c r="G457" s="6">
        <v>9687.8799999999992</v>
      </c>
    </row>
    <row r="458" spans="1:7" x14ac:dyDescent="0.25">
      <c r="A458" s="3" t="s">
        <v>508</v>
      </c>
      <c r="B458" s="8">
        <v>45698</v>
      </c>
      <c r="C458" s="3" t="s">
        <v>9</v>
      </c>
      <c r="D458" s="3" t="s">
        <v>25</v>
      </c>
      <c r="E458" s="3" t="s">
        <v>87</v>
      </c>
      <c r="F458" s="3" t="s">
        <v>47</v>
      </c>
      <c r="G458" s="4">
        <v>3001.39</v>
      </c>
    </row>
    <row r="459" spans="1:7" x14ac:dyDescent="0.25">
      <c r="A459" s="5" t="s">
        <v>509</v>
      </c>
      <c r="B459" s="7">
        <v>45946</v>
      </c>
      <c r="C459" s="5" t="s">
        <v>54</v>
      </c>
      <c r="D459" s="5" t="s">
        <v>16</v>
      </c>
      <c r="E459" s="5" t="s">
        <v>29</v>
      </c>
      <c r="F459" s="5" t="s">
        <v>27</v>
      </c>
      <c r="G459" s="6">
        <v>9849.32</v>
      </c>
    </row>
    <row r="460" spans="1:7" x14ac:dyDescent="0.25">
      <c r="A460" s="3" t="s">
        <v>510</v>
      </c>
      <c r="B460" s="8">
        <v>45698</v>
      </c>
      <c r="C460" s="3" t="s">
        <v>40</v>
      </c>
      <c r="D460" s="3" t="s">
        <v>25</v>
      </c>
      <c r="E460" s="3" t="s">
        <v>46</v>
      </c>
      <c r="F460" s="3" t="s">
        <v>12</v>
      </c>
      <c r="G460" s="4">
        <v>7313.63</v>
      </c>
    </row>
    <row r="461" spans="1:7" x14ac:dyDescent="0.25">
      <c r="A461" s="5" t="s">
        <v>511</v>
      </c>
      <c r="B461" s="7">
        <v>45828</v>
      </c>
      <c r="C461" s="5" t="s">
        <v>9</v>
      </c>
      <c r="D461" s="5" t="s">
        <v>16</v>
      </c>
      <c r="E461" s="5" t="s">
        <v>22</v>
      </c>
      <c r="F461" s="5" t="s">
        <v>44</v>
      </c>
      <c r="G461" s="6">
        <v>8505</v>
      </c>
    </row>
    <row r="462" spans="1:7" x14ac:dyDescent="0.25">
      <c r="A462" s="3" t="s">
        <v>512</v>
      </c>
      <c r="B462" s="8">
        <v>45834</v>
      </c>
      <c r="C462" s="3" t="s">
        <v>54</v>
      </c>
      <c r="D462" s="3" t="s">
        <v>10</v>
      </c>
      <c r="E462" s="3" t="s">
        <v>29</v>
      </c>
      <c r="F462" s="3" t="s">
        <v>60</v>
      </c>
      <c r="G462" s="4">
        <v>4732.5600000000004</v>
      </c>
    </row>
    <row r="463" spans="1:7" x14ac:dyDescent="0.25">
      <c r="A463" s="5" t="s">
        <v>513</v>
      </c>
      <c r="B463" s="7">
        <v>45770</v>
      </c>
      <c r="C463" s="5" t="s">
        <v>9</v>
      </c>
      <c r="D463" s="5" t="s">
        <v>10</v>
      </c>
      <c r="E463" s="5" t="s">
        <v>87</v>
      </c>
      <c r="F463" s="5" t="s">
        <v>23</v>
      </c>
      <c r="G463" s="6">
        <v>5424.32</v>
      </c>
    </row>
    <row r="464" spans="1:7" x14ac:dyDescent="0.25">
      <c r="A464" s="3" t="s">
        <v>514</v>
      </c>
      <c r="B464" s="8">
        <v>45985</v>
      </c>
      <c r="C464" s="3" t="s">
        <v>54</v>
      </c>
      <c r="D464" s="3" t="s">
        <v>10</v>
      </c>
      <c r="E464" s="3" t="s">
        <v>59</v>
      </c>
      <c r="F464" s="3" t="s">
        <v>41</v>
      </c>
      <c r="G464" s="4">
        <v>5413.19</v>
      </c>
    </row>
    <row r="465" spans="1:7" x14ac:dyDescent="0.25">
      <c r="A465" s="5" t="s">
        <v>515</v>
      </c>
      <c r="B465" s="7">
        <v>45793</v>
      </c>
      <c r="C465" s="5" t="s">
        <v>40</v>
      </c>
      <c r="D465" s="5" t="s">
        <v>25</v>
      </c>
      <c r="E465" s="5" t="s">
        <v>29</v>
      </c>
      <c r="F465" s="5" t="s">
        <v>27</v>
      </c>
      <c r="G465" s="6">
        <v>9119.08</v>
      </c>
    </row>
    <row r="466" spans="1:7" x14ac:dyDescent="0.25">
      <c r="A466" s="3" t="s">
        <v>516</v>
      </c>
      <c r="B466" s="8">
        <v>45805</v>
      </c>
      <c r="C466" s="3" t="s">
        <v>43</v>
      </c>
      <c r="D466" s="3" t="s">
        <v>36</v>
      </c>
      <c r="E466" s="3" t="s">
        <v>17</v>
      </c>
      <c r="F466" s="3" t="s">
        <v>57</v>
      </c>
      <c r="G466" s="4">
        <v>3985.36</v>
      </c>
    </row>
    <row r="467" spans="1:7" x14ac:dyDescent="0.25">
      <c r="A467" s="5" t="s">
        <v>517</v>
      </c>
      <c r="B467" s="7">
        <v>45964</v>
      </c>
      <c r="C467" s="5" t="s">
        <v>9</v>
      </c>
      <c r="D467" s="5" t="s">
        <v>25</v>
      </c>
      <c r="E467" s="5" t="s">
        <v>77</v>
      </c>
      <c r="F467" s="5" t="s">
        <v>23</v>
      </c>
      <c r="G467" s="6">
        <v>7632.32</v>
      </c>
    </row>
    <row r="468" spans="1:7" x14ac:dyDescent="0.25">
      <c r="A468" s="3" t="s">
        <v>518</v>
      </c>
      <c r="B468" s="8">
        <v>45684</v>
      </c>
      <c r="C468" s="3" t="s">
        <v>40</v>
      </c>
      <c r="D468" s="3" t="s">
        <v>10</v>
      </c>
      <c r="E468" s="3" t="s">
        <v>22</v>
      </c>
      <c r="F468" s="3" t="s">
        <v>57</v>
      </c>
      <c r="G468" s="4">
        <v>13599.24</v>
      </c>
    </row>
    <row r="469" spans="1:7" x14ac:dyDescent="0.25">
      <c r="A469" s="5" t="s">
        <v>519</v>
      </c>
      <c r="B469" s="7">
        <v>45909</v>
      </c>
      <c r="C469" s="5" t="s">
        <v>40</v>
      </c>
      <c r="D469" s="5" t="s">
        <v>10</v>
      </c>
      <c r="E469" s="5" t="s">
        <v>38</v>
      </c>
      <c r="F469" s="5" t="s">
        <v>75</v>
      </c>
      <c r="G469" s="6">
        <v>2272.06</v>
      </c>
    </row>
    <row r="470" spans="1:7" x14ac:dyDescent="0.25">
      <c r="A470" s="3" t="s">
        <v>520</v>
      </c>
      <c r="B470" s="8">
        <v>45846</v>
      </c>
      <c r="C470" s="3" t="s">
        <v>43</v>
      </c>
      <c r="D470" s="3" t="s">
        <v>16</v>
      </c>
      <c r="E470" s="3" t="s">
        <v>29</v>
      </c>
      <c r="F470" s="3" t="s">
        <v>41</v>
      </c>
      <c r="G470" s="4">
        <v>7541.79</v>
      </c>
    </row>
    <row r="471" spans="1:7" x14ac:dyDescent="0.25">
      <c r="A471" s="5" t="s">
        <v>521</v>
      </c>
      <c r="B471" s="7">
        <v>45701</v>
      </c>
      <c r="C471" s="5" t="s">
        <v>54</v>
      </c>
      <c r="D471" s="5" t="s">
        <v>25</v>
      </c>
      <c r="E471" s="5" t="s">
        <v>38</v>
      </c>
      <c r="F471" s="5" t="s">
        <v>57</v>
      </c>
      <c r="G471" s="6">
        <v>12727.33</v>
      </c>
    </row>
    <row r="472" spans="1:7" x14ac:dyDescent="0.25">
      <c r="A472" s="3" t="s">
        <v>522</v>
      </c>
      <c r="B472" s="8">
        <v>45952</v>
      </c>
      <c r="C472" s="3" t="s">
        <v>56</v>
      </c>
      <c r="D472" s="3" t="s">
        <v>36</v>
      </c>
      <c r="E472" s="3" t="s">
        <v>59</v>
      </c>
      <c r="F472" s="3" t="s">
        <v>44</v>
      </c>
      <c r="G472" s="4">
        <v>2728.22</v>
      </c>
    </row>
    <row r="473" spans="1:7" x14ac:dyDescent="0.25">
      <c r="A473" s="5" t="s">
        <v>523</v>
      </c>
      <c r="B473" s="7">
        <v>45952</v>
      </c>
      <c r="C473" s="5" t="s">
        <v>43</v>
      </c>
      <c r="D473" s="5" t="s">
        <v>36</v>
      </c>
      <c r="E473" s="5" t="s">
        <v>59</v>
      </c>
      <c r="F473" s="5" t="s">
        <v>12</v>
      </c>
      <c r="G473" s="6">
        <v>654.28</v>
      </c>
    </row>
    <row r="474" spans="1:7" x14ac:dyDescent="0.25">
      <c r="A474" s="3" t="s">
        <v>524</v>
      </c>
      <c r="B474" s="8">
        <v>45877</v>
      </c>
      <c r="C474" s="3" t="s">
        <v>21</v>
      </c>
      <c r="D474" s="3" t="s">
        <v>16</v>
      </c>
      <c r="E474" s="3" t="s">
        <v>26</v>
      </c>
      <c r="F474" s="3" t="s">
        <v>57</v>
      </c>
      <c r="G474" s="4">
        <v>689.99</v>
      </c>
    </row>
    <row r="475" spans="1:7" x14ac:dyDescent="0.25">
      <c r="A475" s="5" t="s">
        <v>525</v>
      </c>
      <c r="B475" s="7">
        <v>45764</v>
      </c>
      <c r="C475" s="5" t="s">
        <v>43</v>
      </c>
      <c r="D475" s="5" t="s">
        <v>16</v>
      </c>
      <c r="E475" s="5" t="s">
        <v>11</v>
      </c>
      <c r="F475" s="5" t="s">
        <v>41</v>
      </c>
      <c r="G475" s="6">
        <v>13772.63</v>
      </c>
    </row>
    <row r="476" spans="1:7" x14ac:dyDescent="0.25">
      <c r="A476" s="3" t="s">
        <v>526</v>
      </c>
      <c r="B476" s="8">
        <v>45659</v>
      </c>
      <c r="C476" s="3" t="s">
        <v>9</v>
      </c>
      <c r="D476" s="3" t="s">
        <v>16</v>
      </c>
      <c r="E476" s="3" t="s">
        <v>51</v>
      </c>
      <c r="F476" s="3" t="s">
        <v>30</v>
      </c>
      <c r="G476" s="4">
        <v>14528.2</v>
      </c>
    </row>
    <row r="477" spans="1:7" x14ac:dyDescent="0.25">
      <c r="A477" s="5" t="s">
        <v>527</v>
      </c>
      <c r="B477" s="7">
        <v>45988</v>
      </c>
      <c r="C477" s="5" t="s">
        <v>54</v>
      </c>
      <c r="D477" s="5" t="s">
        <v>16</v>
      </c>
      <c r="E477" s="5" t="s">
        <v>22</v>
      </c>
      <c r="F477" s="5" t="s">
        <v>34</v>
      </c>
      <c r="G477" s="6">
        <v>8573.89</v>
      </c>
    </row>
    <row r="478" spans="1:7" x14ac:dyDescent="0.25">
      <c r="A478" s="3" t="s">
        <v>528</v>
      </c>
      <c r="B478" s="8">
        <v>45859</v>
      </c>
      <c r="C478" s="3" t="s">
        <v>15</v>
      </c>
      <c r="D478" s="3" t="s">
        <v>16</v>
      </c>
      <c r="E478" s="3" t="s">
        <v>22</v>
      </c>
      <c r="F478" s="3" t="s">
        <v>27</v>
      </c>
      <c r="G478" s="4">
        <v>13478.49</v>
      </c>
    </row>
    <row r="479" spans="1:7" x14ac:dyDescent="0.25">
      <c r="A479" s="5" t="s">
        <v>529</v>
      </c>
      <c r="B479" s="7">
        <v>45705</v>
      </c>
      <c r="C479" s="5" t="s">
        <v>54</v>
      </c>
      <c r="D479" s="5" t="s">
        <v>10</v>
      </c>
      <c r="E479" s="5" t="s">
        <v>46</v>
      </c>
      <c r="F479" s="5" t="s">
        <v>34</v>
      </c>
      <c r="G479" s="6">
        <v>6117.34</v>
      </c>
    </row>
    <row r="480" spans="1:7" x14ac:dyDescent="0.25">
      <c r="A480" s="3" t="s">
        <v>530</v>
      </c>
      <c r="B480" s="8">
        <v>45824</v>
      </c>
      <c r="C480" s="3" t="s">
        <v>43</v>
      </c>
      <c r="D480" s="3" t="s">
        <v>10</v>
      </c>
      <c r="E480" s="3" t="s">
        <v>22</v>
      </c>
      <c r="F480" s="3" t="s">
        <v>60</v>
      </c>
      <c r="G480" s="4">
        <v>7552.46</v>
      </c>
    </row>
    <row r="481" spans="1:7" x14ac:dyDescent="0.25">
      <c r="A481" s="5" t="s">
        <v>531</v>
      </c>
      <c r="B481" s="7">
        <v>45731</v>
      </c>
      <c r="C481" s="5" t="s">
        <v>56</v>
      </c>
      <c r="D481" s="5" t="s">
        <v>36</v>
      </c>
      <c r="E481" s="5" t="s">
        <v>51</v>
      </c>
      <c r="F481" s="5" t="s">
        <v>34</v>
      </c>
      <c r="G481" s="6">
        <v>9669.98</v>
      </c>
    </row>
    <row r="482" spans="1:7" x14ac:dyDescent="0.25">
      <c r="A482" s="3" t="s">
        <v>532</v>
      </c>
      <c r="B482" s="8">
        <v>45752</v>
      </c>
      <c r="C482" s="3" t="s">
        <v>56</v>
      </c>
      <c r="D482" s="3" t="s">
        <v>36</v>
      </c>
      <c r="E482" s="3" t="s">
        <v>26</v>
      </c>
      <c r="F482" s="3" t="s">
        <v>70</v>
      </c>
      <c r="G482" s="4">
        <v>10773.68</v>
      </c>
    </row>
    <row r="483" spans="1:7" x14ac:dyDescent="0.25">
      <c r="A483" s="5" t="s">
        <v>533</v>
      </c>
      <c r="B483" s="7">
        <v>45710</v>
      </c>
      <c r="C483" s="5" t="s">
        <v>56</v>
      </c>
      <c r="D483" s="5" t="s">
        <v>10</v>
      </c>
      <c r="E483" s="5" t="s">
        <v>26</v>
      </c>
      <c r="F483" s="5" t="s">
        <v>30</v>
      </c>
      <c r="G483" s="6">
        <v>1744.41</v>
      </c>
    </row>
    <row r="484" spans="1:7" x14ac:dyDescent="0.25">
      <c r="A484" s="3" t="s">
        <v>534</v>
      </c>
      <c r="B484" s="8">
        <v>45977</v>
      </c>
      <c r="C484" s="3" t="s">
        <v>15</v>
      </c>
      <c r="D484" s="3" t="s">
        <v>36</v>
      </c>
      <c r="E484" s="3" t="s">
        <v>22</v>
      </c>
      <c r="F484" s="3" t="s">
        <v>44</v>
      </c>
      <c r="G484" s="4">
        <v>9726.5300000000007</v>
      </c>
    </row>
    <row r="485" spans="1:7" x14ac:dyDescent="0.25">
      <c r="A485" s="5" t="s">
        <v>535</v>
      </c>
      <c r="B485" s="7">
        <v>45839</v>
      </c>
      <c r="C485" s="5" t="s">
        <v>56</v>
      </c>
      <c r="D485" s="5" t="s">
        <v>25</v>
      </c>
      <c r="E485" s="5" t="s">
        <v>29</v>
      </c>
      <c r="F485" s="5" t="s">
        <v>70</v>
      </c>
      <c r="G485" s="6">
        <v>8905.6</v>
      </c>
    </row>
    <row r="486" spans="1:7" x14ac:dyDescent="0.25">
      <c r="A486" s="3" t="s">
        <v>536</v>
      </c>
      <c r="B486" s="8">
        <v>45737</v>
      </c>
      <c r="C486" s="3" t="s">
        <v>40</v>
      </c>
      <c r="D486" s="3" t="s">
        <v>25</v>
      </c>
      <c r="E486" s="3" t="s">
        <v>22</v>
      </c>
      <c r="F486" s="3" t="s">
        <v>44</v>
      </c>
      <c r="G486" s="4">
        <v>885.88</v>
      </c>
    </row>
    <row r="487" spans="1:7" x14ac:dyDescent="0.25">
      <c r="A487" s="5" t="s">
        <v>537</v>
      </c>
      <c r="B487" s="7">
        <v>45783</v>
      </c>
      <c r="C487" s="5" t="s">
        <v>40</v>
      </c>
      <c r="D487" s="5" t="s">
        <v>10</v>
      </c>
      <c r="E487" s="5" t="s">
        <v>22</v>
      </c>
      <c r="F487" s="5" t="s">
        <v>70</v>
      </c>
      <c r="G487" s="6">
        <v>9582.4599999999991</v>
      </c>
    </row>
    <row r="488" spans="1:7" x14ac:dyDescent="0.25">
      <c r="A488" s="3" t="s">
        <v>538</v>
      </c>
      <c r="B488" s="8">
        <v>46015</v>
      </c>
      <c r="C488" s="3" t="s">
        <v>9</v>
      </c>
      <c r="D488" s="3" t="s">
        <v>16</v>
      </c>
      <c r="E488" s="3" t="s">
        <v>51</v>
      </c>
      <c r="F488" s="3" t="s">
        <v>57</v>
      </c>
      <c r="G488" s="4">
        <v>6765.59</v>
      </c>
    </row>
    <row r="489" spans="1:7" x14ac:dyDescent="0.25">
      <c r="A489" s="5" t="s">
        <v>539</v>
      </c>
      <c r="B489" s="7">
        <v>45897</v>
      </c>
      <c r="C489" s="5" t="s">
        <v>15</v>
      </c>
      <c r="D489" s="5" t="s">
        <v>36</v>
      </c>
      <c r="E489" s="5" t="s">
        <v>46</v>
      </c>
      <c r="F489" s="5" t="s">
        <v>23</v>
      </c>
      <c r="G489" s="6">
        <v>6190.96</v>
      </c>
    </row>
    <row r="490" spans="1:7" x14ac:dyDescent="0.25">
      <c r="A490" s="3" t="s">
        <v>540</v>
      </c>
      <c r="B490" s="8">
        <v>45742</v>
      </c>
      <c r="C490" s="3" t="s">
        <v>40</v>
      </c>
      <c r="D490" s="3" t="s">
        <v>36</v>
      </c>
      <c r="E490" s="3" t="s">
        <v>22</v>
      </c>
      <c r="F490" s="3" t="s">
        <v>27</v>
      </c>
      <c r="G490" s="4">
        <v>7686.53</v>
      </c>
    </row>
    <row r="491" spans="1:7" x14ac:dyDescent="0.25">
      <c r="A491" s="5" t="s">
        <v>541</v>
      </c>
      <c r="B491" s="7">
        <v>45740</v>
      </c>
      <c r="C491" s="5" t="s">
        <v>9</v>
      </c>
      <c r="D491" s="5" t="s">
        <v>16</v>
      </c>
      <c r="E491" s="5" t="s">
        <v>59</v>
      </c>
      <c r="F491" s="5" t="s">
        <v>70</v>
      </c>
      <c r="G491" s="6">
        <v>8879.41</v>
      </c>
    </row>
    <row r="492" spans="1:7" x14ac:dyDescent="0.25">
      <c r="A492" s="3" t="s">
        <v>542</v>
      </c>
      <c r="B492" s="8">
        <v>45760</v>
      </c>
      <c r="C492" s="3" t="s">
        <v>15</v>
      </c>
      <c r="D492" s="3" t="s">
        <v>36</v>
      </c>
      <c r="E492" s="3" t="s">
        <v>51</v>
      </c>
      <c r="F492" s="3" t="s">
        <v>60</v>
      </c>
      <c r="G492" s="4">
        <v>3075.11</v>
      </c>
    </row>
    <row r="493" spans="1:7" x14ac:dyDescent="0.25">
      <c r="A493" s="5" t="s">
        <v>543</v>
      </c>
      <c r="B493" s="7">
        <v>45922</v>
      </c>
      <c r="C493" s="5" t="s">
        <v>15</v>
      </c>
      <c r="D493" s="5" t="s">
        <v>36</v>
      </c>
      <c r="E493" s="5" t="s">
        <v>22</v>
      </c>
      <c r="F493" s="5" t="s">
        <v>47</v>
      </c>
      <c r="G493" s="6">
        <v>2702.46</v>
      </c>
    </row>
    <row r="494" spans="1:7" x14ac:dyDescent="0.25">
      <c r="A494" s="3" t="s">
        <v>544</v>
      </c>
      <c r="B494" s="8">
        <v>45950</v>
      </c>
      <c r="C494" s="3" t="s">
        <v>21</v>
      </c>
      <c r="D494" s="3" t="s">
        <v>25</v>
      </c>
      <c r="E494" s="3" t="s">
        <v>51</v>
      </c>
      <c r="F494" s="3" t="s">
        <v>41</v>
      </c>
      <c r="G494" s="4">
        <v>9907.92</v>
      </c>
    </row>
    <row r="495" spans="1:7" x14ac:dyDescent="0.25">
      <c r="A495" s="5" t="s">
        <v>545</v>
      </c>
      <c r="B495" s="7">
        <v>45948</v>
      </c>
      <c r="C495" s="5" t="s">
        <v>43</v>
      </c>
      <c r="D495" s="5" t="s">
        <v>25</v>
      </c>
      <c r="E495" s="5" t="s">
        <v>38</v>
      </c>
      <c r="F495" s="5" t="s">
        <v>27</v>
      </c>
      <c r="G495" s="6">
        <v>6500.88</v>
      </c>
    </row>
    <row r="496" spans="1:7" x14ac:dyDescent="0.25">
      <c r="A496" s="3" t="s">
        <v>546</v>
      </c>
      <c r="B496" s="8">
        <v>45850</v>
      </c>
      <c r="C496" s="3" t="s">
        <v>43</v>
      </c>
      <c r="D496" s="3" t="s">
        <v>25</v>
      </c>
      <c r="E496" s="3" t="s">
        <v>17</v>
      </c>
      <c r="F496" s="3" t="s">
        <v>32</v>
      </c>
      <c r="G496" s="4">
        <v>3480.82</v>
      </c>
    </row>
    <row r="497" spans="1:7" x14ac:dyDescent="0.25">
      <c r="A497" s="5" t="s">
        <v>547</v>
      </c>
      <c r="B497" s="7">
        <v>45895</v>
      </c>
      <c r="C497" s="5" t="s">
        <v>43</v>
      </c>
      <c r="D497" s="5" t="s">
        <v>10</v>
      </c>
      <c r="E497" s="5" t="s">
        <v>26</v>
      </c>
      <c r="F497" s="5" t="s">
        <v>70</v>
      </c>
      <c r="G497" s="6">
        <v>12079.08</v>
      </c>
    </row>
    <row r="498" spans="1:7" x14ac:dyDescent="0.25">
      <c r="A498" s="3" t="s">
        <v>548</v>
      </c>
      <c r="B498" s="8">
        <v>46010</v>
      </c>
      <c r="C498" s="3" t="s">
        <v>21</v>
      </c>
      <c r="D498" s="3" t="s">
        <v>10</v>
      </c>
      <c r="E498" s="3" t="s">
        <v>29</v>
      </c>
      <c r="F498" s="3" t="s">
        <v>18</v>
      </c>
      <c r="G498" s="4">
        <v>7183.26</v>
      </c>
    </row>
    <row r="499" spans="1:7" x14ac:dyDescent="0.25">
      <c r="A499" s="5" t="s">
        <v>549</v>
      </c>
      <c r="B499" s="7">
        <v>45775</v>
      </c>
      <c r="C499" s="5" t="s">
        <v>21</v>
      </c>
      <c r="D499" s="5" t="s">
        <v>16</v>
      </c>
      <c r="E499" s="5" t="s">
        <v>22</v>
      </c>
      <c r="F499" s="5" t="s">
        <v>62</v>
      </c>
      <c r="G499" s="6">
        <v>8178.78</v>
      </c>
    </row>
    <row r="500" spans="1:7" x14ac:dyDescent="0.25">
      <c r="A500" s="3" t="s">
        <v>550</v>
      </c>
      <c r="B500" s="8">
        <v>45784</v>
      </c>
      <c r="C500" s="3" t="s">
        <v>21</v>
      </c>
      <c r="D500" s="3" t="s">
        <v>25</v>
      </c>
      <c r="E500" s="3" t="s">
        <v>22</v>
      </c>
      <c r="F500" s="3" t="s">
        <v>34</v>
      </c>
      <c r="G500" s="4">
        <v>1811.54</v>
      </c>
    </row>
    <row r="501" spans="1:7" x14ac:dyDescent="0.25">
      <c r="A501" s="5" t="s">
        <v>551</v>
      </c>
      <c r="B501" s="7">
        <v>45670</v>
      </c>
      <c r="C501" s="5" t="s">
        <v>9</v>
      </c>
      <c r="D501" s="5" t="s">
        <v>36</v>
      </c>
      <c r="E501" s="5" t="s">
        <v>26</v>
      </c>
      <c r="F501" s="5" t="s">
        <v>32</v>
      </c>
      <c r="G501" s="6">
        <v>5465.93</v>
      </c>
    </row>
    <row r="502" spans="1:7" x14ac:dyDescent="0.25">
      <c r="A502" s="57" t="s">
        <v>127</v>
      </c>
      <c r="B502" s="58">
        <v>45721</v>
      </c>
      <c r="C502" s="57" t="s">
        <v>15</v>
      </c>
      <c r="D502" s="57" t="s">
        <v>16</v>
      </c>
      <c r="E502" s="57" t="s">
        <v>46</v>
      </c>
      <c r="F502" s="57" t="s">
        <v>60</v>
      </c>
      <c r="G502" s="59">
        <v>3948.74</v>
      </c>
    </row>
    <row r="503" spans="1:7" x14ac:dyDescent="0.25">
      <c r="A503" s="60" t="s">
        <v>269</v>
      </c>
      <c r="B503" s="61">
        <v>45782</v>
      </c>
      <c r="C503" s="60" t="s">
        <v>15</v>
      </c>
      <c r="D503" s="60" t="s">
        <v>36</v>
      </c>
      <c r="E503" s="60" t="s">
        <v>38</v>
      </c>
      <c r="F503" s="60" t="s">
        <v>27</v>
      </c>
      <c r="G503" s="62">
        <v>2185.65</v>
      </c>
    </row>
    <row r="504" spans="1:7" x14ac:dyDescent="0.25">
      <c r="A504" s="57" t="s">
        <v>384</v>
      </c>
      <c r="B504" s="58">
        <v>45889</v>
      </c>
      <c r="C504" s="57" t="s">
        <v>15</v>
      </c>
      <c r="D504" s="57" t="s">
        <v>36</v>
      </c>
      <c r="E504" s="57" t="s">
        <v>59</v>
      </c>
      <c r="F504" s="57" t="s">
        <v>70</v>
      </c>
      <c r="G504" s="59">
        <v>8292.44</v>
      </c>
    </row>
    <row r="505" spans="1:7" x14ac:dyDescent="0.25">
      <c r="A505" s="60" t="s">
        <v>350</v>
      </c>
      <c r="B505" s="61">
        <v>45729</v>
      </c>
      <c r="C505" s="60" t="s">
        <v>56</v>
      </c>
      <c r="D505" s="60" t="s">
        <v>25</v>
      </c>
      <c r="E505" s="60" t="s">
        <v>17</v>
      </c>
      <c r="F505" s="60" t="s">
        <v>62</v>
      </c>
      <c r="G505" s="62">
        <v>14671.72</v>
      </c>
    </row>
    <row r="506" spans="1:7" x14ac:dyDescent="0.25">
      <c r="A506" s="57" t="s">
        <v>177</v>
      </c>
      <c r="B506" s="58">
        <v>45918</v>
      </c>
      <c r="C506" s="57" t="s">
        <v>15</v>
      </c>
      <c r="D506" s="57" t="s">
        <v>25</v>
      </c>
      <c r="E506" s="57" t="s">
        <v>77</v>
      </c>
      <c r="F506" s="57" t="s">
        <v>34</v>
      </c>
      <c r="G506" s="59">
        <v>10846.78</v>
      </c>
    </row>
    <row r="507" spans="1:7" x14ac:dyDescent="0.25">
      <c r="A507" s="60" t="s">
        <v>181</v>
      </c>
      <c r="B507" s="61">
        <v>45888</v>
      </c>
      <c r="C507" s="60" t="s">
        <v>56</v>
      </c>
      <c r="D507" s="60" t="s">
        <v>36</v>
      </c>
      <c r="E507" s="60" t="s">
        <v>87</v>
      </c>
      <c r="F507" s="60" t="s">
        <v>27</v>
      </c>
      <c r="G507" s="62">
        <v>12429.53</v>
      </c>
    </row>
    <row r="508" spans="1:7" x14ac:dyDescent="0.25">
      <c r="A508" s="57" t="s">
        <v>489</v>
      </c>
      <c r="B508" s="58">
        <v>45701</v>
      </c>
      <c r="C508" s="57" t="s">
        <v>54</v>
      </c>
      <c r="D508" s="57" t="s">
        <v>16</v>
      </c>
      <c r="E508" s="57" t="s">
        <v>77</v>
      </c>
      <c r="F508" s="57" t="s">
        <v>62</v>
      </c>
      <c r="G508" s="59">
        <v>7777.17</v>
      </c>
    </row>
    <row r="509" spans="1:7" x14ac:dyDescent="0.25">
      <c r="A509" s="60" t="s">
        <v>325</v>
      </c>
      <c r="B509" s="61">
        <v>45887</v>
      </c>
      <c r="C509" s="60" t="s">
        <v>43</v>
      </c>
      <c r="D509" s="60" t="s">
        <v>10</v>
      </c>
      <c r="E509" s="60" t="s">
        <v>26</v>
      </c>
      <c r="F509" s="60" t="s">
        <v>62</v>
      </c>
      <c r="G509" s="62">
        <v>8506.48</v>
      </c>
    </row>
    <row r="510" spans="1:7" x14ac:dyDescent="0.25">
      <c r="A510" s="57" t="s">
        <v>267</v>
      </c>
      <c r="B510" s="58">
        <v>45716</v>
      </c>
      <c r="C510" s="57" t="s">
        <v>15</v>
      </c>
      <c r="D510" s="57" t="s">
        <v>36</v>
      </c>
      <c r="E510" s="57" t="s">
        <v>59</v>
      </c>
      <c r="F510" s="57" t="s">
        <v>47</v>
      </c>
      <c r="G510" s="59">
        <v>3472.76</v>
      </c>
    </row>
    <row r="511" spans="1:7" x14ac:dyDescent="0.25">
      <c r="A511" s="60" t="s">
        <v>340</v>
      </c>
      <c r="B511" s="61">
        <v>45729</v>
      </c>
      <c r="C511" s="60" t="s">
        <v>54</v>
      </c>
      <c r="D511" s="60" t="s">
        <v>16</v>
      </c>
      <c r="E511" s="60" t="s">
        <v>29</v>
      </c>
      <c r="F511" s="60" t="s">
        <v>44</v>
      </c>
      <c r="G511" s="62">
        <v>10946.02</v>
      </c>
    </row>
  </sheetData>
  <dataValidations count="2">
    <dataValidation type="list" sqref="C2:C512" xr:uid="{00000000-0002-0000-0000-000000000000}">
      <formula1>"NetOps,Security,Support,Partners,Content,R&amp;D,Product Management"</formula1>
      <formula2>0</formula2>
    </dataValidation>
    <dataValidation type="list" sqref="D2:D512" xr:uid="{00000000-0002-0000-0000-000001000000}">
      <formula1>"iGO,Affirm,InsureSight,DocFast"</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pageSetUpPr fitToPage="1"/>
  </sheetPr>
  <dimension ref="A1:N28"/>
  <sheetViews>
    <sheetView showGridLines="0" workbookViewId="0">
      <selection activeCell="T16" sqref="T16"/>
    </sheetView>
  </sheetViews>
  <sheetFormatPr defaultColWidth="9.140625" defaultRowHeight="15" x14ac:dyDescent="0.25"/>
  <cols>
    <col min="1" max="1" width="7" style="43" customWidth="1"/>
    <col min="2" max="2" width="4.7109375" style="43" customWidth="1"/>
    <col min="3" max="12" width="10.42578125" style="43" customWidth="1"/>
    <col min="13" max="13" width="6.5703125" style="43" customWidth="1"/>
    <col min="14" max="14" width="11.28515625" style="43" customWidth="1"/>
    <col min="15" max="21" width="9.140625" style="43" customWidth="1"/>
    <col min="22" max="16384" width="9.140625" style="43"/>
  </cols>
  <sheetData>
    <row r="1" spans="1:14" ht="30" customHeight="1" thickBot="1" x14ac:dyDescent="0.3">
      <c r="A1" s="42"/>
      <c r="B1" s="42"/>
      <c r="C1" s="42"/>
      <c r="D1" s="42"/>
      <c r="E1" s="42"/>
      <c r="F1" s="42"/>
      <c r="G1" s="42"/>
      <c r="H1" s="42"/>
      <c r="I1" s="42"/>
      <c r="J1" s="42"/>
      <c r="K1" s="42"/>
      <c r="L1" s="42"/>
      <c r="M1" s="42"/>
      <c r="N1" s="42"/>
    </row>
    <row r="2" spans="1:14" ht="20.100000000000001" customHeight="1" x14ac:dyDescent="0.25">
      <c r="A2" s="42"/>
      <c r="B2" s="44"/>
      <c r="C2" s="45"/>
      <c r="D2" s="45"/>
      <c r="E2" s="45"/>
      <c r="F2" s="45"/>
      <c r="G2" s="45"/>
      <c r="H2" s="45"/>
      <c r="I2" s="45"/>
      <c r="J2" s="45"/>
      <c r="K2" s="45"/>
      <c r="L2" s="45"/>
      <c r="M2" s="46"/>
      <c r="N2" s="42"/>
    </row>
    <row r="3" spans="1:14" ht="20.100000000000001" customHeight="1" x14ac:dyDescent="0.25">
      <c r="A3" s="42"/>
      <c r="B3" s="47"/>
      <c r="C3" s="48"/>
      <c r="D3" s="48"/>
      <c r="E3" s="48"/>
      <c r="F3" s="48"/>
      <c r="G3" s="48"/>
      <c r="H3" s="48"/>
      <c r="I3" s="48"/>
      <c r="J3" s="48"/>
      <c r="K3" s="48"/>
      <c r="L3" s="48"/>
      <c r="M3" s="49"/>
      <c r="N3" s="42"/>
    </row>
    <row r="4" spans="1:14" ht="8.1" customHeight="1" x14ac:dyDescent="0.25">
      <c r="A4" s="42"/>
      <c r="B4" s="47"/>
      <c r="C4" s="48"/>
      <c r="D4" s="48"/>
      <c r="E4" s="48"/>
      <c r="F4" s="48"/>
      <c r="G4" s="48"/>
      <c r="H4" s="48"/>
      <c r="I4" s="48"/>
      <c r="J4" s="48"/>
      <c r="K4" s="48"/>
      <c r="L4" s="48"/>
      <c r="M4" s="49"/>
      <c r="N4" s="42"/>
    </row>
    <row r="5" spans="1:14" ht="38.1" customHeight="1" x14ac:dyDescent="0.25">
      <c r="A5" s="42"/>
      <c r="B5" s="47"/>
      <c r="C5" s="113" t="s">
        <v>552</v>
      </c>
      <c r="D5" s="109"/>
      <c r="E5" s="109"/>
      <c r="F5" s="109"/>
      <c r="G5" s="109"/>
      <c r="H5" s="109"/>
      <c r="I5" s="109"/>
      <c r="J5" s="109"/>
      <c r="K5" s="109"/>
      <c r="L5" s="109"/>
      <c r="M5" s="49"/>
      <c r="N5" s="42"/>
    </row>
    <row r="6" spans="1:14" ht="6" customHeight="1" x14ac:dyDescent="0.25">
      <c r="A6" s="42"/>
      <c r="B6" s="47"/>
      <c r="C6" s="48"/>
      <c r="D6" s="48"/>
      <c r="E6" s="48"/>
      <c r="F6" s="48"/>
      <c r="G6" s="48"/>
      <c r="H6" s="48"/>
      <c r="I6" s="48"/>
      <c r="J6" s="48"/>
      <c r="K6" s="48"/>
      <c r="L6" s="48"/>
      <c r="M6" s="49"/>
      <c r="N6" s="42"/>
    </row>
    <row r="7" spans="1:14" ht="30.75" customHeight="1" x14ac:dyDescent="0.25">
      <c r="A7" s="42"/>
      <c r="B7" s="47"/>
      <c r="C7" s="116" t="s">
        <v>553</v>
      </c>
      <c r="D7" s="109"/>
      <c r="E7" s="109"/>
      <c r="F7" s="109"/>
      <c r="G7" s="109"/>
      <c r="H7" s="109"/>
      <c r="I7" s="109"/>
      <c r="J7" s="109"/>
      <c r="K7" s="109"/>
      <c r="L7" s="109"/>
      <c r="M7" s="49"/>
      <c r="N7" s="42"/>
    </row>
    <row r="8" spans="1:14" ht="6" customHeight="1" thickBot="1" x14ac:dyDescent="0.3">
      <c r="A8" s="42"/>
      <c r="B8" s="47"/>
      <c r="C8" s="50"/>
      <c r="D8" s="50"/>
      <c r="E8" s="50"/>
      <c r="F8" s="50"/>
      <c r="G8" s="50"/>
      <c r="H8" s="50"/>
      <c r="I8" s="50"/>
      <c r="J8" s="50"/>
      <c r="K8" s="50"/>
      <c r="L8" s="50"/>
      <c r="M8" s="49"/>
      <c r="N8" s="42"/>
    </row>
    <row r="9" spans="1:14" ht="18" customHeight="1" x14ac:dyDescent="0.25">
      <c r="A9" s="42"/>
      <c r="B9" s="47"/>
      <c r="C9" s="48"/>
      <c r="D9" s="48"/>
      <c r="E9" s="48"/>
      <c r="F9" s="48"/>
      <c r="G9" s="48"/>
      <c r="H9" s="48"/>
      <c r="I9" s="48"/>
      <c r="J9" s="48"/>
      <c r="K9" s="48"/>
      <c r="L9" s="48"/>
      <c r="M9" s="49"/>
      <c r="N9" s="42"/>
    </row>
    <row r="10" spans="1:14" ht="21.95" customHeight="1" x14ac:dyDescent="0.25">
      <c r="A10" s="42"/>
      <c r="B10" s="47"/>
      <c r="C10" s="114" t="s">
        <v>554</v>
      </c>
      <c r="D10" s="109"/>
      <c r="E10" s="109"/>
      <c r="F10" s="109"/>
      <c r="G10" s="109"/>
      <c r="H10" s="109"/>
      <c r="I10" s="109"/>
      <c r="J10" s="109"/>
      <c r="K10" s="109"/>
      <c r="L10" s="109"/>
      <c r="M10" s="49"/>
      <c r="N10" s="42"/>
    </row>
    <row r="11" spans="1:14" ht="28.5" customHeight="1" x14ac:dyDescent="0.25">
      <c r="A11" s="42"/>
      <c r="B11" s="47"/>
      <c r="C11" s="109"/>
      <c r="D11" s="109"/>
      <c r="E11" s="109"/>
      <c r="F11" s="109"/>
      <c r="G11" s="109"/>
      <c r="H11" s="109"/>
      <c r="I11" s="109"/>
      <c r="J11" s="109"/>
      <c r="K11" s="109"/>
      <c r="L11" s="109"/>
      <c r="M11" s="49"/>
      <c r="N11" s="42"/>
    </row>
    <row r="12" spans="1:14" ht="41.25" customHeight="1" x14ac:dyDescent="0.25">
      <c r="A12" s="42"/>
      <c r="B12" s="47"/>
      <c r="C12" s="109"/>
      <c r="D12" s="109"/>
      <c r="E12" s="109"/>
      <c r="F12" s="109"/>
      <c r="G12" s="109"/>
      <c r="H12" s="109"/>
      <c r="I12" s="109"/>
      <c r="J12" s="109"/>
      <c r="K12" s="109"/>
      <c r="L12" s="109"/>
      <c r="M12" s="49"/>
      <c r="N12" s="42"/>
    </row>
    <row r="13" spans="1:14" ht="2.25" customHeight="1" x14ac:dyDescent="0.25">
      <c r="A13" s="42"/>
      <c r="B13" s="47"/>
      <c r="C13" s="109"/>
      <c r="D13" s="109"/>
      <c r="E13" s="109"/>
      <c r="F13" s="109"/>
      <c r="G13" s="109"/>
      <c r="H13" s="109"/>
      <c r="I13" s="109"/>
      <c r="J13" s="109"/>
      <c r="K13" s="109"/>
      <c r="L13" s="109"/>
      <c r="M13" s="49"/>
      <c r="N13" s="42"/>
    </row>
    <row r="14" spans="1:14" ht="14.1" customHeight="1" x14ac:dyDescent="0.25">
      <c r="A14" s="42"/>
      <c r="B14" s="47"/>
      <c r="C14" s="48"/>
      <c r="D14" s="48"/>
      <c r="E14" s="48"/>
      <c r="F14" s="48"/>
      <c r="G14" s="48"/>
      <c r="H14" s="48"/>
      <c r="I14" s="48"/>
      <c r="J14" s="48"/>
      <c r="K14" s="48"/>
      <c r="L14" s="48"/>
      <c r="M14" s="49"/>
      <c r="N14" s="42"/>
    </row>
    <row r="15" spans="1:14" ht="3.95" customHeight="1" x14ac:dyDescent="0.25">
      <c r="A15" s="42"/>
      <c r="B15" s="47"/>
      <c r="C15" s="51"/>
      <c r="D15" s="51"/>
      <c r="E15" s="51"/>
      <c r="F15" s="51"/>
      <c r="G15" s="51"/>
      <c r="H15" s="51"/>
      <c r="I15" s="51"/>
      <c r="J15" s="51"/>
      <c r="K15" s="51"/>
      <c r="L15" s="51"/>
      <c r="M15" s="49"/>
      <c r="N15" s="42"/>
    </row>
    <row r="16" spans="1:14" ht="14.1" customHeight="1" x14ac:dyDescent="0.25">
      <c r="A16" s="42"/>
      <c r="B16" s="47"/>
      <c r="C16" s="48"/>
      <c r="D16" s="48"/>
      <c r="E16" s="48"/>
      <c r="F16" s="48"/>
      <c r="G16" s="48"/>
      <c r="H16" s="48"/>
      <c r="I16" s="48"/>
      <c r="J16" s="48"/>
      <c r="K16" s="48"/>
      <c r="L16" s="48"/>
      <c r="M16" s="49"/>
      <c r="N16" s="42"/>
    </row>
    <row r="17" spans="1:14" ht="21.95" customHeight="1" x14ac:dyDescent="0.25">
      <c r="A17" s="42"/>
      <c r="B17" s="47"/>
      <c r="C17" s="115" t="s">
        <v>555</v>
      </c>
      <c r="D17" s="109"/>
      <c r="E17" s="109"/>
      <c r="F17" s="109"/>
      <c r="G17" s="109"/>
      <c r="H17" s="109"/>
      <c r="I17" s="109"/>
      <c r="J17" s="109"/>
      <c r="K17" s="109"/>
      <c r="L17" s="109"/>
      <c r="M17" s="49"/>
      <c r="N17" s="42"/>
    </row>
    <row r="18" spans="1:14" ht="20.100000000000001" customHeight="1" x14ac:dyDescent="0.25">
      <c r="A18" s="42"/>
      <c r="B18" s="47"/>
      <c r="C18" s="111" t="s">
        <v>556</v>
      </c>
      <c r="D18" s="109"/>
      <c r="E18" s="109"/>
      <c r="F18" s="109"/>
      <c r="G18" s="109"/>
      <c r="H18" s="109"/>
      <c r="I18" s="109"/>
      <c r="J18" s="109"/>
      <c r="K18" s="109"/>
      <c r="L18" s="109"/>
      <c r="M18" s="49"/>
      <c r="N18" s="42"/>
    </row>
    <row r="19" spans="1:14" ht="20.100000000000001" customHeight="1" thickBot="1" x14ac:dyDescent="0.3">
      <c r="A19" s="42"/>
      <c r="B19" s="52"/>
      <c r="C19" s="112"/>
      <c r="D19" s="112"/>
      <c r="E19" s="112"/>
      <c r="F19" s="112"/>
      <c r="G19" s="112"/>
      <c r="H19" s="112"/>
      <c r="I19" s="112"/>
      <c r="J19" s="112"/>
      <c r="K19" s="112"/>
      <c r="L19" s="112"/>
      <c r="M19" s="53"/>
      <c r="N19" s="42"/>
    </row>
    <row r="20" spans="1:14" ht="29.25" customHeight="1" x14ac:dyDescent="0.25">
      <c r="A20" s="108" t="s">
        <v>557</v>
      </c>
      <c r="B20" s="109"/>
      <c r="C20" s="109"/>
      <c r="D20" s="109"/>
      <c r="E20" s="109"/>
      <c r="F20" s="109"/>
      <c r="G20" s="109"/>
      <c r="H20" s="109"/>
      <c r="I20" s="109"/>
      <c r="J20" s="109"/>
      <c r="K20" s="109"/>
      <c r="L20" s="109"/>
      <c r="M20" s="109"/>
      <c r="N20" s="109"/>
    </row>
    <row r="21" spans="1:14" ht="16.5" customHeight="1" x14ac:dyDescent="0.25">
      <c r="A21" s="108" t="s">
        <v>558</v>
      </c>
      <c r="B21" s="109"/>
      <c r="C21" s="109"/>
      <c r="D21" s="109"/>
      <c r="E21" s="109"/>
      <c r="F21" s="109"/>
      <c r="G21" s="109"/>
      <c r="H21" s="109"/>
      <c r="I21" s="109"/>
      <c r="J21" s="109"/>
      <c r="K21" s="109"/>
      <c r="L21" s="109"/>
      <c r="M21" s="109"/>
      <c r="N21" s="109"/>
    </row>
    <row r="22" spans="1:14" ht="18.75" customHeight="1" x14ac:dyDescent="0.25">
      <c r="A22" s="109"/>
      <c r="B22" s="109"/>
      <c r="C22" s="109"/>
      <c r="D22" s="109"/>
      <c r="E22" s="109"/>
      <c r="F22" s="109"/>
      <c r="G22" s="109"/>
      <c r="H22" s="109"/>
      <c r="I22" s="109"/>
      <c r="J22" s="109"/>
      <c r="K22" s="109"/>
      <c r="L22" s="109"/>
      <c r="M22" s="109"/>
      <c r="N22" s="109"/>
    </row>
    <row r="23" spans="1:14" x14ac:dyDescent="0.25">
      <c r="A23" s="108" t="s">
        <v>559</v>
      </c>
      <c r="B23" s="109"/>
      <c r="C23" s="109"/>
      <c r="D23" s="109"/>
      <c r="E23" s="109"/>
      <c r="F23" s="109"/>
      <c r="G23" s="109"/>
      <c r="H23" s="109"/>
      <c r="I23" s="109"/>
      <c r="J23" s="109"/>
      <c r="K23" s="109"/>
      <c r="L23" s="109"/>
      <c r="M23" s="109"/>
      <c r="N23" s="109"/>
    </row>
    <row r="24" spans="1:14" ht="18.75" customHeight="1" x14ac:dyDescent="0.25">
      <c r="A24" s="109"/>
      <c r="B24" s="109"/>
      <c r="C24" s="109"/>
      <c r="D24" s="109"/>
      <c r="E24" s="109"/>
      <c r="F24" s="109"/>
      <c r="G24" s="109"/>
      <c r="H24" s="109"/>
      <c r="I24" s="109"/>
      <c r="J24" s="109"/>
      <c r="K24" s="109"/>
      <c r="L24" s="109"/>
      <c r="M24" s="109"/>
      <c r="N24" s="109"/>
    </row>
    <row r="25" spans="1:14" x14ac:dyDescent="0.25">
      <c r="A25" s="110" t="s">
        <v>560</v>
      </c>
      <c r="B25" s="109"/>
      <c r="C25" s="109"/>
      <c r="D25" s="109"/>
      <c r="E25" s="109"/>
      <c r="F25" s="109"/>
      <c r="G25" s="109"/>
      <c r="H25" s="109"/>
      <c r="I25" s="109"/>
      <c r="J25" s="109"/>
      <c r="K25" s="109"/>
      <c r="L25" s="109"/>
      <c r="M25" s="109"/>
      <c r="N25" s="109"/>
    </row>
    <row r="26" spans="1:14" ht="9.75" customHeight="1" x14ac:dyDescent="0.25">
      <c r="A26" s="109"/>
      <c r="B26" s="109"/>
      <c r="C26" s="109"/>
      <c r="D26" s="109"/>
      <c r="E26" s="109"/>
      <c r="F26" s="109"/>
      <c r="G26" s="109"/>
      <c r="H26" s="109"/>
      <c r="I26" s="109"/>
      <c r="J26" s="109"/>
      <c r="K26" s="109"/>
      <c r="L26" s="109"/>
      <c r="M26" s="109"/>
      <c r="N26" s="109"/>
    </row>
    <row r="27" spans="1:14" hidden="1" x14ac:dyDescent="0.25">
      <c r="A27" s="109"/>
      <c r="B27" s="109"/>
      <c r="C27" s="109"/>
      <c r="D27" s="109"/>
      <c r="E27" s="109"/>
      <c r="F27" s="109"/>
      <c r="G27" s="109"/>
      <c r="H27" s="109"/>
      <c r="I27" s="109"/>
      <c r="J27" s="109"/>
      <c r="K27" s="109"/>
      <c r="L27" s="109"/>
      <c r="M27" s="109"/>
      <c r="N27" s="109"/>
    </row>
    <row r="28" spans="1:14" ht="11.25" customHeight="1" x14ac:dyDescent="0.25">
      <c r="A28" s="109"/>
      <c r="B28" s="109"/>
      <c r="C28" s="109"/>
      <c r="D28" s="109"/>
      <c r="E28" s="109"/>
      <c r="F28" s="109"/>
      <c r="G28" s="109"/>
      <c r="H28" s="109"/>
      <c r="I28" s="109"/>
      <c r="J28" s="109"/>
      <c r="K28" s="109"/>
      <c r="L28" s="109"/>
      <c r="M28" s="109"/>
      <c r="N28" s="109"/>
    </row>
  </sheetData>
  <mergeCells count="9">
    <mergeCell ref="A23:N24"/>
    <mergeCell ref="A25:N28"/>
    <mergeCell ref="C18:L19"/>
    <mergeCell ref="A21:N22"/>
    <mergeCell ref="C5:L5"/>
    <mergeCell ref="C10:L13"/>
    <mergeCell ref="A20:N20"/>
    <mergeCell ref="C17:L17"/>
    <mergeCell ref="C7:L7"/>
  </mergeCells>
  <pageMargins left="0.5" right="0.5" top="0.5" bottom="0.5"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D966"/>
  </sheetPr>
  <dimension ref="A1:D33"/>
  <sheetViews>
    <sheetView showGridLines="0" zoomScaleNormal="100" workbookViewId="0">
      <pane ySplit="5" topLeftCell="A6" activePane="bottomLeft" state="frozen"/>
      <selection activeCell="A3" sqref="A3:H3"/>
      <selection pane="bottomLeft" activeCell="A3" sqref="A3:H3"/>
    </sheetView>
  </sheetViews>
  <sheetFormatPr defaultColWidth="8.5703125" defaultRowHeight="15" x14ac:dyDescent="0.25"/>
  <cols>
    <col min="1" max="1" width="38" customWidth="1"/>
    <col min="2" max="2" width="80" customWidth="1"/>
    <col min="3" max="3" width="14" customWidth="1"/>
    <col min="4" max="4" width="55" customWidth="1"/>
  </cols>
  <sheetData>
    <row r="1" spans="1:4" ht="15.6" customHeight="1" x14ac:dyDescent="0.25">
      <c r="A1" s="9" t="s">
        <v>561</v>
      </c>
      <c r="D1" s="10" t="s">
        <v>562</v>
      </c>
    </row>
    <row r="2" spans="1:4" ht="15.75" customHeight="1" x14ac:dyDescent="0.25">
      <c r="A2" s="11" t="s">
        <v>563</v>
      </c>
    </row>
    <row r="4" spans="1:4" x14ac:dyDescent="0.25">
      <c r="A4" s="12" t="s">
        <v>564</v>
      </c>
      <c r="B4" s="12"/>
      <c r="C4" s="12"/>
      <c r="D4" s="12"/>
    </row>
    <row r="5" spans="1:4" x14ac:dyDescent="0.25">
      <c r="A5" s="1" t="s">
        <v>565</v>
      </c>
      <c r="B5" s="2" t="s">
        <v>566</v>
      </c>
      <c r="C5" s="2" t="s">
        <v>567</v>
      </c>
      <c r="D5" s="2" t="s">
        <v>568</v>
      </c>
    </row>
    <row r="6" spans="1:4" x14ac:dyDescent="0.25">
      <c r="A6" s="3" t="s">
        <v>569</v>
      </c>
      <c r="B6" s="13">
        <v>0.22</v>
      </c>
      <c r="C6" s="13" t="s">
        <v>570</v>
      </c>
      <c r="D6" s="13" t="s">
        <v>571</v>
      </c>
    </row>
    <row r="7" spans="1:4" x14ac:dyDescent="0.25">
      <c r="A7" s="5" t="s">
        <v>572</v>
      </c>
      <c r="B7" s="14">
        <v>0.78</v>
      </c>
      <c r="C7" s="15" t="s">
        <v>570</v>
      </c>
      <c r="D7" s="15" t="s">
        <v>573</v>
      </c>
    </row>
    <row r="8" spans="1:4" x14ac:dyDescent="0.25">
      <c r="A8" s="3" t="s">
        <v>574</v>
      </c>
      <c r="B8" s="16">
        <v>0.55000000000000004</v>
      </c>
      <c r="C8" s="13" t="s">
        <v>570</v>
      </c>
      <c r="D8" s="13" t="s">
        <v>575</v>
      </c>
    </row>
    <row r="9" spans="1:4" x14ac:dyDescent="0.25">
      <c r="A9" s="5" t="s">
        <v>576</v>
      </c>
      <c r="B9" s="14">
        <v>0.28000000000000003</v>
      </c>
      <c r="C9" s="15" t="s">
        <v>570</v>
      </c>
      <c r="D9" s="15" t="s">
        <v>577</v>
      </c>
    </row>
    <row r="10" spans="1:4" x14ac:dyDescent="0.25">
      <c r="A10" s="3" t="s">
        <v>578</v>
      </c>
      <c r="B10" s="16">
        <v>0.12</v>
      </c>
      <c r="C10" s="13" t="s">
        <v>570</v>
      </c>
      <c r="D10" s="13" t="s">
        <v>579</v>
      </c>
    </row>
    <row r="11" spans="1:4" x14ac:dyDescent="0.25">
      <c r="A11" s="5" t="s">
        <v>580</v>
      </c>
      <c r="B11" s="14">
        <v>0.05</v>
      </c>
      <c r="C11" s="15" t="s">
        <v>570</v>
      </c>
      <c r="D11" s="15" t="s">
        <v>581</v>
      </c>
    </row>
    <row r="12" spans="1:4" x14ac:dyDescent="0.25">
      <c r="A12" s="3" t="s">
        <v>582</v>
      </c>
      <c r="B12" s="16">
        <v>0.3</v>
      </c>
      <c r="C12" s="13" t="s">
        <v>570</v>
      </c>
      <c r="D12" s="13" t="s">
        <v>583</v>
      </c>
    </row>
    <row r="13" spans="1:4" x14ac:dyDescent="0.25">
      <c r="A13" s="5" t="s">
        <v>584</v>
      </c>
      <c r="B13" s="14">
        <v>0.7</v>
      </c>
      <c r="C13" s="15" t="s">
        <v>570</v>
      </c>
      <c r="D13" s="15" t="s">
        <v>585</v>
      </c>
    </row>
    <row r="14" spans="1:4" x14ac:dyDescent="0.25">
      <c r="A14" s="3" t="s">
        <v>586</v>
      </c>
      <c r="B14" s="16">
        <v>0.02</v>
      </c>
      <c r="C14" s="13" t="s">
        <v>570</v>
      </c>
      <c r="D14" s="13" t="s">
        <v>587</v>
      </c>
    </row>
    <row r="15" spans="1:4" x14ac:dyDescent="0.25">
      <c r="A15" s="5" t="s">
        <v>588</v>
      </c>
      <c r="B15" s="14">
        <v>0.05</v>
      </c>
      <c r="C15" s="15" t="s">
        <v>570</v>
      </c>
      <c r="D15" s="15" t="s">
        <v>589</v>
      </c>
    </row>
    <row r="16" spans="1:4" x14ac:dyDescent="0.25">
      <c r="A16" s="3" t="s">
        <v>590</v>
      </c>
      <c r="B16" s="16">
        <v>0.01</v>
      </c>
      <c r="C16" s="13" t="s">
        <v>570</v>
      </c>
      <c r="D16" s="13" t="s">
        <v>591</v>
      </c>
    </row>
    <row r="17" spans="1:4" x14ac:dyDescent="0.25">
      <c r="A17" s="5" t="s">
        <v>592</v>
      </c>
      <c r="B17" s="14">
        <v>0.3</v>
      </c>
      <c r="C17" s="15" t="s">
        <v>570</v>
      </c>
      <c r="D17" s="15" t="s">
        <v>593</v>
      </c>
    </row>
    <row r="18" spans="1:4" x14ac:dyDescent="0.25">
      <c r="A18" s="3" t="s">
        <v>594</v>
      </c>
      <c r="B18" s="13">
        <v>1</v>
      </c>
      <c r="C18" s="13" t="s">
        <v>595</v>
      </c>
      <c r="D18" s="13" t="s">
        <v>596</v>
      </c>
    </row>
    <row r="19" spans="1:4" x14ac:dyDescent="0.25">
      <c r="A19" s="5" t="s">
        <v>597</v>
      </c>
      <c r="B19" s="17">
        <v>500</v>
      </c>
      <c r="C19" s="15" t="s">
        <v>598</v>
      </c>
      <c r="D19" s="15" t="s">
        <v>599</v>
      </c>
    </row>
    <row r="20" spans="1:4" x14ac:dyDescent="0.25">
      <c r="A20" s="18"/>
      <c r="B20" s="18"/>
      <c r="C20" s="18"/>
      <c r="D20" s="18"/>
    </row>
    <row r="21" spans="1:4" x14ac:dyDescent="0.25">
      <c r="A21" s="18"/>
      <c r="B21" s="18"/>
      <c r="C21" s="18"/>
      <c r="D21" s="18"/>
    </row>
    <row r="22" spans="1:4" x14ac:dyDescent="0.25">
      <c r="A22" s="18"/>
      <c r="B22" s="18"/>
      <c r="C22" s="18"/>
      <c r="D22" s="18"/>
    </row>
    <row r="23" spans="1:4" x14ac:dyDescent="0.25">
      <c r="A23" s="12" t="s">
        <v>600</v>
      </c>
      <c r="B23" s="12"/>
      <c r="C23" s="12"/>
      <c r="D23" s="12"/>
    </row>
    <row r="24" spans="1:4" x14ac:dyDescent="0.25">
      <c r="A24" s="1" t="s">
        <v>2</v>
      </c>
      <c r="B24" s="2" t="s">
        <v>601</v>
      </c>
      <c r="C24" s="2"/>
      <c r="D24" s="2"/>
    </row>
    <row r="25" spans="1:4" ht="45" customHeight="1" x14ac:dyDescent="0.25">
      <c r="A25" s="3" t="s">
        <v>602</v>
      </c>
      <c r="B25" s="19" t="s">
        <v>603</v>
      </c>
      <c r="C25" s="3"/>
      <c r="D25" s="3"/>
    </row>
    <row r="26" spans="1:4" ht="45" customHeight="1" x14ac:dyDescent="0.25">
      <c r="A26" s="5" t="s">
        <v>21</v>
      </c>
      <c r="B26" s="20" t="s">
        <v>604</v>
      </c>
      <c r="C26" s="5"/>
      <c r="D26" s="5"/>
    </row>
    <row r="27" spans="1:4" ht="45" customHeight="1" x14ac:dyDescent="0.25">
      <c r="A27" s="3" t="s">
        <v>56</v>
      </c>
      <c r="B27" s="19" t="s">
        <v>605</v>
      </c>
      <c r="C27" s="3"/>
      <c r="D27" s="3"/>
    </row>
    <row r="28" spans="1:4" ht="45" customHeight="1" x14ac:dyDescent="0.25">
      <c r="A28" s="5" t="s">
        <v>54</v>
      </c>
      <c r="B28" s="20" t="s">
        <v>606</v>
      </c>
      <c r="C28" s="5"/>
      <c r="D28" s="5"/>
    </row>
    <row r="29" spans="1:4" ht="45" customHeight="1" x14ac:dyDescent="0.25">
      <c r="A29" s="3" t="s">
        <v>15</v>
      </c>
      <c r="B29" s="19" t="s">
        <v>607</v>
      </c>
      <c r="C29" s="3"/>
      <c r="D29" s="3"/>
    </row>
    <row r="30" spans="1:4" ht="45" customHeight="1" x14ac:dyDescent="0.25">
      <c r="A30" s="5" t="s">
        <v>40</v>
      </c>
      <c r="B30" s="20" t="s">
        <v>608</v>
      </c>
      <c r="C30" s="5"/>
      <c r="D30" s="5"/>
    </row>
    <row r="31" spans="1:4" ht="45" customHeight="1" x14ac:dyDescent="0.25">
      <c r="A31" s="3" t="s">
        <v>609</v>
      </c>
      <c r="B31" s="19" t="s">
        <v>610</v>
      </c>
      <c r="C31" s="3"/>
      <c r="D31" s="3"/>
    </row>
    <row r="32" spans="1:4" ht="45" customHeight="1" x14ac:dyDescent="0.25">
      <c r="A32" s="5" t="s">
        <v>9</v>
      </c>
      <c r="B32" s="20" t="s">
        <v>611</v>
      </c>
      <c r="C32" s="5"/>
      <c r="D32" s="5"/>
    </row>
    <row r="33" spans="1:4" ht="45" customHeight="1" x14ac:dyDescent="0.25">
      <c r="A33" s="3" t="s">
        <v>43</v>
      </c>
      <c r="B33" s="19" t="s">
        <v>610</v>
      </c>
      <c r="C33" s="3"/>
      <c r="D33" s="3"/>
    </row>
  </sheetData>
  <dataValidations count="1">
    <dataValidation type="list" errorTitle="Invalid Type" error="Please select a valid type" sqref="C6:C19" xr:uid="{00000000-0002-0000-0200-000000000000}">
      <formula1>"Percentage,Dollar,Multiplier,Text"</formula1>
      <formula2>0</formula2>
    </dataValidation>
  </dataValidations>
  <pageMargins left="0.75" right="0.75" top="1" bottom="1" header="0.511811023622047" footer="0.511811023622047"/>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ED7D31"/>
  </sheetPr>
  <dimension ref="A1:E54"/>
  <sheetViews>
    <sheetView showGridLines="0" zoomScaleNormal="100" workbookViewId="0">
      <pane ySplit="5" topLeftCell="A6" activePane="bottomLeft" state="frozen"/>
      <selection pane="bottomLeft" activeCell="H9" sqref="H9"/>
    </sheetView>
  </sheetViews>
  <sheetFormatPr defaultColWidth="8.5703125" defaultRowHeight="15" x14ac:dyDescent="0.25"/>
  <cols>
    <col min="1" max="1" width="23.28515625" customWidth="1"/>
    <col min="2" max="2" width="41" customWidth="1"/>
    <col min="3" max="3" width="26.140625" customWidth="1"/>
    <col min="4" max="4" width="24.7109375" customWidth="1"/>
    <col min="5" max="5" width="30.5703125" customWidth="1"/>
  </cols>
  <sheetData>
    <row r="1" spans="1:5" ht="15.6" customHeight="1" x14ac:dyDescent="0.25">
      <c r="A1" s="9" t="s">
        <v>561</v>
      </c>
      <c r="E1" s="10" t="s">
        <v>562</v>
      </c>
    </row>
    <row r="2" spans="1:5" ht="15.75" customHeight="1" x14ac:dyDescent="0.25">
      <c r="A2" s="11" t="s">
        <v>612</v>
      </c>
    </row>
    <row r="3" spans="1:5" x14ac:dyDescent="0.25">
      <c r="A3" s="18"/>
      <c r="B3" s="18"/>
      <c r="C3" s="18"/>
      <c r="D3" s="18"/>
      <c r="E3" s="18"/>
    </row>
    <row r="4" spans="1:5" x14ac:dyDescent="0.25">
      <c r="A4" s="12" t="s">
        <v>613</v>
      </c>
      <c r="B4" s="12"/>
      <c r="C4" s="12"/>
      <c r="D4" s="12"/>
      <c r="E4" s="12"/>
    </row>
    <row r="5" spans="1:5" x14ac:dyDescent="0.25">
      <c r="A5" s="1" t="s">
        <v>614</v>
      </c>
      <c r="B5" s="2" t="s">
        <v>615</v>
      </c>
      <c r="C5" s="2" t="s">
        <v>616</v>
      </c>
      <c r="D5" s="2" t="s">
        <v>617</v>
      </c>
      <c r="E5" s="2"/>
    </row>
    <row r="6" spans="1:5" x14ac:dyDescent="0.25">
      <c r="A6" s="3" t="s">
        <v>618</v>
      </c>
      <c r="B6" s="13" t="s">
        <v>25</v>
      </c>
      <c r="C6" s="13" t="s">
        <v>619</v>
      </c>
      <c r="D6" s="13" t="s">
        <v>620</v>
      </c>
      <c r="E6" s="13"/>
    </row>
    <row r="7" spans="1:5" x14ac:dyDescent="0.25">
      <c r="A7" s="5" t="s">
        <v>621</v>
      </c>
      <c r="B7" s="15" t="s">
        <v>36</v>
      </c>
      <c r="C7" s="15" t="s">
        <v>619</v>
      </c>
      <c r="D7" s="15" t="s">
        <v>620</v>
      </c>
      <c r="E7" s="15"/>
    </row>
    <row r="8" spans="1:5" x14ac:dyDescent="0.25">
      <c r="A8" s="3" t="s">
        <v>622</v>
      </c>
      <c r="B8" s="13" t="s">
        <v>16</v>
      </c>
      <c r="C8" s="13" t="s">
        <v>623</v>
      </c>
      <c r="D8" s="13" t="s">
        <v>620</v>
      </c>
      <c r="E8" s="13"/>
    </row>
    <row r="9" spans="1:5" x14ac:dyDescent="0.25">
      <c r="A9" s="5" t="s">
        <v>624</v>
      </c>
      <c r="B9" s="15" t="s">
        <v>10</v>
      </c>
      <c r="C9" s="15" t="s">
        <v>625</v>
      </c>
      <c r="D9" s="15" t="s">
        <v>620</v>
      </c>
      <c r="E9" s="15"/>
    </row>
    <row r="10" spans="1:5" x14ac:dyDescent="0.25">
      <c r="A10" s="18"/>
      <c r="B10" s="18"/>
      <c r="C10" s="18"/>
      <c r="D10" s="18"/>
      <c r="E10" s="18"/>
    </row>
    <row r="11" spans="1:5" x14ac:dyDescent="0.25">
      <c r="A11" s="18"/>
      <c r="B11" s="18"/>
      <c r="C11" s="18"/>
      <c r="D11" s="18"/>
      <c r="E11" s="18"/>
    </row>
    <row r="12" spans="1:5" x14ac:dyDescent="0.25">
      <c r="A12" s="12" t="s">
        <v>626</v>
      </c>
      <c r="B12" s="12"/>
      <c r="C12" s="12"/>
      <c r="D12" s="12"/>
      <c r="E12" s="12"/>
    </row>
    <row r="13" spans="1:5" x14ac:dyDescent="0.25">
      <c r="A13" s="1" t="s">
        <v>627</v>
      </c>
      <c r="B13" s="2" t="s">
        <v>628</v>
      </c>
      <c r="C13" s="2" t="s">
        <v>629</v>
      </c>
      <c r="D13" s="2"/>
      <c r="E13" s="2"/>
    </row>
    <row r="14" spans="1:5" x14ac:dyDescent="0.25">
      <c r="A14" s="3" t="s">
        <v>630</v>
      </c>
      <c r="B14" s="13" t="s">
        <v>21</v>
      </c>
      <c r="C14" s="13" t="s">
        <v>631</v>
      </c>
      <c r="D14" s="13"/>
      <c r="E14" s="13"/>
    </row>
    <row r="15" spans="1:5" x14ac:dyDescent="0.25">
      <c r="A15" s="5" t="s">
        <v>632</v>
      </c>
      <c r="B15" s="15" t="s">
        <v>56</v>
      </c>
      <c r="C15" s="15" t="s">
        <v>633</v>
      </c>
      <c r="D15" s="15"/>
      <c r="E15" s="15"/>
    </row>
    <row r="16" spans="1:5" x14ac:dyDescent="0.25">
      <c r="A16" s="3" t="s">
        <v>634</v>
      </c>
      <c r="B16" s="13" t="s">
        <v>54</v>
      </c>
      <c r="C16" s="13" t="s">
        <v>631</v>
      </c>
      <c r="D16" s="13"/>
      <c r="E16" s="13"/>
    </row>
    <row r="17" spans="1:5" x14ac:dyDescent="0.25">
      <c r="A17" s="5" t="s">
        <v>635</v>
      </c>
      <c r="B17" s="15" t="s">
        <v>15</v>
      </c>
      <c r="C17" s="15" t="s">
        <v>631</v>
      </c>
      <c r="D17" s="15"/>
      <c r="E17" s="15"/>
    </row>
    <row r="18" spans="1:5" x14ac:dyDescent="0.25">
      <c r="A18" s="3" t="s">
        <v>636</v>
      </c>
      <c r="B18" s="13" t="s">
        <v>40</v>
      </c>
      <c r="C18" s="13" t="s">
        <v>631</v>
      </c>
      <c r="D18" s="13"/>
      <c r="E18" s="13"/>
    </row>
    <row r="19" spans="1:5" x14ac:dyDescent="0.25">
      <c r="A19" s="5" t="s">
        <v>637</v>
      </c>
      <c r="B19" s="15" t="s">
        <v>9</v>
      </c>
      <c r="C19" s="15" t="s">
        <v>633</v>
      </c>
      <c r="D19" s="15"/>
      <c r="E19" s="15"/>
    </row>
    <row r="20" spans="1:5" x14ac:dyDescent="0.25">
      <c r="A20" s="3" t="s">
        <v>638</v>
      </c>
      <c r="B20" s="13" t="s">
        <v>43</v>
      </c>
      <c r="C20" s="13" t="s">
        <v>639</v>
      </c>
      <c r="D20" s="13"/>
      <c r="E20" s="13"/>
    </row>
    <row r="21" spans="1:5" x14ac:dyDescent="0.25">
      <c r="A21" s="18"/>
      <c r="B21" s="18"/>
      <c r="C21" s="18"/>
      <c r="D21" s="18"/>
      <c r="E21" s="18"/>
    </row>
    <row r="22" spans="1:5" x14ac:dyDescent="0.25">
      <c r="A22" s="18"/>
      <c r="B22" s="18"/>
      <c r="C22" s="18"/>
      <c r="D22" s="18"/>
      <c r="E22" s="18"/>
    </row>
    <row r="23" spans="1:5" x14ac:dyDescent="0.25">
      <c r="A23" s="12" t="s">
        <v>640</v>
      </c>
      <c r="B23" s="12"/>
      <c r="C23" s="12"/>
      <c r="D23" s="12"/>
      <c r="E23" s="12"/>
    </row>
    <row r="24" spans="1:5" x14ac:dyDescent="0.25">
      <c r="A24" s="1" t="s">
        <v>641</v>
      </c>
      <c r="B24" s="2" t="s">
        <v>642</v>
      </c>
      <c r="C24" s="2" t="s">
        <v>643</v>
      </c>
      <c r="D24" s="2" t="s">
        <v>644</v>
      </c>
      <c r="E24" s="2"/>
    </row>
    <row r="25" spans="1:5" x14ac:dyDescent="0.25">
      <c r="A25" s="3" t="s">
        <v>645</v>
      </c>
      <c r="B25" s="13" t="s">
        <v>77</v>
      </c>
      <c r="C25" s="13" t="s">
        <v>646</v>
      </c>
      <c r="D25" s="13" t="s">
        <v>647</v>
      </c>
      <c r="E25" s="13"/>
    </row>
    <row r="26" spans="1:5" x14ac:dyDescent="0.25">
      <c r="A26" s="5" t="s">
        <v>648</v>
      </c>
      <c r="B26" s="15" t="s">
        <v>51</v>
      </c>
      <c r="C26" s="15" t="s">
        <v>649</v>
      </c>
      <c r="D26" s="15" t="s">
        <v>647</v>
      </c>
      <c r="E26" s="15"/>
    </row>
    <row r="27" spans="1:5" x14ac:dyDescent="0.25">
      <c r="A27" s="3" t="s">
        <v>650</v>
      </c>
      <c r="B27" s="13" t="s">
        <v>29</v>
      </c>
      <c r="C27" s="13" t="s">
        <v>651</v>
      </c>
      <c r="D27" s="13" t="s">
        <v>9</v>
      </c>
      <c r="E27" s="13"/>
    </row>
    <row r="28" spans="1:5" x14ac:dyDescent="0.25">
      <c r="A28" s="5" t="s">
        <v>652</v>
      </c>
      <c r="B28" s="15" t="s">
        <v>46</v>
      </c>
      <c r="C28" s="15" t="s">
        <v>653</v>
      </c>
      <c r="D28" s="15" t="s">
        <v>647</v>
      </c>
      <c r="E28" s="15"/>
    </row>
    <row r="29" spans="1:5" x14ac:dyDescent="0.25">
      <c r="A29" s="3" t="s">
        <v>654</v>
      </c>
      <c r="B29" s="13" t="s">
        <v>87</v>
      </c>
      <c r="C29" s="13" t="s">
        <v>655</v>
      </c>
      <c r="D29" s="13" t="s">
        <v>21</v>
      </c>
      <c r="E29" s="13"/>
    </row>
    <row r="30" spans="1:5" x14ac:dyDescent="0.25">
      <c r="A30" s="5" t="s">
        <v>656</v>
      </c>
      <c r="B30" s="15" t="s">
        <v>26</v>
      </c>
      <c r="C30" s="15" t="s">
        <v>657</v>
      </c>
      <c r="D30" s="15" t="s">
        <v>21</v>
      </c>
      <c r="E30" s="15"/>
    </row>
    <row r="31" spans="1:5" x14ac:dyDescent="0.25">
      <c r="A31" s="3" t="s">
        <v>658</v>
      </c>
      <c r="B31" s="13" t="s">
        <v>11</v>
      </c>
      <c r="C31" s="13" t="s">
        <v>659</v>
      </c>
      <c r="D31" s="13" t="s">
        <v>21</v>
      </c>
      <c r="E31" s="13"/>
    </row>
    <row r="32" spans="1:5" x14ac:dyDescent="0.25">
      <c r="A32" s="5" t="s">
        <v>660</v>
      </c>
      <c r="B32" s="15" t="s">
        <v>59</v>
      </c>
      <c r="C32" s="15" t="s">
        <v>661</v>
      </c>
      <c r="D32" s="15" t="s">
        <v>647</v>
      </c>
      <c r="E32" s="15"/>
    </row>
    <row r="33" spans="1:5" x14ac:dyDescent="0.25">
      <c r="A33" s="3" t="s">
        <v>662</v>
      </c>
      <c r="B33" s="13" t="s">
        <v>17</v>
      </c>
      <c r="C33" s="13" t="s">
        <v>663</v>
      </c>
      <c r="D33" s="13" t="s">
        <v>647</v>
      </c>
      <c r="E33" s="13"/>
    </row>
    <row r="34" spans="1:5" x14ac:dyDescent="0.25">
      <c r="A34" s="5" t="s">
        <v>664</v>
      </c>
      <c r="B34" s="15" t="s">
        <v>22</v>
      </c>
      <c r="C34" s="15" t="s">
        <v>665</v>
      </c>
      <c r="D34" s="15" t="s">
        <v>647</v>
      </c>
      <c r="E34" s="15"/>
    </row>
    <row r="35" spans="1:5" x14ac:dyDescent="0.25">
      <c r="A35" s="3" t="s">
        <v>666</v>
      </c>
      <c r="B35" s="13" t="s">
        <v>38</v>
      </c>
      <c r="C35" s="13" t="s">
        <v>667</v>
      </c>
      <c r="D35" s="13" t="s">
        <v>15</v>
      </c>
      <c r="E35" s="13"/>
    </row>
    <row r="36" spans="1:5" x14ac:dyDescent="0.25">
      <c r="A36" s="18"/>
      <c r="B36" s="18"/>
      <c r="C36" s="18"/>
      <c r="D36" s="18"/>
      <c r="E36" s="18"/>
    </row>
    <row r="37" spans="1:5" x14ac:dyDescent="0.25">
      <c r="A37" s="18"/>
      <c r="B37" s="18"/>
      <c r="C37" s="18"/>
      <c r="D37" s="18"/>
      <c r="E37" s="18"/>
    </row>
    <row r="38" spans="1:5" x14ac:dyDescent="0.25">
      <c r="A38" s="12" t="s">
        <v>668</v>
      </c>
      <c r="B38" s="12"/>
      <c r="C38" s="12"/>
      <c r="D38" s="12"/>
      <c r="E38" s="12"/>
    </row>
    <row r="39" spans="1:5" x14ac:dyDescent="0.25">
      <c r="A39" s="1" t="s">
        <v>669</v>
      </c>
      <c r="B39" s="2" t="s">
        <v>670</v>
      </c>
      <c r="C39" s="2" t="s">
        <v>671</v>
      </c>
      <c r="D39" s="2" t="s">
        <v>672</v>
      </c>
      <c r="E39" s="2"/>
    </row>
    <row r="40" spans="1:5" x14ac:dyDescent="0.25">
      <c r="A40" s="3" t="s">
        <v>673</v>
      </c>
      <c r="B40" s="13" t="s">
        <v>60</v>
      </c>
      <c r="C40" s="13" t="s">
        <v>21</v>
      </c>
      <c r="D40" s="13" t="s">
        <v>647</v>
      </c>
      <c r="E40" s="13"/>
    </row>
    <row r="41" spans="1:5" x14ac:dyDescent="0.25">
      <c r="A41" s="5" t="s">
        <v>674</v>
      </c>
      <c r="B41" s="15" t="s">
        <v>47</v>
      </c>
      <c r="C41" s="15" t="s">
        <v>21</v>
      </c>
      <c r="D41" s="15" t="s">
        <v>647</v>
      </c>
      <c r="E41" s="15"/>
    </row>
    <row r="42" spans="1:5" x14ac:dyDescent="0.25">
      <c r="A42" s="3" t="s">
        <v>675</v>
      </c>
      <c r="B42" s="13" t="s">
        <v>44</v>
      </c>
      <c r="C42" s="13" t="s">
        <v>21</v>
      </c>
      <c r="D42" s="13" t="s">
        <v>647</v>
      </c>
      <c r="E42" s="13"/>
    </row>
    <row r="43" spans="1:5" x14ac:dyDescent="0.25">
      <c r="A43" s="5" t="s">
        <v>676</v>
      </c>
      <c r="B43" s="15" t="s">
        <v>57</v>
      </c>
      <c r="C43" s="15" t="s">
        <v>56</v>
      </c>
      <c r="D43" s="15" t="s">
        <v>647</v>
      </c>
      <c r="E43" s="15"/>
    </row>
    <row r="44" spans="1:5" x14ac:dyDescent="0.25">
      <c r="A44" s="3" t="s">
        <v>677</v>
      </c>
      <c r="B44" s="13" t="s">
        <v>18</v>
      </c>
      <c r="C44" s="13" t="s">
        <v>56</v>
      </c>
      <c r="D44" s="13" t="s">
        <v>647</v>
      </c>
      <c r="E44" s="13"/>
    </row>
    <row r="45" spans="1:5" x14ac:dyDescent="0.25">
      <c r="A45" s="5" t="s">
        <v>678</v>
      </c>
      <c r="B45" s="15" t="s">
        <v>12</v>
      </c>
      <c r="C45" s="15" t="s">
        <v>54</v>
      </c>
      <c r="D45" s="15" t="s">
        <v>25</v>
      </c>
      <c r="E45" s="15"/>
    </row>
    <row r="46" spans="1:5" x14ac:dyDescent="0.25">
      <c r="A46" s="3" t="s">
        <v>679</v>
      </c>
      <c r="B46" s="13" t="s">
        <v>32</v>
      </c>
      <c r="C46" s="13" t="s">
        <v>54</v>
      </c>
      <c r="D46" s="13" t="s">
        <v>36</v>
      </c>
      <c r="E46" s="13"/>
    </row>
    <row r="47" spans="1:5" x14ac:dyDescent="0.25">
      <c r="A47" s="5" t="s">
        <v>680</v>
      </c>
      <c r="B47" s="15" t="s">
        <v>41</v>
      </c>
      <c r="C47" s="15" t="s">
        <v>9</v>
      </c>
      <c r="D47" s="15" t="s">
        <v>647</v>
      </c>
      <c r="E47" s="15"/>
    </row>
    <row r="48" spans="1:5" x14ac:dyDescent="0.25">
      <c r="A48" s="3" t="s">
        <v>681</v>
      </c>
      <c r="B48" s="13" t="s">
        <v>34</v>
      </c>
      <c r="C48" s="13" t="s">
        <v>9</v>
      </c>
      <c r="D48" s="13" t="s">
        <v>16</v>
      </c>
      <c r="E48" s="13"/>
    </row>
    <row r="49" spans="1:5" x14ac:dyDescent="0.25">
      <c r="A49" s="5" t="s">
        <v>682</v>
      </c>
      <c r="B49" s="15" t="s">
        <v>70</v>
      </c>
      <c r="C49" s="15" t="s">
        <v>15</v>
      </c>
      <c r="D49" s="15" t="s">
        <v>16</v>
      </c>
      <c r="E49" s="15"/>
    </row>
    <row r="50" spans="1:5" x14ac:dyDescent="0.25">
      <c r="A50" s="3" t="s">
        <v>683</v>
      </c>
      <c r="B50" s="13" t="s">
        <v>27</v>
      </c>
      <c r="C50" s="13" t="s">
        <v>15</v>
      </c>
      <c r="D50" s="13" t="s">
        <v>647</v>
      </c>
      <c r="E50" s="13"/>
    </row>
    <row r="51" spans="1:5" x14ac:dyDescent="0.25">
      <c r="A51" s="5" t="s">
        <v>684</v>
      </c>
      <c r="B51" s="15" t="s">
        <v>30</v>
      </c>
      <c r="C51" s="15" t="s">
        <v>40</v>
      </c>
      <c r="D51" s="15" t="s">
        <v>10</v>
      </c>
      <c r="E51" s="15"/>
    </row>
    <row r="52" spans="1:5" x14ac:dyDescent="0.25">
      <c r="A52" s="3" t="s">
        <v>685</v>
      </c>
      <c r="B52" s="13" t="s">
        <v>75</v>
      </c>
      <c r="C52" s="13" t="s">
        <v>40</v>
      </c>
      <c r="D52" s="13" t="s">
        <v>647</v>
      </c>
      <c r="E52" s="13"/>
    </row>
    <row r="53" spans="1:5" x14ac:dyDescent="0.25">
      <c r="A53" s="5" t="s">
        <v>686</v>
      </c>
      <c r="B53" s="15" t="s">
        <v>23</v>
      </c>
      <c r="C53" s="15" t="s">
        <v>43</v>
      </c>
      <c r="D53" s="15" t="s">
        <v>647</v>
      </c>
      <c r="E53" s="15"/>
    </row>
    <row r="54" spans="1:5" x14ac:dyDescent="0.25">
      <c r="A54" s="3" t="s">
        <v>687</v>
      </c>
      <c r="B54" s="13" t="s">
        <v>62</v>
      </c>
      <c r="C54" s="13" t="s">
        <v>43</v>
      </c>
      <c r="D54" s="13" t="s">
        <v>647</v>
      </c>
      <c r="E54" s="13"/>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2E8B8B"/>
  </sheetPr>
  <dimension ref="A1:F42"/>
  <sheetViews>
    <sheetView showGridLines="0" zoomScaleNormal="100" workbookViewId="0">
      <pane ySplit="5" topLeftCell="A15" activePane="bottomLeft" state="frozen"/>
      <selection pane="bottomLeft"/>
    </sheetView>
  </sheetViews>
  <sheetFormatPr defaultColWidth="8.5703125" defaultRowHeight="15" x14ac:dyDescent="0.25"/>
  <cols>
    <col min="1" max="1" width="38" customWidth="1"/>
    <col min="2" max="3" width="22" customWidth="1"/>
    <col min="4" max="5" width="14" customWidth="1"/>
    <col min="6" max="6" width="22" customWidth="1"/>
  </cols>
  <sheetData>
    <row r="1" spans="1:6" ht="15.6" customHeight="1" x14ac:dyDescent="0.25">
      <c r="A1" s="9" t="s">
        <v>561</v>
      </c>
      <c r="F1" s="10" t="s">
        <v>562</v>
      </c>
    </row>
    <row r="2" spans="1:6" ht="15.75" customHeight="1" x14ac:dyDescent="0.25">
      <c r="A2" s="11" t="s">
        <v>688</v>
      </c>
    </row>
    <row r="3" spans="1:6" x14ac:dyDescent="0.25">
      <c r="A3" s="18"/>
      <c r="B3" s="18"/>
      <c r="C3" s="18"/>
      <c r="D3" s="18"/>
      <c r="E3" s="18"/>
      <c r="F3" s="18"/>
    </row>
    <row r="4" spans="1:6" x14ac:dyDescent="0.25">
      <c r="A4" s="12" t="s">
        <v>689</v>
      </c>
      <c r="B4" s="12"/>
      <c r="C4" s="12"/>
      <c r="D4" s="12"/>
      <c r="E4" s="12"/>
      <c r="F4" s="12"/>
    </row>
    <row r="5" spans="1:6" x14ac:dyDescent="0.25">
      <c r="A5" s="1" t="s">
        <v>3</v>
      </c>
      <c r="B5" s="2" t="s">
        <v>690</v>
      </c>
      <c r="C5" s="2" t="s">
        <v>691</v>
      </c>
      <c r="D5" s="2"/>
      <c r="E5" s="2"/>
      <c r="F5" s="2"/>
    </row>
    <row r="6" spans="1:6" x14ac:dyDescent="0.25">
      <c r="A6" s="3" t="s">
        <v>25</v>
      </c>
      <c r="B6" s="16">
        <v>0.45</v>
      </c>
      <c r="C6" s="16" t="s">
        <v>692</v>
      </c>
      <c r="D6" s="13"/>
      <c r="E6" s="13"/>
      <c r="F6" s="13"/>
    </row>
    <row r="7" spans="1:6" x14ac:dyDescent="0.25">
      <c r="A7" s="5" t="s">
        <v>36</v>
      </c>
      <c r="B7" s="14">
        <v>0.25</v>
      </c>
      <c r="C7" s="14" t="s">
        <v>692</v>
      </c>
      <c r="D7" s="15"/>
      <c r="E7" s="15"/>
      <c r="F7" s="15"/>
    </row>
    <row r="8" spans="1:6" x14ac:dyDescent="0.25">
      <c r="A8" s="3" t="s">
        <v>16</v>
      </c>
      <c r="B8" s="16">
        <v>0.2</v>
      </c>
      <c r="C8" s="16" t="s">
        <v>692</v>
      </c>
      <c r="D8" s="13"/>
      <c r="E8" s="13"/>
      <c r="F8" s="13"/>
    </row>
    <row r="9" spans="1:6" x14ac:dyDescent="0.25">
      <c r="A9" s="5" t="s">
        <v>10</v>
      </c>
      <c r="B9" s="14">
        <v>0.1</v>
      </c>
      <c r="C9" s="14" t="s">
        <v>692</v>
      </c>
      <c r="D9" s="15"/>
      <c r="E9" s="15"/>
      <c r="F9" s="15"/>
    </row>
    <row r="10" spans="1:6" x14ac:dyDescent="0.25">
      <c r="A10" s="21" t="s">
        <v>693</v>
      </c>
      <c r="B10" s="22">
        <f>SUM(B6:B9)</f>
        <v>0.99999999999999989</v>
      </c>
      <c r="C10" s="23"/>
      <c r="D10" s="23"/>
      <c r="E10" s="23"/>
      <c r="F10" s="23"/>
    </row>
    <row r="11" spans="1:6" x14ac:dyDescent="0.25">
      <c r="A11" s="18"/>
      <c r="B11" s="18"/>
      <c r="C11" s="18"/>
      <c r="D11" s="18"/>
      <c r="E11" s="18"/>
      <c r="F11" s="18"/>
    </row>
    <row r="12" spans="1:6" x14ac:dyDescent="0.25">
      <c r="A12" s="18"/>
      <c r="B12" s="18"/>
      <c r="C12" s="18"/>
      <c r="D12" s="18"/>
      <c r="E12" s="18"/>
      <c r="F12" s="18"/>
    </row>
    <row r="13" spans="1:6" x14ac:dyDescent="0.25">
      <c r="A13" s="12" t="s">
        <v>694</v>
      </c>
      <c r="B13" s="12"/>
      <c r="C13" s="12"/>
      <c r="D13" s="12"/>
      <c r="E13" s="12"/>
      <c r="F13" s="12"/>
    </row>
    <row r="14" spans="1:6" x14ac:dyDescent="0.25">
      <c r="A14" s="1" t="s">
        <v>695</v>
      </c>
      <c r="B14" s="2" t="s">
        <v>696</v>
      </c>
      <c r="C14" s="2" t="s">
        <v>697</v>
      </c>
      <c r="D14" s="2" t="s">
        <v>698</v>
      </c>
      <c r="E14" s="2"/>
      <c r="F14" s="2"/>
    </row>
    <row r="15" spans="1:6" x14ac:dyDescent="0.25">
      <c r="A15" s="3" t="s">
        <v>699</v>
      </c>
      <c r="B15" s="4">
        <v>1907.66</v>
      </c>
      <c r="C15" s="16">
        <v>0.3</v>
      </c>
      <c r="D15" s="16">
        <v>0.7</v>
      </c>
      <c r="E15" s="13"/>
      <c r="F15" s="13"/>
    </row>
    <row r="16" spans="1:6" x14ac:dyDescent="0.25">
      <c r="A16" s="5" t="s">
        <v>700</v>
      </c>
      <c r="B16" s="6">
        <v>1808.49</v>
      </c>
      <c r="C16" s="14">
        <v>0.3</v>
      </c>
      <c r="D16" s="14">
        <v>0.7</v>
      </c>
      <c r="E16" s="15"/>
      <c r="F16" s="15"/>
    </row>
    <row r="17" spans="1:6" x14ac:dyDescent="0.25">
      <c r="A17" s="3" t="s">
        <v>701</v>
      </c>
      <c r="B17" s="4">
        <v>2120.48</v>
      </c>
      <c r="C17" s="16">
        <v>0.3</v>
      </c>
      <c r="D17" s="16">
        <v>0.7</v>
      </c>
      <c r="E17" s="13"/>
      <c r="F17" s="13"/>
    </row>
    <row r="18" spans="1:6" x14ac:dyDescent="0.25">
      <c r="A18" s="5" t="s">
        <v>702</v>
      </c>
      <c r="B18" s="6">
        <v>1964.59</v>
      </c>
      <c r="C18" s="14">
        <v>0.3</v>
      </c>
      <c r="D18" s="14">
        <v>0.7</v>
      </c>
      <c r="E18" s="15"/>
      <c r="F18" s="15"/>
    </row>
    <row r="19" spans="1:6" x14ac:dyDescent="0.25">
      <c r="A19" s="3" t="s">
        <v>703</v>
      </c>
      <c r="B19" s="4">
        <v>2384.58</v>
      </c>
      <c r="C19" s="16">
        <v>0.3</v>
      </c>
      <c r="D19" s="16">
        <v>0.7</v>
      </c>
      <c r="E19" s="13"/>
      <c r="F19" s="13"/>
    </row>
    <row r="20" spans="1:6" x14ac:dyDescent="0.25">
      <c r="A20" s="5" t="s">
        <v>704</v>
      </c>
      <c r="B20" s="6">
        <v>2132.02</v>
      </c>
      <c r="C20" s="14">
        <v>0.3</v>
      </c>
      <c r="D20" s="14">
        <v>0.7</v>
      </c>
      <c r="E20" s="15"/>
      <c r="F20" s="15"/>
    </row>
    <row r="21" spans="1:6" x14ac:dyDescent="0.25">
      <c r="A21" s="3" t="s">
        <v>705</v>
      </c>
      <c r="B21" s="4">
        <v>2218.4499999999998</v>
      </c>
      <c r="C21" s="16">
        <v>0.3</v>
      </c>
      <c r="D21" s="16">
        <v>0.7</v>
      </c>
      <c r="E21" s="13"/>
      <c r="F21" s="13"/>
    </row>
    <row r="22" spans="1:6" x14ac:dyDescent="0.25">
      <c r="A22" s="5" t="s">
        <v>706</v>
      </c>
      <c r="B22" s="6">
        <v>1875.77</v>
      </c>
      <c r="C22" s="14">
        <v>0.3</v>
      </c>
      <c r="D22" s="14">
        <v>0.7</v>
      </c>
      <c r="E22" s="15"/>
      <c r="F22" s="15"/>
    </row>
    <row r="23" spans="1:6" x14ac:dyDescent="0.25">
      <c r="A23" s="3" t="s">
        <v>707</v>
      </c>
      <c r="B23" s="4">
        <v>2321.08</v>
      </c>
      <c r="C23" s="16">
        <v>0.3</v>
      </c>
      <c r="D23" s="16">
        <v>0.7</v>
      </c>
      <c r="E23" s="13"/>
      <c r="F23" s="13"/>
    </row>
    <row r="24" spans="1:6" x14ac:dyDescent="0.25">
      <c r="A24" s="5" t="s">
        <v>708</v>
      </c>
      <c r="B24" s="6">
        <v>2094.5300000000002</v>
      </c>
      <c r="C24" s="14">
        <v>0.3</v>
      </c>
      <c r="D24" s="14">
        <v>0.7</v>
      </c>
      <c r="E24" s="15"/>
      <c r="F24" s="15"/>
    </row>
    <row r="25" spans="1:6" x14ac:dyDescent="0.25">
      <c r="A25" s="3" t="s">
        <v>709</v>
      </c>
      <c r="B25" s="4">
        <v>2323.63</v>
      </c>
      <c r="C25" s="16">
        <v>0.3</v>
      </c>
      <c r="D25" s="16">
        <v>0.7</v>
      </c>
      <c r="E25" s="13"/>
      <c r="F25" s="13"/>
    </row>
    <row r="26" spans="1:6" x14ac:dyDescent="0.25">
      <c r="A26" s="5" t="s">
        <v>710</v>
      </c>
      <c r="B26" s="6">
        <v>2144.44</v>
      </c>
      <c r="C26" s="14">
        <v>0.3</v>
      </c>
      <c r="D26" s="14">
        <v>0.7</v>
      </c>
      <c r="E26" s="15"/>
      <c r="F26" s="15"/>
    </row>
    <row r="27" spans="1:6" x14ac:dyDescent="0.25">
      <c r="A27" s="18"/>
      <c r="B27" s="18"/>
      <c r="C27" s="18"/>
      <c r="D27" s="18"/>
      <c r="E27" s="18"/>
      <c r="F27" s="18"/>
    </row>
    <row r="28" spans="1:6" x14ac:dyDescent="0.25">
      <c r="A28" s="18"/>
      <c r="B28" s="18"/>
      <c r="C28" s="18"/>
      <c r="D28" s="18"/>
      <c r="E28" s="18"/>
      <c r="F28" s="18"/>
    </row>
    <row r="29" spans="1:6" x14ac:dyDescent="0.25">
      <c r="A29" s="12" t="s">
        <v>711</v>
      </c>
      <c r="B29" s="12"/>
      <c r="C29" s="12"/>
      <c r="D29" s="12"/>
      <c r="E29" s="12"/>
      <c r="F29" s="12"/>
    </row>
    <row r="30" spans="1:6" x14ac:dyDescent="0.25">
      <c r="A30" s="1" t="s">
        <v>695</v>
      </c>
      <c r="B30" s="2" t="s">
        <v>25</v>
      </c>
      <c r="C30" s="2" t="s">
        <v>36</v>
      </c>
      <c r="D30" s="2" t="s">
        <v>16</v>
      </c>
      <c r="E30" s="2" t="s">
        <v>10</v>
      </c>
      <c r="F30" s="2" t="s">
        <v>693</v>
      </c>
    </row>
    <row r="31" spans="1:6" x14ac:dyDescent="0.25">
      <c r="A31" s="3" t="s">
        <v>699</v>
      </c>
      <c r="B31" s="4">
        <f>$B$6*$B$15</f>
        <v>858.447</v>
      </c>
      <c r="C31" s="4">
        <f>$B$7*$B$15</f>
        <v>476.91500000000002</v>
      </c>
      <c r="D31" s="4">
        <f>$B$8*$B$15</f>
        <v>381.53200000000004</v>
      </c>
      <c r="E31" s="4">
        <f>$B$9*$B$15</f>
        <v>190.76600000000002</v>
      </c>
      <c r="F31" s="4">
        <f t="shared" ref="F31:F42" si="0">SUM(B31:E31)</f>
        <v>1907.6600000000003</v>
      </c>
    </row>
    <row r="32" spans="1:6" x14ac:dyDescent="0.25">
      <c r="A32" s="5" t="s">
        <v>700</v>
      </c>
      <c r="B32" s="6">
        <f>$B$6*$B$16</f>
        <v>813.82050000000004</v>
      </c>
      <c r="C32" s="6">
        <f>$B$7*$B$16</f>
        <v>452.1225</v>
      </c>
      <c r="D32" s="6">
        <f>$B$8*$B$16</f>
        <v>361.69800000000004</v>
      </c>
      <c r="E32" s="6">
        <f>$B$9*$B$16</f>
        <v>180.84900000000002</v>
      </c>
      <c r="F32" s="6">
        <f t="shared" si="0"/>
        <v>1808.49</v>
      </c>
    </row>
    <row r="33" spans="1:6" x14ac:dyDescent="0.25">
      <c r="A33" s="3" t="s">
        <v>701</v>
      </c>
      <c r="B33" s="4">
        <f>$B$6*$B$17</f>
        <v>954.21600000000001</v>
      </c>
      <c r="C33" s="4">
        <f>$B$7*$B$17</f>
        <v>530.12</v>
      </c>
      <c r="D33" s="4">
        <f>$B$8*$B$17</f>
        <v>424.096</v>
      </c>
      <c r="E33" s="4">
        <f>$B$9*$B$17</f>
        <v>212.048</v>
      </c>
      <c r="F33" s="4">
        <f t="shared" si="0"/>
        <v>2120.48</v>
      </c>
    </row>
    <row r="34" spans="1:6" x14ac:dyDescent="0.25">
      <c r="A34" s="5" t="s">
        <v>702</v>
      </c>
      <c r="B34" s="6">
        <f>$B$6*$B$18</f>
        <v>884.06549999999993</v>
      </c>
      <c r="C34" s="6">
        <f>$B$7*$B$18</f>
        <v>491.14749999999998</v>
      </c>
      <c r="D34" s="6">
        <f>$B$8*$B$18</f>
        <v>392.91800000000001</v>
      </c>
      <c r="E34" s="6">
        <f>$B$9*$B$18</f>
        <v>196.459</v>
      </c>
      <c r="F34" s="6">
        <f t="shared" si="0"/>
        <v>1964.59</v>
      </c>
    </row>
    <row r="35" spans="1:6" x14ac:dyDescent="0.25">
      <c r="A35" s="3" t="s">
        <v>703</v>
      </c>
      <c r="B35" s="4">
        <f>$B$6*$B$19</f>
        <v>1073.0609999999999</v>
      </c>
      <c r="C35" s="4">
        <f>$B$7*$B$19</f>
        <v>596.14499999999998</v>
      </c>
      <c r="D35" s="4">
        <f>$B$8*$B$19</f>
        <v>476.916</v>
      </c>
      <c r="E35" s="4">
        <f>$B$9*$B$19</f>
        <v>238.458</v>
      </c>
      <c r="F35" s="4">
        <f t="shared" si="0"/>
        <v>2384.58</v>
      </c>
    </row>
    <row r="36" spans="1:6" x14ac:dyDescent="0.25">
      <c r="A36" s="5" t="s">
        <v>704</v>
      </c>
      <c r="B36" s="6">
        <f>$B$6*$B$20</f>
        <v>959.40899999999999</v>
      </c>
      <c r="C36" s="6">
        <f>$B$7*$B$20</f>
        <v>533.005</v>
      </c>
      <c r="D36" s="6">
        <f>$B$8*$B$20</f>
        <v>426.404</v>
      </c>
      <c r="E36" s="6">
        <f>$B$9*$B$20</f>
        <v>213.202</v>
      </c>
      <c r="F36" s="6">
        <f t="shared" si="0"/>
        <v>2132.02</v>
      </c>
    </row>
    <row r="37" spans="1:6" x14ac:dyDescent="0.25">
      <c r="A37" s="3" t="s">
        <v>705</v>
      </c>
      <c r="B37" s="4">
        <f>$B$6*$B$21</f>
        <v>998.3024999999999</v>
      </c>
      <c r="C37" s="4">
        <f>$B$7*$B$21</f>
        <v>554.61249999999995</v>
      </c>
      <c r="D37" s="4">
        <f>$B$8*$B$21</f>
        <v>443.69</v>
      </c>
      <c r="E37" s="4">
        <f>$B$9*$B$21</f>
        <v>221.845</v>
      </c>
      <c r="F37" s="4">
        <f t="shared" si="0"/>
        <v>2218.4499999999998</v>
      </c>
    </row>
    <row r="38" spans="1:6" x14ac:dyDescent="0.25">
      <c r="A38" s="5" t="s">
        <v>706</v>
      </c>
      <c r="B38" s="6">
        <f>$B$6*$B$22</f>
        <v>844.09649999999999</v>
      </c>
      <c r="C38" s="6">
        <f>$B$7*$B$22</f>
        <v>468.9425</v>
      </c>
      <c r="D38" s="6">
        <f>$B$8*$B$22</f>
        <v>375.154</v>
      </c>
      <c r="E38" s="6">
        <f>$B$9*$B$22</f>
        <v>187.577</v>
      </c>
      <c r="F38" s="6">
        <f t="shared" si="0"/>
        <v>1875.77</v>
      </c>
    </row>
    <row r="39" spans="1:6" x14ac:dyDescent="0.25">
      <c r="A39" s="3" t="s">
        <v>707</v>
      </c>
      <c r="B39" s="4">
        <f>$B$6*$B$23</f>
        <v>1044.4860000000001</v>
      </c>
      <c r="C39" s="4">
        <f>$B$7*$B$23</f>
        <v>580.27</v>
      </c>
      <c r="D39" s="4">
        <f>$B$8*$B$23</f>
        <v>464.21600000000001</v>
      </c>
      <c r="E39" s="4">
        <f>$B$9*$B$23</f>
        <v>232.108</v>
      </c>
      <c r="F39" s="4">
        <f t="shared" si="0"/>
        <v>2321.0800000000004</v>
      </c>
    </row>
    <row r="40" spans="1:6" x14ac:dyDescent="0.25">
      <c r="A40" s="5" t="s">
        <v>708</v>
      </c>
      <c r="B40" s="6">
        <f>$B$6*$B$24</f>
        <v>942.53850000000011</v>
      </c>
      <c r="C40" s="6">
        <f>$B$7*$B$24</f>
        <v>523.63250000000005</v>
      </c>
      <c r="D40" s="6">
        <f>$B$8*$B$24</f>
        <v>418.90600000000006</v>
      </c>
      <c r="E40" s="6">
        <f>$B$9*$B$24</f>
        <v>209.45300000000003</v>
      </c>
      <c r="F40" s="6">
        <f t="shared" si="0"/>
        <v>2094.5300000000002</v>
      </c>
    </row>
    <row r="41" spans="1:6" x14ac:dyDescent="0.25">
      <c r="A41" s="3" t="s">
        <v>709</v>
      </c>
      <c r="B41" s="4">
        <f>$B$6*$B$25</f>
        <v>1045.6335000000001</v>
      </c>
      <c r="C41" s="4">
        <f>$B$7*$B$25</f>
        <v>580.90750000000003</v>
      </c>
      <c r="D41" s="4">
        <f>$B$8*$B$25</f>
        <v>464.72600000000006</v>
      </c>
      <c r="E41" s="4">
        <f>$B$9*$B$25</f>
        <v>232.36300000000003</v>
      </c>
      <c r="F41" s="4">
        <f t="shared" si="0"/>
        <v>2323.63</v>
      </c>
    </row>
    <row r="42" spans="1:6" x14ac:dyDescent="0.25">
      <c r="A42" s="5" t="s">
        <v>710</v>
      </c>
      <c r="B42" s="6">
        <f>$B$6*$B$26</f>
        <v>964.99800000000005</v>
      </c>
      <c r="C42" s="6">
        <f>$B$7*$B$26</f>
        <v>536.11</v>
      </c>
      <c r="D42" s="6">
        <f>$B$8*$B$26</f>
        <v>428.88800000000003</v>
      </c>
      <c r="E42" s="6">
        <f>$B$9*$B$26</f>
        <v>214.44400000000002</v>
      </c>
      <c r="F42" s="6">
        <f t="shared" si="0"/>
        <v>2144.44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D9D9D9"/>
  </sheetPr>
  <dimension ref="A1:J29"/>
  <sheetViews>
    <sheetView showGridLines="0" tabSelected="1" zoomScaleNormal="100" workbookViewId="0">
      <selection activeCell="A3" sqref="A3:H3"/>
    </sheetView>
  </sheetViews>
  <sheetFormatPr defaultColWidth="8.5703125" defaultRowHeight="15" x14ac:dyDescent="0.25"/>
  <cols>
    <col min="1" max="1" width="3" customWidth="1"/>
    <col min="2" max="2" width="55" customWidth="1"/>
    <col min="3" max="6" width="18" customWidth="1"/>
    <col min="7" max="7" width="21.28515625" customWidth="1"/>
    <col min="8" max="8" width="13.42578125" customWidth="1"/>
  </cols>
  <sheetData>
    <row r="1" spans="1:10" ht="51.95" customHeight="1" x14ac:dyDescent="0.25">
      <c r="A1" s="128" t="s">
        <v>561</v>
      </c>
      <c r="B1" s="120"/>
      <c r="C1" s="120"/>
      <c r="D1" s="120"/>
      <c r="E1" s="120"/>
      <c r="F1" s="120"/>
      <c r="G1" s="120"/>
      <c r="H1" s="120"/>
      <c r="I1" s="24"/>
      <c r="J1" s="24"/>
    </row>
    <row r="2" spans="1:10" ht="24.75" customHeight="1" x14ac:dyDescent="0.25">
      <c r="A2" s="119" t="s">
        <v>712</v>
      </c>
      <c r="B2" s="120"/>
      <c r="C2" s="120"/>
      <c r="D2" s="120"/>
      <c r="E2" s="120"/>
      <c r="F2" s="120"/>
      <c r="G2" s="120"/>
      <c r="H2" s="120"/>
      <c r="I2" s="24"/>
      <c r="J2" s="24"/>
    </row>
    <row r="3" spans="1:10" ht="21.95" customHeight="1" x14ac:dyDescent="0.25">
      <c r="A3" s="133" t="s">
        <v>713</v>
      </c>
      <c r="B3" s="120"/>
      <c r="C3" s="120"/>
      <c r="D3" s="120"/>
      <c r="E3" s="120"/>
      <c r="F3" s="120"/>
      <c r="G3" s="120"/>
      <c r="H3" s="120"/>
      <c r="I3" s="24"/>
      <c r="J3" s="24"/>
    </row>
    <row r="4" spans="1:10" ht="9.9499999999999993" customHeight="1" x14ac:dyDescent="0.25">
      <c r="A4" s="77"/>
      <c r="B4" s="77"/>
      <c r="C4" s="77"/>
      <c r="D4" s="77"/>
      <c r="E4" s="77"/>
      <c r="F4" s="77"/>
      <c r="G4" s="77"/>
      <c r="H4" s="77"/>
      <c r="I4" s="24"/>
      <c r="J4" s="24"/>
    </row>
    <row r="5" spans="1:10" ht="32.1" customHeight="1" x14ac:dyDescent="0.25">
      <c r="A5" s="121" t="s">
        <v>714</v>
      </c>
      <c r="B5" s="122"/>
      <c r="C5" s="122"/>
      <c r="D5" s="122"/>
      <c r="E5" s="122"/>
      <c r="F5" s="122"/>
      <c r="G5" s="122"/>
      <c r="H5" s="122"/>
      <c r="I5" s="24"/>
      <c r="J5" s="24"/>
    </row>
    <row r="6" spans="1:10" ht="8.1" customHeight="1" x14ac:dyDescent="0.25">
      <c r="A6" s="77"/>
      <c r="B6" s="77"/>
      <c r="C6" s="78"/>
      <c r="D6" s="77"/>
      <c r="E6" s="77"/>
      <c r="F6" s="77"/>
      <c r="G6" s="77"/>
      <c r="H6" s="77"/>
      <c r="I6" s="24"/>
      <c r="J6" s="24"/>
    </row>
    <row r="7" spans="1:10" ht="27.95" customHeight="1" x14ac:dyDescent="0.25">
      <c r="A7" s="77"/>
      <c r="B7" s="130" t="s">
        <v>715</v>
      </c>
      <c r="C7" s="118"/>
      <c r="D7" s="130" t="s">
        <v>716</v>
      </c>
      <c r="E7" s="118"/>
      <c r="F7" s="130" t="s">
        <v>717</v>
      </c>
      <c r="G7" s="118"/>
      <c r="H7" s="77"/>
      <c r="I7" s="24"/>
      <c r="J7" s="24"/>
    </row>
    <row r="8" spans="1:10" ht="54.95" customHeight="1" x14ac:dyDescent="0.25">
      <c r="A8" s="77"/>
      <c r="B8" s="129">
        <f>'P&amp;L - Monthly Trend'!R7</f>
        <v>123690000</v>
      </c>
      <c r="C8" s="118"/>
      <c r="D8" s="132">
        <f>'P&amp;L - Monthly Trend'!R10</f>
        <v>0.58440000000000003</v>
      </c>
      <c r="E8" s="118"/>
      <c r="F8" s="131" t="s">
        <v>25</v>
      </c>
      <c r="G8" s="118"/>
      <c r="H8" s="77"/>
      <c r="I8" s="24"/>
      <c r="J8" s="24"/>
    </row>
    <row r="9" spans="1:10" ht="8.1" customHeight="1" x14ac:dyDescent="0.25">
      <c r="A9" s="77"/>
      <c r="B9" s="77"/>
      <c r="C9" s="77"/>
      <c r="D9" s="77"/>
      <c r="E9" s="77"/>
      <c r="F9" s="77"/>
      <c r="G9" s="77"/>
      <c r="H9" s="77"/>
      <c r="I9" s="24"/>
      <c r="J9" s="24"/>
    </row>
    <row r="10" spans="1:10" ht="27.95" customHeight="1" x14ac:dyDescent="0.25">
      <c r="A10" s="77"/>
      <c r="B10" s="123" t="s">
        <v>718</v>
      </c>
      <c r="C10" s="118"/>
      <c r="D10" s="123" t="s">
        <v>719</v>
      </c>
      <c r="E10" s="118"/>
      <c r="F10" s="123" t="s">
        <v>720</v>
      </c>
      <c r="G10" s="118"/>
      <c r="H10" s="77"/>
      <c r="I10" s="24"/>
      <c r="J10" s="24"/>
    </row>
    <row r="11" spans="1:10" ht="54.95" customHeight="1" x14ac:dyDescent="0.25">
      <c r="A11" s="77"/>
      <c r="B11" s="127" t="s">
        <v>721</v>
      </c>
      <c r="C11" s="118"/>
      <c r="D11" s="117">
        <f>'P&amp;L - Monthly Trend'!R8</f>
        <v>51405564</v>
      </c>
      <c r="E11" s="118"/>
      <c r="F11" s="126">
        <f>('P&amp;L - Monthly Trend'!Q7-'P&amp;L - Monthly Trend'!N7)/'P&amp;L - Monthly Trend'!N7</f>
        <v>0.16889044943820225</v>
      </c>
      <c r="G11" s="118"/>
      <c r="H11" s="77"/>
      <c r="I11" s="24"/>
      <c r="J11" s="24"/>
    </row>
    <row r="12" spans="1:10" ht="15" customHeight="1" x14ac:dyDescent="0.25">
      <c r="A12" s="77"/>
      <c r="B12" s="77"/>
      <c r="C12" s="77"/>
      <c r="D12" s="77"/>
      <c r="E12" s="77"/>
      <c r="F12" s="77"/>
      <c r="G12" s="77"/>
      <c r="H12" s="77"/>
      <c r="I12" s="24"/>
      <c r="J12" s="24"/>
    </row>
    <row r="13" spans="1:10" ht="33.75" customHeight="1" x14ac:dyDescent="0.25">
      <c r="A13" s="79"/>
      <c r="B13" s="124" t="s">
        <v>722</v>
      </c>
      <c r="C13" s="125"/>
      <c r="D13" s="125"/>
      <c r="E13" s="125"/>
      <c r="F13" s="125"/>
      <c r="G13" s="125"/>
      <c r="H13" s="79"/>
      <c r="I13" s="24"/>
      <c r="J13" s="24"/>
    </row>
    <row r="14" spans="1:10" ht="6" customHeight="1" x14ac:dyDescent="0.25">
      <c r="A14" s="77"/>
      <c r="B14" s="77"/>
      <c r="C14" s="77"/>
      <c r="D14" s="77"/>
      <c r="E14" s="77"/>
      <c r="F14" s="77"/>
      <c r="G14" s="77"/>
      <c r="H14" s="77"/>
      <c r="I14" s="24"/>
      <c r="J14" s="24"/>
    </row>
    <row r="15" spans="1:10" ht="21.95" customHeight="1" x14ac:dyDescent="0.25">
      <c r="A15" s="80"/>
      <c r="B15" s="81" t="s">
        <v>563</v>
      </c>
      <c r="C15" s="82"/>
      <c r="D15" s="82"/>
      <c r="E15" s="82"/>
      <c r="F15" s="82"/>
      <c r="G15" s="82"/>
      <c r="H15" s="80"/>
      <c r="I15" s="24"/>
      <c r="J15" s="24"/>
    </row>
    <row r="16" spans="1:10" ht="21.95" customHeight="1" x14ac:dyDescent="0.25">
      <c r="A16" s="83"/>
      <c r="B16" s="84" t="s">
        <v>723</v>
      </c>
      <c r="C16" s="85"/>
      <c r="D16" s="85"/>
      <c r="E16" s="85"/>
      <c r="F16" s="85"/>
      <c r="G16" s="85"/>
      <c r="H16" s="83"/>
      <c r="I16" s="24"/>
      <c r="J16" s="24"/>
    </row>
    <row r="17" spans="1:10" ht="21.95" customHeight="1" x14ac:dyDescent="0.25">
      <c r="A17" s="80"/>
      <c r="B17" s="81" t="s">
        <v>688</v>
      </c>
      <c r="C17" s="82"/>
      <c r="D17" s="82"/>
      <c r="E17" s="82"/>
      <c r="F17" s="82"/>
      <c r="G17" s="82"/>
      <c r="H17" s="80"/>
      <c r="I17" s="24"/>
      <c r="J17" s="24"/>
    </row>
    <row r="18" spans="1:10" ht="21.95" customHeight="1" x14ac:dyDescent="0.25">
      <c r="A18" s="83"/>
      <c r="B18" s="84" t="s">
        <v>724</v>
      </c>
      <c r="C18" s="85"/>
      <c r="D18" s="85"/>
      <c r="E18" s="85"/>
      <c r="F18" s="85"/>
      <c r="G18" s="85"/>
      <c r="H18" s="83"/>
      <c r="I18" s="24"/>
      <c r="J18" s="24"/>
    </row>
    <row r="19" spans="1:10" ht="21.95" customHeight="1" x14ac:dyDescent="0.25">
      <c r="A19" s="80"/>
      <c r="B19" s="81" t="s">
        <v>725</v>
      </c>
      <c r="C19" s="82"/>
      <c r="D19" s="82"/>
      <c r="E19" s="82"/>
      <c r="F19" s="82"/>
      <c r="G19" s="82"/>
      <c r="H19" s="80"/>
      <c r="I19" s="24"/>
      <c r="J19" s="24"/>
    </row>
    <row r="20" spans="1:10" ht="21.95" customHeight="1" x14ac:dyDescent="0.25">
      <c r="A20" s="83"/>
      <c r="B20" s="84" t="s">
        <v>726</v>
      </c>
      <c r="C20" s="85"/>
      <c r="D20" s="85"/>
      <c r="E20" s="85"/>
      <c r="F20" s="85"/>
      <c r="G20" s="85"/>
      <c r="H20" s="83"/>
      <c r="I20" s="24"/>
      <c r="J20" s="24"/>
    </row>
    <row r="21" spans="1:10" ht="21.95" customHeight="1" x14ac:dyDescent="0.25">
      <c r="A21" s="80"/>
      <c r="B21" s="81" t="s">
        <v>727</v>
      </c>
      <c r="C21" s="82"/>
      <c r="D21" s="82"/>
      <c r="E21" s="82"/>
      <c r="F21" s="82"/>
      <c r="G21" s="82"/>
      <c r="H21" s="80"/>
      <c r="I21" s="24"/>
      <c r="J21" s="24"/>
    </row>
    <row r="22" spans="1:10" ht="21.95" customHeight="1" x14ac:dyDescent="0.25">
      <c r="A22" s="83"/>
      <c r="B22" s="84" t="s">
        <v>728</v>
      </c>
      <c r="C22" s="85"/>
      <c r="D22" s="85"/>
      <c r="E22" s="85"/>
      <c r="F22" s="85"/>
      <c r="G22" s="85"/>
      <c r="H22" s="83"/>
      <c r="I22" s="24"/>
      <c r="J22" s="24"/>
    </row>
    <row r="23" spans="1:10" ht="21.95" customHeight="1" x14ac:dyDescent="0.25">
      <c r="A23" s="86"/>
      <c r="B23" s="81" t="s">
        <v>729</v>
      </c>
      <c r="C23" s="87"/>
      <c r="D23" s="87"/>
      <c r="E23" s="87"/>
      <c r="F23" s="87"/>
      <c r="G23" s="87"/>
      <c r="H23" s="86"/>
    </row>
    <row r="24" spans="1:10" ht="21.95" customHeight="1" x14ac:dyDescent="0.25">
      <c r="A24" s="88"/>
      <c r="B24" s="84" t="s">
        <v>730</v>
      </c>
      <c r="C24" s="89"/>
      <c r="D24" s="89"/>
      <c r="E24" s="89"/>
      <c r="F24" s="89"/>
      <c r="G24" s="89"/>
      <c r="H24" s="88"/>
    </row>
    <row r="25" spans="1:10" ht="21.95" customHeight="1" x14ac:dyDescent="0.25">
      <c r="A25" s="86"/>
      <c r="B25" s="81" t="s">
        <v>731</v>
      </c>
      <c r="C25" s="87"/>
      <c r="D25" s="87"/>
      <c r="E25" s="87"/>
      <c r="F25" s="87"/>
      <c r="G25" s="87"/>
      <c r="H25" s="86"/>
    </row>
    <row r="26" spans="1:10" ht="21.95" customHeight="1" x14ac:dyDescent="0.25">
      <c r="A26" s="88"/>
      <c r="B26" s="84" t="s">
        <v>732</v>
      </c>
      <c r="C26" s="89"/>
      <c r="D26" s="89"/>
      <c r="E26" s="89"/>
      <c r="F26" s="89"/>
      <c r="G26" s="89"/>
      <c r="H26" s="88"/>
    </row>
    <row r="27" spans="1:10" ht="21.75" customHeight="1" x14ac:dyDescent="0.25">
      <c r="A27" s="90"/>
      <c r="B27" s="90"/>
      <c r="C27" s="90"/>
      <c r="D27" s="90"/>
      <c r="E27" s="90"/>
      <c r="F27" s="90"/>
      <c r="G27" s="90"/>
      <c r="H27" s="90"/>
    </row>
    <row r="28" spans="1:10" ht="15" customHeight="1" x14ac:dyDescent="0.25">
      <c r="A28" s="90"/>
      <c r="B28" s="90"/>
      <c r="C28" s="90"/>
      <c r="D28" s="90"/>
      <c r="E28" s="90"/>
      <c r="F28" s="90"/>
      <c r="G28" s="90"/>
      <c r="H28" s="90"/>
    </row>
    <row r="29" spans="1:10" ht="15" customHeight="1" x14ac:dyDescent="0.25">
      <c r="A29" s="90"/>
      <c r="B29" s="90"/>
      <c r="C29" s="90"/>
      <c r="D29" s="90"/>
      <c r="E29" s="90"/>
      <c r="F29" s="90"/>
      <c r="G29" s="90"/>
      <c r="H29" s="90"/>
    </row>
  </sheetData>
  <mergeCells count="17">
    <mergeCell ref="A1:H1"/>
    <mergeCell ref="B8:C8"/>
    <mergeCell ref="F7:G7"/>
    <mergeCell ref="F8:G8"/>
    <mergeCell ref="D8:E8"/>
    <mergeCell ref="A3:H3"/>
    <mergeCell ref="D7:E7"/>
    <mergeCell ref="B7:C7"/>
    <mergeCell ref="D11:E11"/>
    <mergeCell ref="A2:H2"/>
    <mergeCell ref="A5:H5"/>
    <mergeCell ref="B10:C10"/>
    <mergeCell ref="B13:G13"/>
    <mergeCell ref="F11:G11"/>
    <mergeCell ref="D10:E10"/>
    <mergeCell ref="F10:G10"/>
    <mergeCell ref="B11:C11"/>
  </mergeCells>
  <hyperlinks>
    <hyperlink ref="B10" r:id="rId1" location="'CrossfireHiddenWorksheet'!A1" xr:uid="{00000000-0004-0000-0500-000000000000}"/>
    <hyperlink ref="B11" r:id="rId2" location="'Assumptions'!A1" xr:uid="{00000000-0004-0000-0500-000001000000}"/>
    <hyperlink ref="B13" r:id="rId3" location="'AWS%20Allocation'!A1" xr:uid="{00000000-0004-0000-0500-000002000000}"/>
    <hyperlink ref="B15" location="Assumptions!A1" display="Assumptions &amp; Driver Table" xr:uid="{00000000-0004-0000-0500-000003000000}"/>
    <hyperlink ref="B16" location="'Data Dictionary'!A1" display="Data Dictionary — Products, Departments, Vendors" xr:uid="{00000000-0004-0000-0500-000004000000}"/>
    <hyperlink ref="B17" location="'AWS Allocation'!A1" display="AWS Cost Allocation Model" xr:uid="{00000000-0004-0000-0500-000005000000}"/>
    <hyperlink ref="B18" location="'P&amp;L - Monthly Trend'!A1" display="P&amp;L Monthly Trend — Consolidated &amp; By Product" xr:uid="{00000000-0004-0000-0500-000006000000}"/>
    <hyperlink ref="B19" location="'Product Line Summary'!A1" display="Product Line Summary — Revenue &amp; Expenses" xr:uid="{00000000-0004-0000-0500-000007000000}"/>
    <hyperlink ref="B20" location="'Functional P&amp;L - Monthly Trend'!A1" display="Functional P&amp;L — Monthly Trend by Product" xr:uid="{00000000-0004-0000-0500-000008000000}"/>
    <hyperlink ref="B21" location="'Functional P&amp;L Summary - Jan 25'!A1" display="Functional P&amp;L Summary — January 2025" xr:uid="{00000000-0004-0000-0500-000009000000}"/>
    <hyperlink ref="B22" location="'Functional P&amp;L Summary - Feb 25'!A1" display="Functional P&amp;L Summary — February 2025" xr:uid="{00000000-0004-0000-0500-00000A000000}"/>
    <hyperlink ref="B23" location="'Functional P&amp;L Summary - Mar 25'!A1" display="Functional P&amp;L Summary — March 2025" xr:uid="{00000000-0004-0000-0500-00000B000000}"/>
    <hyperlink ref="B24" location="'US January 2025 Natural P&amp;L'!A1" display="US Natural P&amp;L — January 2025" xr:uid="{00000000-0004-0000-0500-00000C000000}"/>
    <hyperlink ref="B25" location="'Charts &amp; Visuals'!A1" display="Charts &amp; Visuals — FY2025" xr:uid="{00000000-0004-0000-0500-00000D000000}"/>
    <hyperlink ref="B26" location="Checks!A1" display="Reconciliation Checks — Model Health" xr:uid="{00000000-0004-0000-0500-00000E000000}"/>
  </hyperlinks>
  <pageMargins left="0.75" right="0.75" top="1" bottom="1" header="0.511811023622047" footer="0.511811023622047"/>
  <pageSetup paperSize="9" orientation="portrait" horizontalDpi="300" verticalDpi="300"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1F4E79"/>
  </sheetPr>
  <dimension ref="A1:S52"/>
  <sheetViews>
    <sheetView showGridLines="0" zoomScaleNormal="100" workbookViewId="0">
      <pane ySplit="4" topLeftCell="A5" activePane="bottomLeft" state="frozen"/>
      <selection activeCell="A3" sqref="A3:H3"/>
      <selection pane="bottomLeft" activeCell="A3" sqref="A3:H3"/>
    </sheetView>
  </sheetViews>
  <sheetFormatPr defaultColWidth="8.5703125" defaultRowHeight="15" x14ac:dyDescent="0.25"/>
  <cols>
    <col min="1" max="1" width="38" customWidth="1"/>
    <col min="2" max="18" width="22" customWidth="1"/>
  </cols>
  <sheetData>
    <row r="1" spans="1:19" ht="15.6" customHeight="1" x14ac:dyDescent="0.25">
      <c r="A1" s="9" t="s">
        <v>561</v>
      </c>
      <c r="R1" s="10" t="s">
        <v>562</v>
      </c>
    </row>
    <row r="2" spans="1:19" ht="15.75" customHeight="1" x14ac:dyDescent="0.25">
      <c r="A2" s="11" t="s">
        <v>733</v>
      </c>
    </row>
    <row r="4" spans="1:19" x14ac:dyDescent="0.25">
      <c r="A4" s="1" t="s">
        <v>734</v>
      </c>
      <c r="B4" s="2" t="s">
        <v>699</v>
      </c>
      <c r="C4" s="2" t="s">
        <v>700</v>
      </c>
      <c r="D4" s="2" t="s">
        <v>701</v>
      </c>
      <c r="E4" s="2" t="s">
        <v>702</v>
      </c>
      <c r="F4" s="2" t="s">
        <v>703</v>
      </c>
      <c r="G4" s="2" t="s">
        <v>704</v>
      </c>
      <c r="H4" s="2" t="s">
        <v>705</v>
      </c>
      <c r="I4" s="2" t="s">
        <v>706</v>
      </c>
      <c r="J4" s="2" t="s">
        <v>707</v>
      </c>
      <c r="K4" s="2" t="s">
        <v>708</v>
      </c>
      <c r="L4" s="2" t="s">
        <v>709</v>
      </c>
      <c r="M4" s="2" t="s">
        <v>710</v>
      </c>
      <c r="N4" s="2" t="s">
        <v>735</v>
      </c>
      <c r="O4" s="2" t="s">
        <v>736</v>
      </c>
      <c r="P4" s="2" t="s">
        <v>737</v>
      </c>
      <c r="Q4" s="2" t="s">
        <v>738</v>
      </c>
      <c r="R4" s="2" t="s">
        <v>739</v>
      </c>
      <c r="S4" s="66" t="s">
        <v>740</v>
      </c>
    </row>
    <row r="5" spans="1:19" x14ac:dyDescent="0.25">
      <c r="A5" s="18"/>
      <c r="B5" s="18"/>
      <c r="C5" s="18"/>
      <c r="D5" s="18"/>
      <c r="E5" s="18"/>
      <c r="F5" s="18"/>
      <c r="G5" s="18"/>
      <c r="H5" s="18"/>
      <c r="I5" s="18"/>
      <c r="J5" s="18"/>
      <c r="K5" s="18"/>
      <c r="L5" s="18"/>
      <c r="M5" s="18"/>
      <c r="N5" s="18"/>
      <c r="O5" s="18"/>
      <c r="P5" s="18"/>
      <c r="Q5" s="18"/>
      <c r="R5" s="18"/>
    </row>
    <row r="6" spans="1:19" ht="15.6" customHeight="1" x14ac:dyDescent="0.25">
      <c r="A6" s="12" t="s">
        <v>741</v>
      </c>
      <c r="B6" s="12"/>
      <c r="C6" s="12"/>
      <c r="D6" s="12"/>
      <c r="E6" s="12"/>
      <c r="F6" s="12"/>
      <c r="G6" s="12"/>
      <c r="H6" s="12"/>
      <c r="I6" s="12"/>
      <c r="J6" s="12"/>
      <c r="K6" s="12"/>
      <c r="L6" s="12"/>
      <c r="M6" s="12"/>
      <c r="N6" s="12"/>
      <c r="O6" s="12"/>
      <c r="P6" s="12"/>
      <c r="Q6" s="12"/>
      <c r="R6" s="12"/>
    </row>
    <row r="7" spans="1:19" x14ac:dyDescent="0.25">
      <c r="A7" s="21" t="s">
        <v>602</v>
      </c>
      <c r="B7" s="73">
        <v>9250000</v>
      </c>
      <c r="C7" s="73">
        <v>9480000</v>
      </c>
      <c r="D7" s="73">
        <v>9750000</v>
      </c>
      <c r="E7" s="73">
        <v>9920000</v>
      </c>
      <c r="F7" s="73">
        <v>10150000</v>
      </c>
      <c r="G7" s="73">
        <v>10380000</v>
      </c>
      <c r="H7" s="73">
        <v>10200000</v>
      </c>
      <c r="I7" s="73">
        <v>10550000</v>
      </c>
      <c r="J7" s="73">
        <v>10720000</v>
      </c>
      <c r="K7" s="73">
        <v>10890000</v>
      </c>
      <c r="L7" s="73">
        <v>11050000</v>
      </c>
      <c r="M7" s="73">
        <v>11350000</v>
      </c>
      <c r="N7" s="73">
        <v>28480000</v>
      </c>
      <c r="O7" s="73">
        <v>30450000</v>
      </c>
      <c r="P7" s="73">
        <v>31470000</v>
      </c>
      <c r="Q7" s="73">
        <v>33290000</v>
      </c>
      <c r="R7" s="73">
        <v>123690000</v>
      </c>
      <c r="S7" s="74">
        <v>110501776</v>
      </c>
    </row>
    <row r="8" spans="1:19" x14ac:dyDescent="0.25">
      <c r="A8" s="3" t="s">
        <v>742</v>
      </c>
      <c r="B8" s="75">
        <v>3844300</v>
      </c>
      <c r="C8" s="75">
        <v>3939888</v>
      </c>
      <c r="D8" s="75">
        <v>4052100</v>
      </c>
      <c r="E8" s="75">
        <v>4122752</v>
      </c>
      <c r="F8" s="75">
        <v>4218340</v>
      </c>
      <c r="G8" s="75">
        <v>4313928</v>
      </c>
      <c r="H8" s="75">
        <v>4239120</v>
      </c>
      <c r="I8" s="75">
        <v>4384580</v>
      </c>
      <c r="J8" s="75">
        <v>4455232</v>
      </c>
      <c r="K8" s="75">
        <v>4525884</v>
      </c>
      <c r="L8" s="75">
        <v>4592380</v>
      </c>
      <c r="M8" s="75">
        <v>4717060</v>
      </c>
      <c r="N8" s="75">
        <v>11836288</v>
      </c>
      <c r="O8" s="75">
        <v>12655020</v>
      </c>
      <c r="P8" s="75">
        <v>13078932</v>
      </c>
      <c r="Q8" s="75">
        <v>13835324</v>
      </c>
      <c r="R8" s="75">
        <v>51405564</v>
      </c>
      <c r="S8" s="74">
        <v>50352126</v>
      </c>
    </row>
    <row r="9" spans="1:19" x14ac:dyDescent="0.25">
      <c r="A9" s="21" t="s">
        <v>743</v>
      </c>
      <c r="B9" s="73">
        <v>5405700</v>
      </c>
      <c r="C9" s="73">
        <v>5540112</v>
      </c>
      <c r="D9" s="73">
        <v>5697900</v>
      </c>
      <c r="E9" s="73">
        <v>5797248</v>
      </c>
      <c r="F9" s="73">
        <v>5931660</v>
      </c>
      <c r="G9" s="73">
        <v>6066072</v>
      </c>
      <c r="H9" s="73">
        <v>5960880</v>
      </c>
      <c r="I9" s="73">
        <v>6165420</v>
      </c>
      <c r="J9" s="73">
        <v>6264768</v>
      </c>
      <c r="K9" s="73">
        <v>6364116</v>
      </c>
      <c r="L9" s="73">
        <v>6457620</v>
      </c>
      <c r="M9" s="73">
        <v>6632940</v>
      </c>
      <c r="N9" s="73">
        <v>16643712</v>
      </c>
      <c r="O9" s="73">
        <v>17794980</v>
      </c>
      <c r="P9" s="73">
        <v>18391068</v>
      </c>
      <c r="Q9" s="73">
        <v>19454676</v>
      </c>
      <c r="R9" s="73">
        <v>72284436</v>
      </c>
      <c r="S9" s="74">
        <v>67130813</v>
      </c>
    </row>
    <row r="10" spans="1:19" x14ac:dyDescent="0.25">
      <c r="A10" s="5" t="s">
        <v>744</v>
      </c>
      <c r="B10" s="14">
        <v>0.58440000000000003</v>
      </c>
      <c r="C10" s="14">
        <v>0.58440000000000003</v>
      </c>
      <c r="D10" s="14">
        <v>0.58440000000000003</v>
      </c>
      <c r="E10" s="14">
        <v>0.58440000000000003</v>
      </c>
      <c r="F10" s="14">
        <v>0.58440000000000003</v>
      </c>
      <c r="G10" s="14">
        <v>0.58440000000000003</v>
      </c>
      <c r="H10" s="14">
        <v>0.58440000000000003</v>
      </c>
      <c r="I10" s="14">
        <v>0.58440000000000003</v>
      </c>
      <c r="J10" s="14">
        <v>0.58440000000000003</v>
      </c>
      <c r="K10" s="14">
        <v>0.58440000000000003</v>
      </c>
      <c r="L10" s="14">
        <v>0.58440000000000003</v>
      </c>
      <c r="M10" s="14">
        <v>0.58440000000000003</v>
      </c>
      <c r="N10" s="14">
        <v>0.58440000000000003</v>
      </c>
      <c r="O10" s="14">
        <v>0.58440000000000003</v>
      </c>
      <c r="P10" s="14">
        <v>0.58440000000000003</v>
      </c>
      <c r="Q10" s="14">
        <v>0.58440000000000003</v>
      </c>
      <c r="R10" s="14">
        <v>0.58440000000000003</v>
      </c>
    </row>
    <row r="11" spans="1:19" x14ac:dyDescent="0.25">
      <c r="A11" s="3" t="s">
        <v>745</v>
      </c>
      <c r="B11" s="75">
        <v>4973244</v>
      </c>
      <c r="C11" s="75">
        <v>5096903</v>
      </c>
      <c r="D11" s="75">
        <v>5242068</v>
      </c>
      <c r="E11" s="75">
        <v>5333468</v>
      </c>
      <c r="F11" s="75">
        <v>5457127</v>
      </c>
      <c r="G11" s="75">
        <v>5580786</v>
      </c>
      <c r="H11" s="75">
        <v>5484010</v>
      </c>
      <c r="I11" s="75">
        <v>5672186</v>
      </c>
      <c r="J11" s="75">
        <v>5763587</v>
      </c>
      <c r="K11" s="75">
        <v>5854987</v>
      </c>
      <c r="L11" s="75">
        <v>5941010</v>
      </c>
      <c r="M11" s="75">
        <v>6102305</v>
      </c>
      <c r="N11" s="75">
        <v>15312215</v>
      </c>
      <c r="O11" s="75">
        <v>16371382</v>
      </c>
      <c r="P11" s="75">
        <v>16919783</v>
      </c>
      <c r="Q11" s="75">
        <v>17898302</v>
      </c>
      <c r="R11" s="75">
        <v>66501681</v>
      </c>
    </row>
    <row r="12" spans="1:19" x14ac:dyDescent="0.25">
      <c r="A12" s="5" t="s">
        <v>746</v>
      </c>
      <c r="B12" s="14">
        <f t="shared" ref="B12:R12" si="0">IFERROR(B11/B7,0)</f>
        <v>0.53764800000000001</v>
      </c>
      <c r="C12" s="14">
        <f t="shared" si="0"/>
        <v>0.53764799578059075</v>
      </c>
      <c r="D12" s="14">
        <f t="shared" si="0"/>
        <v>0.53764800000000001</v>
      </c>
      <c r="E12" s="14">
        <f t="shared" si="0"/>
        <v>0.53764798387096779</v>
      </c>
      <c r="F12" s="14">
        <f t="shared" si="0"/>
        <v>0.53764798029556649</v>
      </c>
      <c r="G12" s="14">
        <f t="shared" si="0"/>
        <v>0.53764797687861277</v>
      </c>
      <c r="H12" s="14">
        <f t="shared" si="0"/>
        <v>0.53764803921568627</v>
      </c>
      <c r="I12" s="14">
        <f t="shared" si="0"/>
        <v>0.53764796208530807</v>
      </c>
      <c r="J12" s="14">
        <f t="shared" si="0"/>
        <v>0.53764804104477615</v>
      </c>
      <c r="K12" s="14">
        <f t="shared" si="0"/>
        <v>0.53764802571166204</v>
      </c>
      <c r="L12" s="14">
        <f t="shared" si="0"/>
        <v>0.53764796380090496</v>
      </c>
      <c r="M12" s="14">
        <f t="shared" si="0"/>
        <v>0.53764801762114534</v>
      </c>
      <c r="N12" s="14">
        <f t="shared" si="0"/>
        <v>0.53764799859550561</v>
      </c>
      <c r="O12" s="14">
        <f t="shared" si="0"/>
        <v>0.53764801313628896</v>
      </c>
      <c r="P12" s="14">
        <f t="shared" si="0"/>
        <v>0.53764801398156969</v>
      </c>
      <c r="Q12" s="14">
        <f t="shared" si="0"/>
        <v>0.53764800240312405</v>
      </c>
      <c r="R12" s="14">
        <f t="shared" si="0"/>
        <v>0.53764799902983262</v>
      </c>
    </row>
    <row r="13" spans="1:19" x14ac:dyDescent="0.25">
      <c r="A13" s="18"/>
      <c r="B13" s="18"/>
      <c r="C13" s="18"/>
      <c r="D13" s="18"/>
      <c r="E13" s="18"/>
      <c r="F13" s="18"/>
      <c r="G13" s="18"/>
      <c r="H13" s="18"/>
      <c r="I13" s="18"/>
      <c r="J13" s="18"/>
      <c r="K13" s="18"/>
      <c r="L13" s="18"/>
      <c r="M13" s="18"/>
      <c r="N13" s="18"/>
      <c r="O13" s="18"/>
      <c r="P13" s="18"/>
      <c r="Q13" s="18"/>
      <c r="R13" s="18"/>
    </row>
    <row r="14" spans="1:19" ht="15.6" customHeight="1" x14ac:dyDescent="0.25">
      <c r="A14" s="12" t="s">
        <v>25</v>
      </c>
      <c r="B14" s="12"/>
      <c r="C14" s="12"/>
      <c r="D14" s="12"/>
      <c r="E14" s="12"/>
      <c r="F14" s="12"/>
      <c r="G14" s="12"/>
      <c r="H14" s="12"/>
      <c r="I14" s="12"/>
      <c r="J14" s="12"/>
      <c r="K14" s="12"/>
      <c r="L14" s="12"/>
      <c r="M14" s="12"/>
      <c r="N14" s="12"/>
      <c r="O14" s="12"/>
      <c r="P14" s="12"/>
      <c r="Q14" s="12"/>
      <c r="R14" s="12"/>
    </row>
    <row r="15" spans="1:19" x14ac:dyDescent="0.25">
      <c r="A15" s="21" t="s">
        <v>602</v>
      </c>
      <c r="B15" s="73">
        <v>5087500</v>
      </c>
      <c r="C15" s="73">
        <v>5214000</v>
      </c>
      <c r="D15" s="73">
        <v>5362500</v>
      </c>
      <c r="E15" s="73">
        <v>5456000</v>
      </c>
      <c r="F15" s="73">
        <v>5582500</v>
      </c>
      <c r="G15" s="73">
        <v>5709000</v>
      </c>
      <c r="H15" s="73">
        <v>5610000</v>
      </c>
      <c r="I15" s="73">
        <v>5802500</v>
      </c>
      <c r="J15" s="73">
        <v>5896000</v>
      </c>
      <c r="K15" s="73">
        <v>5989500</v>
      </c>
      <c r="L15" s="73">
        <v>6077500</v>
      </c>
      <c r="M15" s="73">
        <v>6242500</v>
      </c>
      <c r="N15" s="73">
        <v>15664000</v>
      </c>
      <c r="O15" s="73">
        <v>16747500</v>
      </c>
      <c r="P15" s="73">
        <v>17308500</v>
      </c>
      <c r="Q15" s="73">
        <v>18309500</v>
      </c>
      <c r="R15" s="73">
        <v>68029500</v>
      </c>
      <c r="S15" s="74">
        <v>60445105</v>
      </c>
    </row>
    <row r="16" spans="1:19" x14ac:dyDescent="0.25">
      <c r="A16" s="3" t="s">
        <v>742</v>
      </c>
      <c r="B16" s="75">
        <v>2035000</v>
      </c>
      <c r="C16" s="75">
        <v>2085600</v>
      </c>
      <c r="D16" s="75">
        <v>2145000</v>
      </c>
      <c r="E16" s="75">
        <v>2182400</v>
      </c>
      <c r="F16" s="75">
        <v>2233000</v>
      </c>
      <c r="G16" s="75">
        <v>2283600</v>
      </c>
      <c r="H16" s="75">
        <v>2244000</v>
      </c>
      <c r="I16" s="75">
        <v>2321000</v>
      </c>
      <c r="J16" s="75">
        <v>2358400</v>
      </c>
      <c r="K16" s="75">
        <v>2395800</v>
      </c>
      <c r="L16" s="75">
        <v>2431000</v>
      </c>
      <c r="M16" s="75">
        <v>2497000</v>
      </c>
      <c r="N16" s="75">
        <v>6265600</v>
      </c>
      <c r="O16" s="75">
        <v>6699000</v>
      </c>
      <c r="P16" s="75">
        <v>6923400</v>
      </c>
      <c r="Q16" s="75">
        <v>7323800</v>
      </c>
      <c r="R16" s="75">
        <v>27211800</v>
      </c>
      <c r="S16" s="74">
        <v>27107074</v>
      </c>
    </row>
    <row r="17" spans="1:19" x14ac:dyDescent="0.25">
      <c r="A17" s="21" t="s">
        <v>743</v>
      </c>
      <c r="B17" s="73">
        <v>3052500</v>
      </c>
      <c r="C17" s="73">
        <v>3128400</v>
      </c>
      <c r="D17" s="73">
        <v>3217500</v>
      </c>
      <c r="E17" s="73">
        <v>3273600</v>
      </c>
      <c r="F17" s="73">
        <v>3349500</v>
      </c>
      <c r="G17" s="73">
        <v>3425400</v>
      </c>
      <c r="H17" s="73">
        <v>3366000</v>
      </c>
      <c r="I17" s="73">
        <v>3481500</v>
      </c>
      <c r="J17" s="73">
        <v>3537600</v>
      </c>
      <c r="K17" s="73">
        <v>3593700</v>
      </c>
      <c r="L17" s="73">
        <v>3646500</v>
      </c>
      <c r="M17" s="73">
        <v>3745500</v>
      </c>
      <c r="N17" s="73">
        <v>9398400</v>
      </c>
      <c r="O17" s="73">
        <v>10048500</v>
      </c>
      <c r="P17" s="73">
        <v>10385100</v>
      </c>
      <c r="Q17" s="73">
        <v>10985700</v>
      </c>
      <c r="R17" s="73">
        <v>40817700</v>
      </c>
      <c r="S17" s="74">
        <v>37749723</v>
      </c>
    </row>
    <row r="18" spans="1:19" x14ac:dyDescent="0.25">
      <c r="A18" s="5" t="s">
        <v>744</v>
      </c>
      <c r="B18" s="14">
        <v>0.6</v>
      </c>
      <c r="C18" s="14">
        <v>0.6</v>
      </c>
      <c r="D18" s="14">
        <v>0.6</v>
      </c>
      <c r="E18" s="14">
        <v>0.6</v>
      </c>
      <c r="F18" s="14">
        <v>0.6</v>
      </c>
      <c r="G18" s="14">
        <v>0.6</v>
      </c>
      <c r="H18" s="14">
        <v>0.6</v>
      </c>
      <c r="I18" s="14">
        <v>0.6</v>
      </c>
      <c r="J18" s="14">
        <v>0.6</v>
      </c>
      <c r="K18" s="14">
        <v>0.6</v>
      </c>
      <c r="L18" s="14">
        <v>0.6</v>
      </c>
      <c r="M18" s="14">
        <v>0.6</v>
      </c>
      <c r="N18" s="14">
        <v>0.6</v>
      </c>
      <c r="O18" s="14">
        <v>0.6</v>
      </c>
      <c r="P18" s="14">
        <v>0.6</v>
      </c>
      <c r="Q18" s="14">
        <v>0.6</v>
      </c>
      <c r="R18" s="14">
        <v>0.6</v>
      </c>
    </row>
    <row r="19" spans="1:19" x14ac:dyDescent="0.25">
      <c r="A19" s="3" t="s">
        <v>745</v>
      </c>
      <c r="B19" s="75">
        <v>2808300</v>
      </c>
      <c r="C19" s="75">
        <v>2878128</v>
      </c>
      <c r="D19" s="75">
        <v>2960100</v>
      </c>
      <c r="E19" s="75">
        <v>3011712</v>
      </c>
      <c r="F19" s="75">
        <v>3081540</v>
      </c>
      <c r="G19" s="75">
        <v>3151368</v>
      </c>
      <c r="H19" s="75">
        <v>3096720</v>
      </c>
      <c r="I19" s="75">
        <v>3202980</v>
      </c>
      <c r="J19" s="75">
        <v>3254592</v>
      </c>
      <c r="K19" s="75">
        <v>3306204</v>
      </c>
      <c r="L19" s="75">
        <v>3354780</v>
      </c>
      <c r="M19" s="75">
        <v>3445860</v>
      </c>
      <c r="N19" s="75">
        <v>8646528</v>
      </c>
      <c r="O19" s="75">
        <v>9244620</v>
      </c>
      <c r="P19" s="75">
        <v>9554292</v>
      </c>
      <c r="Q19" s="75">
        <v>10106844</v>
      </c>
      <c r="R19" s="75">
        <v>37552284</v>
      </c>
    </row>
    <row r="20" spans="1:19" x14ac:dyDescent="0.25">
      <c r="A20" s="5" t="s">
        <v>746</v>
      </c>
      <c r="B20" s="14">
        <v>0.6</v>
      </c>
      <c r="C20" s="14">
        <v>0.6</v>
      </c>
      <c r="D20" s="14">
        <v>0.6</v>
      </c>
      <c r="E20" s="14">
        <v>0.6</v>
      </c>
      <c r="F20" s="14">
        <v>0.6</v>
      </c>
      <c r="G20" s="14">
        <v>0.6</v>
      </c>
      <c r="H20" s="14">
        <v>0.6</v>
      </c>
      <c r="I20" s="14">
        <v>0.6</v>
      </c>
      <c r="J20" s="14">
        <v>0.6</v>
      </c>
      <c r="K20" s="14">
        <v>0.6</v>
      </c>
      <c r="L20" s="14">
        <v>0.6</v>
      </c>
      <c r="M20" s="14">
        <v>0.6</v>
      </c>
      <c r="N20" s="14">
        <v>0.6</v>
      </c>
      <c r="O20" s="14">
        <v>0.6</v>
      </c>
      <c r="P20" s="14">
        <v>0.6</v>
      </c>
      <c r="Q20" s="14">
        <v>0.6</v>
      </c>
      <c r="R20" s="14">
        <v>0.6</v>
      </c>
    </row>
    <row r="21" spans="1:19" x14ac:dyDescent="0.25">
      <c r="A21" s="18"/>
      <c r="B21" s="18"/>
      <c r="C21" s="18"/>
      <c r="D21" s="18"/>
      <c r="E21" s="18"/>
      <c r="F21" s="18"/>
      <c r="G21" s="18"/>
      <c r="H21" s="18"/>
      <c r="I21" s="18"/>
      <c r="J21" s="18"/>
      <c r="K21" s="18"/>
      <c r="L21" s="18"/>
      <c r="M21" s="18"/>
      <c r="N21" s="18"/>
      <c r="O21" s="18"/>
      <c r="P21" s="18"/>
      <c r="Q21" s="18"/>
      <c r="R21" s="18"/>
    </row>
    <row r="22" spans="1:19" ht="15.6" customHeight="1" x14ac:dyDescent="0.25">
      <c r="A22" s="12" t="s">
        <v>36</v>
      </c>
      <c r="B22" s="12"/>
      <c r="C22" s="12"/>
      <c r="D22" s="12"/>
      <c r="E22" s="12"/>
      <c r="F22" s="12"/>
      <c r="G22" s="12"/>
      <c r="H22" s="12"/>
      <c r="I22" s="12"/>
      <c r="J22" s="12"/>
      <c r="K22" s="12"/>
      <c r="L22" s="12"/>
      <c r="M22" s="12"/>
      <c r="N22" s="12"/>
      <c r="O22" s="12"/>
      <c r="P22" s="12"/>
      <c r="Q22" s="12"/>
      <c r="R22" s="12"/>
    </row>
    <row r="23" spans="1:19" x14ac:dyDescent="0.25">
      <c r="A23" s="21" t="s">
        <v>602</v>
      </c>
      <c r="B23" s="73">
        <v>2590000</v>
      </c>
      <c r="C23" s="73">
        <v>2654400</v>
      </c>
      <c r="D23" s="73">
        <v>2730000</v>
      </c>
      <c r="E23" s="73">
        <v>2777600</v>
      </c>
      <c r="F23" s="73">
        <v>2842000</v>
      </c>
      <c r="G23" s="73">
        <v>2906400</v>
      </c>
      <c r="H23" s="73">
        <v>2856000</v>
      </c>
      <c r="I23" s="73">
        <v>2954000</v>
      </c>
      <c r="J23" s="73">
        <v>3001600</v>
      </c>
      <c r="K23" s="73">
        <v>3049200</v>
      </c>
      <c r="L23" s="73">
        <v>3094000</v>
      </c>
      <c r="M23" s="73">
        <v>3178000</v>
      </c>
      <c r="N23" s="73">
        <v>7974400</v>
      </c>
      <c r="O23" s="73">
        <v>8526000</v>
      </c>
      <c r="P23" s="73">
        <v>8811600</v>
      </c>
      <c r="Q23" s="73">
        <v>9321200</v>
      </c>
      <c r="R23" s="73">
        <v>34633200</v>
      </c>
      <c r="S23" s="74">
        <v>33349998</v>
      </c>
    </row>
    <row r="24" spans="1:19" x14ac:dyDescent="0.25">
      <c r="A24" s="3" t="s">
        <v>742</v>
      </c>
      <c r="B24" s="75">
        <v>1087800</v>
      </c>
      <c r="C24" s="75">
        <v>1114848</v>
      </c>
      <c r="D24" s="75">
        <v>1146600</v>
      </c>
      <c r="E24" s="75">
        <v>1166592</v>
      </c>
      <c r="F24" s="75">
        <v>1193640</v>
      </c>
      <c r="G24" s="75">
        <v>1220688</v>
      </c>
      <c r="H24" s="75">
        <v>1199520</v>
      </c>
      <c r="I24" s="75">
        <v>1240680</v>
      </c>
      <c r="J24" s="75">
        <v>1260672</v>
      </c>
      <c r="K24" s="75">
        <v>1280664</v>
      </c>
      <c r="L24" s="75">
        <v>1299480</v>
      </c>
      <c r="M24" s="75">
        <v>1334760</v>
      </c>
      <c r="N24" s="75">
        <v>3349248</v>
      </c>
      <c r="O24" s="75">
        <v>3580920</v>
      </c>
      <c r="P24" s="75">
        <v>3700872</v>
      </c>
      <c r="Q24" s="75">
        <v>3914904</v>
      </c>
      <c r="R24" s="75">
        <v>14545944</v>
      </c>
      <c r="S24" s="74">
        <v>13006427</v>
      </c>
    </row>
    <row r="25" spans="1:19" x14ac:dyDescent="0.25">
      <c r="A25" s="21" t="s">
        <v>743</v>
      </c>
      <c r="B25" s="73">
        <v>1502200</v>
      </c>
      <c r="C25" s="73">
        <v>1539552</v>
      </c>
      <c r="D25" s="73">
        <v>1583400</v>
      </c>
      <c r="E25" s="73">
        <v>1611008</v>
      </c>
      <c r="F25" s="73">
        <v>1648360</v>
      </c>
      <c r="G25" s="73">
        <v>1685712</v>
      </c>
      <c r="H25" s="73">
        <v>1656480</v>
      </c>
      <c r="I25" s="73">
        <v>1713320</v>
      </c>
      <c r="J25" s="73">
        <v>1740928</v>
      </c>
      <c r="K25" s="73">
        <v>1768536</v>
      </c>
      <c r="L25" s="73">
        <v>1794520</v>
      </c>
      <c r="M25" s="73">
        <v>1843240</v>
      </c>
      <c r="N25" s="73">
        <v>4625152</v>
      </c>
      <c r="O25" s="73">
        <v>4945080</v>
      </c>
      <c r="P25" s="73">
        <v>5110728</v>
      </c>
      <c r="Q25" s="73">
        <v>5406296</v>
      </c>
      <c r="R25" s="73">
        <v>20087256</v>
      </c>
      <c r="S25" s="74">
        <v>17977266</v>
      </c>
    </row>
    <row r="26" spans="1:19" x14ac:dyDescent="0.25">
      <c r="A26" s="5" t="s">
        <v>744</v>
      </c>
      <c r="B26" s="14">
        <v>0.57999999999999996</v>
      </c>
      <c r="C26" s="14">
        <v>0.57999999999999996</v>
      </c>
      <c r="D26" s="14">
        <v>0.57999999999999996</v>
      </c>
      <c r="E26" s="14">
        <v>0.57999999999999996</v>
      </c>
      <c r="F26" s="14">
        <v>0.57999999999999996</v>
      </c>
      <c r="G26" s="14">
        <v>0.57999999999999996</v>
      </c>
      <c r="H26" s="14">
        <v>0.57999999999999996</v>
      </c>
      <c r="I26" s="14">
        <v>0.57999999999999996</v>
      </c>
      <c r="J26" s="14">
        <v>0.57999999999999996</v>
      </c>
      <c r="K26" s="14">
        <v>0.57999999999999996</v>
      </c>
      <c r="L26" s="14">
        <v>0.57999999999999996</v>
      </c>
      <c r="M26" s="14">
        <v>0.57999999999999996</v>
      </c>
      <c r="N26" s="14">
        <v>0.57999999999999996</v>
      </c>
      <c r="O26" s="14">
        <v>0.57999999999999996</v>
      </c>
      <c r="P26" s="14">
        <v>0.57999999999999996</v>
      </c>
      <c r="Q26" s="14">
        <v>0.57999999999999996</v>
      </c>
      <c r="R26" s="14">
        <v>0.57999999999999996</v>
      </c>
    </row>
    <row r="27" spans="1:19" x14ac:dyDescent="0.25">
      <c r="A27" s="3" t="s">
        <v>745</v>
      </c>
      <c r="B27" s="75">
        <v>1382024</v>
      </c>
      <c r="C27" s="75">
        <v>1416388</v>
      </c>
      <c r="D27" s="75">
        <v>1456728</v>
      </c>
      <c r="E27" s="75">
        <v>1482127</v>
      </c>
      <c r="F27" s="75">
        <v>1516491</v>
      </c>
      <c r="G27" s="75">
        <v>1550855</v>
      </c>
      <c r="H27" s="75">
        <v>1523962</v>
      </c>
      <c r="I27" s="75">
        <v>1576254</v>
      </c>
      <c r="J27" s="75">
        <v>1601654</v>
      </c>
      <c r="K27" s="75">
        <v>1627053</v>
      </c>
      <c r="L27" s="75">
        <v>1650958</v>
      </c>
      <c r="M27" s="75">
        <v>1695781</v>
      </c>
      <c r="N27" s="75">
        <v>4255140</v>
      </c>
      <c r="O27" s="75">
        <v>4549474</v>
      </c>
      <c r="P27" s="75">
        <v>4701870</v>
      </c>
      <c r="Q27" s="75">
        <v>4973792</v>
      </c>
      <c r="R27" s="75">
        <v>18480276</v>
      </c>
    </row>
    <row r="28" spans="1:19" x14ac:dyDescent="0.25">
      <c r="A28" s="5" t="s">
        <v>746</v>
      </c>
      <c r="B28" s="14">
        <v>0.57999999999999996</v>
      </c>
      <c r="C28" s="14">
        <v>0.57999999999999996</v>
      </c>
      <c r="D28" s="14">
        <v>0.57999999999999996</v>
      </c>
      <c r="E28" s="14">
        <v>0.57999999999999996</v>
      </c>
      <c r="F28" s="14">
        <v>0.57999999999999996</v>
      </c>
      <c r="G28" s="14">
        <v>0.57999999999999996</v>
      </c>
      <c r="H28" s="14">
        <v>0.57999999999999996</v>
      </c>
      <c r="I28" s="14">
        <v>0.57999999999999996</v>
      </c>
      <c r="J28" s="14">
        <v>0.57999999999999996</v>
      </c>
      <c r="K28" s="14">
        <v>0.57999999999999996</v>
      </c>
      <c r="L28" s="14">
        <v>0.57999999999999996</v>
      </c>
      <c r="M28" s="14">
        <v>0.57999999999999996</v>
      </c>
      <c r="N28" s="14">
        <v>0.57999999999999996</v>
      </c>
      <c r="O28" s="14">
        <v>0.57999999999999996</v>
      </c>
      <c r="P28" s="14">
        <v>0.57999999999999996</v>
      </c>
      <c r="Q28" s="14">
        <v>0.57999999999999996</v>
      </c>
      <c r="R28" s="14">
        <v>0.57999999999999996</v>
      </c>
    </row>
    <row r="29" spans="1:19" x14ac:dyDescent="0.25">
      <c r="A29" s="18"/>
      <c r="B29" s="18"/>
      <c r="C29" s="18"/>
      <c r="D29" s="18"/>
      <c r="E29" s="18"/>
      <c r="F29" s="18"/>
      <c r="G29" s="18"/>
      <c r="H29" s="18"/>
      <c r="I29" s="18"/>
      <c r="J29" s="18"/>
      <c r="K29" s="18"/>
      <c r="L29" s="18"/>
      <c r="M29" s="18"/>
      <c r="N29" s="18"/>
      <c r="O29" s="18"/>
      <c r="P29" s="18"/>
      <c r="Q29" s="18"/>
      <c r="R29" s="18"/>
    </row>
    <row r="30" spans="1:19" ht="15.6" customHeight="1" x14ac:dyDescent="0.25">
      <c r="A30" s="12" t="s">
        <v>16</v>
      </c>
      <c r="B30" s="12"/>
      <c r="C30" s="12"/>
      <c r="D30" s="12"/>
      <c r="E30" s="12"/>
      <c r="F30" s="12"/>
      <c r="G30" s="12"/>
      <c r="H30" s="12"/>
      <c r="I30" s="12"/>
      <c r="J30" s="12"/>
      <c r="K30" s="12"/>
      <c r="L30" s="12"/>
      <c r="M30" s="12"/>
      <c r="N30" s="12"/>
      <c r="O30" s="12"/>
      <c r="P30" s="12"/>
      <c r="Q30" s="12"/>
      <c r="R30" s="12"/>
    </row>
    <row r="31" spans="1:19" x14ac:dyDescent="0.25">
      <c r="A31" s="21" t="s">
        <v>602</v>
      </c>
      <c r="B31" s="73">
        <v>1110000</v>
      </c>
      <c r="C31" s="73">
        <v>1137600</v>
      </c>
      <c r="D31" s="73">
        <v>1170000</v>
      </c>
      <c r="E31" s="73">
        <v>1190400</v>
      </c>
      <c r="F31" s="73">
        <v>1218000</v>
      </c>
      <c r="G31" s="73">
        <v>1245600</v>
      </c>
      <c r="H31" s="73">
        <v>1224000</v>
      </c>
      <c r="I31" s="73">
        <v>1266000</v>
      </c>
      <c r="J31" s="73">
        <v>1286400</v>
      </c>
      <c r="K31" s="73">
        <v>1306800</v>
      </c>
      <c r="L31" s="73">
        <v>1326000</v>
      </c>
      <c r="M31" s="73">
        <v>1362000</v>
      </c>
      <c r="N31" s="73">
        <v>3417600</v>
      </c>
      <c r="O31" s="73">
        <v>3654000</v>
      </c>
      <c r="P31" s="73">
        <v>3776400</v>
      </c>
      <c r="Q31" s="73">
        <v>3994800</v>
      </c>
      <c r="R31" s="73">
        <v>14842800</v>
      </c>
      <c r="S31" s="74">
        <v>13892313</v>
      </c>
    </row>
    <row r="32" spans="1:19" x14ac:dyDescent="0.25">
      <c r="A32" s="3" t="s">
        <v>742</v>
      </c>
      <c r="B32" s="75">
        <v>499500</v>
      </c>
      <c r="C32" s="75">
        <v>511920</v>
      </c>
      <c r="D32" s="75">
        <v>526500</v>
      </c>
      <c r="E32" s="75">
        <v>535680</v>
      </c>
      <c r="F32" s="75">
        <v>548100</v>
      </c>
      <c r="G32" s="75">
        <v>560520</v>
      </c>
      <c r="H32" s="75">
        <v>550800</v>
      </c>
      <c r="I32" s="75">
        <v>569700</v>
      </c>
      <c r="J32" s="75">
        <v>578880</v>
      </c>
      <c r="K32" s="75">
        <v>588060</v>
      </c>
      <c r="L32" s="75">
        <v>596700</v>
      </c>
      <c r="M32" s="75">
        <v>612900</v>
      </c>
      <c r="N32" s="75">
        <v>1537920</v>
      </c>
      <c r="O32" s="75">
        <v>1644300</v>
      </c>
      <c r="P32" s="75">
        <v>1699380</v>
      </c>
      <c r="Q32" s="75">
        <v>1797660</v>
      </c>
      <c r="R32" s="75">
        <v>6679260</v>
      </c>
      <c r="S32" s="74">
        <v>7026219</v>
      </c>
    </row>
    <row r="33" spans="1:19" x14ac:dyDescent="0.25">
      <c r="A33" s="21" t="s">
        <v>743</v>
      </c>
      <c r="B33" s="73">
        <v>610500</v>
      </c>
      <c r="C33" s="73">
        <v>625680</v>
      </c>
      <c r="D33" s="73">
        <v>643500</v>
      </c>
      <c r="E33" s="73">
        <v>654720</v>
      </c>
      <c r="F33" s="73">
        <v>669900</v>
      </c>
      <c r="G33" s="73">
        <v>685080</v>
      </c>
      <c r="H33" s="73">
        <v>673200</v>
      </c>
      <c r="I33" s="73">
        <v>696300</v>
      </c>
      <c r="J33" s="73">
        <v>707520</v>
      </c>
      <c r="K33" s="73">
        <v>718740</v>
      </c>
      <c r="L33" s="73">
        <v>729300</v>
      </c>
      <c r="M33" s="73">
        <v>749100</v>
      </c>
      <c r="N33" s="73">
        <v>1879680</v>
      </c>
      <c r="O33" s="73">
        <v>2009700</v>
      </c>
      <c r="P33" s="73">
        <v>2077020</v>
      </c>
      <c r="Q33" s="73">
        <v>2197140</v>
      </c>
      <c r="R33" s="73">
        <v>8163540</v>
      </c>
      <c r="S33" s="74">
        <v>7920014</v>
      </c>
    </row>
    <row r="34" spans="1:19" x14ac:dyDescent="0.25">
      <c r="A34" s="5" t="s">
        <v>744</v>
      </c>
      <c r="B34" s="14">
        <v>0.55000000000000004</v>
      </c>
      <c r="C34" s="14">
        <v>0.55000000000000004</v>
      </c>
      <c r="D34" s="14">
        <v>0.55000000000000004</v>
      </c>
      <c r="E34" s="14">
        <v>0.55000000000000004</v>
      </c>
      <c r="F34" s="14">
        <v>0.55000000000000004</v>
      </c>
      <c r="G34" s="14">
        <v>0.55000000000000004</v>
      </c>
      <c r="H34" s="14">
        <v>0.55000000000000004</v>
      </c>
      <c r="I34" s="14">
        <v>0.55000000000000004</v>
      </c>
      <c r="J34" s="14">
        <v>0.55000000000000004</v>
      </c>
      <c r="K34" s="14">
        <v>0.55000000000000004</v>
      </c>
      <c r="L34" s="14">
        <v>0.55000000000000004</v>
      </c>
      <c r="M34" s="14">
        <v>0.55000000000000004</v>
      </c>
      <c r="N34" s="14">
        <v>0.55000000000000004</v>
      </c>
      <c r="O34" s="14">
        <v>0.55000000000000004</v>
      </c>
      <c r="P34" s="14">
        <v>0.55000000000000004</v>
      </c>
      <c r="Q34" s="14">
        <v>0.55000000000000004</v>
      </c>
      <c r="R34" s="14">
        <v>0.55000000000000004</v>
      </c>
    </row>
    <row r="35" spans="1:19" x14ac:dyDescent="0.25">
      <c r="A35" s="3" t="s">
        <v>745</v>
      </c>
      <c r="B35" s="75">
        <v>561660</v>
      </c>
      <c r="C35" s="75">
        <v>575626</v>
      </c>
      <c r="D35" s="75">
        <v>592020</v>
      </c>
      <c r="E35" s="75">
        <v>602342</v>
      </c>
      <c r="F35" s="75">
        <v>616308</v>
      </c>
      <c r="G35" s="75">
        <v>630274</v>
      </c>
      <c r="H35" s="75">
        <v>619344</v>
      </c>
      <c r="I35" s="75">
        <v>640596</v>
      </c>
      <c r="J35" s="75">
        <v>650918</v>
      </c>
      <c r="K35" s="75">
        <v>661241</v>
      </c>
      <c r="L35" s="75">
        <v>670956</v>
      </c>
      <c r="M35" s="75">
        <v>689172</v>
      </c>
      <c r="N35" s="75">
        <v>1729306</v>
      </c>
      <c r="O35" s="75">
        <v>1848924</v>
      </c>
      <c r="P35" s="75">
        <v>1910858</v>
      </c>
      <c r="Q35" s="75">
        <v>2021369</v>
      </c>
      <c r="R35" s="75">
        <v>7510457</v>
      </c>
    </row>
    <row r="36" spans="1:19" x14ac:dyDescent="0.25">
      <c r="A36" s="5" t="s">
        <v>746</v>
      </c>
      <c r="B36" s="14">
        <v>0.55000000000000004</v>
      </c>
      <c r="C36" s="14">
        <v>0.55000000000000004</v>
      </c>
      <c r="D36" s="14">
        <v>0.55000000000000004</v>
      </c>
      <c r="E36" s="14">
        <v>0.55000000000000004</v>
      </c>
      <c r="F36" s="14">
        <v>0.55000000000000004</v>
      </c>
      <c r="G36" s="14">
        <v>0.55000000000000004</v>
      </c>
      <c r="H36" s="14">
        <v>0.55000000000000004</v>
      </c>
      <c r="I36" s="14">
        <v>0.55000000000000004</v>
      </c>
      <c r="J36" s="14">
        <v>0.55000000000000004</v>
      </c>
      <c r="K36" s="14">
        <v>0.55000000000000004</v>
      </c>
      <c r="L36" s="14">
        <v>0.55000000000000004</v>
      </c>
      <c r="M36" s="14">
        <v>0.55000000000000004</v>
      </c>
      <c r="N36" s="14">
        <v>0.55000000000000004</v>
      </c>
      <c r="O36" s="14">
        <v>0.55000000000000004</v>
      </c>
      <c r="P36" s="14">
        <v>0.55000000000000004</v>
      </c>
      <c r="Q36" s="14">
        <v>0.55000000000000004</v>
      </c>
      <c r="R36" s="14">
        <v>0.55000000000000004</v>
      </c>
    </row>
    <row r="37" spans="1:19" x14ac:dyDescent="0.25">
      <c r="A37" s="18"/>
      <c r="B37" s="18"/>
      <c r="C37" s="18"/>
      <c r="D37" s="18"/>
      <c r="E37" s="18"/>
      <c r="F37" s="18"/>
      <c r="G37" s="18"/>
      <c r="H37" s="18"/>
      <c r="I37" s="18"/>
      <c r="J37" s="18"/>
      <c r="K37" s="18"/>
      <c r="L37" s="18"/>
      <c r="M37" s="18"/>
      <c r="N37" s="18"/>
      <c r="O37" s="18"/>
      <c r="P37" s="18"/>
      <c r="Q37" s="18"/>
      <c r="R37" s="18"/>
    </row>
    <row r="38" spans="1:19" ht="15.6" customHeight="1" x14ac:dyDescent="0.25">
      <c r="A38" s="12" t="s">
        <v>10</v>
      </c>
      <c r="B38" s="12"/>
      <c r="C38" s="12"/>
      <c r="D38" s="12"/>
      <c r="E38" s="12"/>
      <c r="F38" s="12"/>
      <c r="G38" s="12"/>
      <c r="H38" s="12"/>
      <c r="I38" s="12"/>
      <c r="J38" s="12"/>
      <c r="K38" s="12"/>
      <c r="L38" s="12"/>
      <c r="M38" s="12"/>
      <c r="N38" s="12"/>
      <c r="O38" s="12"/>
      <c r="P38" s="12"/>
      <c r="Q38" s="12"/>
      <c r="R38" s="12"/>
    </row>
    <row r="39" spans="1:19" x14ac:dyDescent="0.25">
      <c r="A39" s="21" t="s">
        <v>602</v>
      </c>
      <c r="B39" s="73">
        <v>462500</v>
      </c>
      <c r="C39" s="73">
        <v>474000</v>
      </c>
      <c r="D39" s="73">
        <v>487500</v>
      </c>
      <c r="E39" s="73">
        <v>496000</v>
      </c>
      <c r="F39" s="73">
        <v>507500</v>
      </c>
      <c r="G39" s="73">
        <v>519000</v>
      </c>
      <c r="H39" s="73">
        <v>510000</v>
      </c>
      <c r="I39" s="73">
        <v>527500</v>
      </c>
      <c r="J39" s="73">
        <v>536000</v>
      </c>
      <c r="K39" s="73">
        <v>544500</v>
      </c>
      <c r="L39" s="73">
        <v>552500</v>
      </c>
      <c r="M39" s="73">
        <v>567500</v>
      </c>
      <c r="N39" s="73">
        <v>1424000</v>
      </c>
      <c r="O39" s="73">
        <v>1522500</v>
      </c>
      <c r="P39" s="73">
        <v>1573500</v>
      </c>
      <c r="Q39" s="73">
        <v>1664500</v>
      </c>
      <c r="R39" s="73">
        <v>6184500</v>
      </c>
      <c r="S39" s="74">
        <v>6068158</v>
      </c>
    </row>
    <row r="40" spans="1:19" x14ac:dyDescent="0.25">
      <c r="A40" s="3" t="s">
        <v>742</v>
      </c>
      <c r="B40" s="75">
        <v>222000</v>
      </c>
      <c r="C40" s="75">
        <v>227520</v>
      </c>
      <c r="D40" s="75">
        <v>234000</v>
      </c>
      <c r="E40" s="75">
        <v>238080</v>
      </c>
      <c r="F40" s="75">
        <v>243600</v>
      </c>
      <c r="G40" s="75">
        <v>249120</v>
      </c>
      <c r="H40" s="75">
        <v>244800</v>
      </c>
      <c r="I40" s="75">
        <v>253200</v>
      </c>
      <c r="J40" s="75">
        <v>257280</v>
      </c>
      <c r="K40" s="75">
        <v>261360</v>
      </c>
      <c r="L40" s="75">
        <v>265200</v>
      </c>
      <c r="M40" s="75">
        <v>272400</v>
      </c>
      <c r="N40" s="75">
        <v>683520</v>
      </c>
      <c r="O40" s="75">
        <v>730800</v>
      </c>
      <c r="P40" s="75">
        <v>755280</v>
      </c>
      <c r="Q40" s="75">
        <v>798960</v>
      </c>
      <c r="R40" s="75">
        <v>2968560</v>
      </c>
      <c r="S40" s="74">
        <v>2698255</v>
      </c>
    </row>
    <row r="41" spans="1:19" x14ac:dyDescent="0.25">
      <c r="A41" s="21" t="s">
        <v>743</v>
      </c>
      <c r="B41" s="73">
        <v>240500</v>
      </c>
      <c r="C41" s="73">
        <v>246480</v>
      </c>
      <c r="D41" s="73">
        <v>253500</v>
      </c>
      <c r="E41" s="73">
        <v>257920</v>
      </c>
      <c r="F41" s="73">
        <v>263900</v>
      </c>
      <c r="G41" s="73">
        <v>269880</v>
      </c>
      <c r="H41" s="73">
        <v>265200</v>
      </c>
      <c r="I41" s="73">
        <v>274300</v>
      </c>
      <c r="J41" s="73">
        <v>278720</v>
      </c>
      <c r="K41" s="73">
        <v>283140</v>
      </c>
      <c r="L41" s="73">
        <v>287300</v>
      </c>
      <c r="M41" s="73">
        <v>295100</v>
      </c>
      <c r="N41" s="73">
        <v>740480</v>
      </c>
      <c r="O41" s="73">
        <v>791700</v>
      </c>
      <c r="P41" s="73">
        <v>818220</v>
      </c>
      <c r="Q41" s="73">
        <v>865540</v>
      </c>
      <c r="R41" s="73">
        <v>3215940</v>
      </c>
      <c r="S41" s="74">
        <v>3149149</v>
      </c>
    </row>
    <row r="42" spans="1:19" x14ac:dyDescent="0.25">
      <c r="A42" s="5" t="s">
        <v>744</v>
      </c>
      <c r="B42" s="14">
        <v>0.52</v>
      </c>
      <c r="C42" s="14">
        <v>0.52</v>
      </c>
      <c r="D42" s="14">
        <v>0.52</v>
      </c>
      <c r="E42" s="14">
        <v>0.52</v>
      </c>
      <c r="F42" s="14">
        <v>0.52</v>
      </c>
      <c r="G42" s="14">
        <v>0.52</v>
      </c>
      <c r="H42" s="14">
        <v>0.52</v>
      </c>
      <c r="I42" s="14">
        <v>0.52</v>
      </c>
      <c r="J42" s="14">
        <v>0.52</v>
      </c>
      <c r="K42" s="14">
        <v>0.52</v>
      </c>
      <c r="L42" s="14">
        <v>0.52</v>
      </c>
      <c r="M42" s="14">
        <v>0.52</v>
      </c>
      <c r="N42" s="14">
        <v>0.52</v>
      </c>
      <c r="O42" s="14">
        <v>0.52</v>
      </c>
      <c r="P42" s="14">
        <v>0.52</v>
      </c>
      <c r="Q42" s="14">
        <v>0.52</v>
      </c>
      <c r="R42" s="14">
        <v>0.52</v>
      </c>
    </row>
    <row r="43" spans="1:19" x14ac:dyDescent="0.25">
      <c r="A43" s="3" t="s">
        <v>745</v>
      </c>
      <c r="B43" s="75">
        <v>221260</v>
      </c>
      <c r="C43" s="75">
        <v>226762</v>
      </c>
      <c r="D43" s="75">
        <v>233220</v>
      </c>
      <c r="E43" s="75">
        <v>237286</v>
      </c>
      <c r="F43" s="75">
        <v>242788</v>
      </c>
      <c r="G43" s="75">
        <v>248290</v>
      </c>
      <c r="H43" s="75">
        <v>243984</v>
      </c>
      <c r="I43" s="75">
        <v>252356</v>
      </c>
      <c r="J43" s="75">
        <v>256422</v>
      </c>
      <c r="K43" s="75">
        <v>260489</v>
      </c>
      <c r="L43" s="75">
        <v>264316</v>
      </c>
      <c r="M43" s="75">
        <v>271492</v>
      </c>
      <c r="N43" s="75">
        <v>681242</v>
      </c>
      <c r="O43" s="75">
        <v>728364</v>
      </c>
      <c r="P43" s="75">
        <v>752762</v>
      </c>
      <c r="Q43" s="75">
        <v>796297</v>
      </c>
      <c r="R43" s="75">
        <v>2958665</v>
      </c>
    </row>
    <row r="44" spans="1:19" x14ac:dyDescent="0.25">
      <c r="A44" s="5" t="s">
        <v>746</v>
      </c>
      <c r="B44" s="14">
        <v>0.52</v>
      </c>
      <c r="C44" s="14">
        <v>0.52</v>
      </c>
      <c r="D44" s="14">
        <v>0.52</v>
      </c>
      <c r="E44" s="14">
        <v>0.52</v>
      </c>
      <c r="F44" s="14">
        <v>0.52</v>
      </c>
      <c r="G44" s="14">
        <v>0.52</v>
      </c>
      <c r="H44" s="14">
        <v>0.52</v>
      </c>
      <c r="I44" s="14">
        <v>0.52</v>
      </c>
      <c r="J44" s="14">
        <v>0.52</v>
      </c>
      <c r="K44" s="14">
        <v>0.52</v>
      </c>
      <c r="L44" s="14">
        <v>0.52</v>
      </c>
      <c r="M44" s="14">
        <v>0.52</v>
      </c>
      <c r="N44" s="14">
        <v>0.52</v>
      </c>
      <c r="O44" s="14">
        <v>0.52</v>
      </c>
      <c r="P44" s="14">
        <v>0.52</v>
      </c>
      <c r="Q44" s="14">
        <v>0.52</v>
      </c>
      <c r="R44" s="14">
        <v>0.52</v>
      </c>
    </row>
    <row r="46" spans="1:19" ht="15.75" customHeight="1" x14ac:dyDescent="0.25">
      <c r="A46" s="67" t="s">
        <v>747</v>
      </c>
    </row>
    <row r="47" spans="1:19" x14ac:dyDescent="0.25">
      <c r="A47" s="68" t="s">
        <v>748</v>
      </c>
      <c r="B47" s="68" t="s">
        <v>699</v>
      </c>
      <c r="C47" s="68" t="s">
        <v>700</v>
      </c>
      <c r="D47" s="68" t="s">
        <v>701</v>
      </c>
      <c r="E47" s="68" t="s">
        <v>702</v>
      </c>
      <c r="F47" s="68" t="s">
        <v>703</v>
      </c>
      <c r="G47" s="68" t="s">
        <v>704</v>
      </c>
      <c r="H47" s="68" t="s">
        <v>705</v>
      </c>
      <c r="I47" s="68" t="s">
        <v>706</v>
      </c>
      <c r="J47" s="68" t="s">
        <v>707</v>
      </c>
      <c r="K47" s="68" t="s">
        <v>708</v>
      </c>
      <c r="L47" s="68" t="s">
        <v>709</v>
      </c>
      <c r="M47" s="68" t="s">
        <v>710</v>
      </c>
      <c r="N47" s="68" t="s">
        <v>735</v>
      </c>
      <c r="O47" s="68" t="s">
        <v>736</v>
      </c>
      <c r="P47" s="68" t="s">
        <v>737</v>
      </c>
      <c r="Q47" s="68" t="s">
        <v>738</v>
      </c>
      <c r="R47" s="68" t="s">
        <v>739</v>
      </c>
      <c r="S47" s="68" t="s">
        <v>740</v>
      </c>
    </row>
    <row r="48" spans="1:19" x14ac:dyDescent="0.25">
      <c r="A48" s="69" t="s">
        <v>749</v>
      </c>
      <c r="B48" s="70">
        <v>9250000</v>
      </c>
      <c r="C48" s="70">
        <v>9480000</v>
      </c>
      <c r="D48" s="70">
        <v>9750000</v>
      </c>
      <c r="E48" s="70">
        <v>9920000</v>
      </c>
      <c r="F48" s="70">
        <v>10150000</v>
      </c>
      <c r="G48" s="70">
        <v>10380000</v>
      </c>
      <c r="H48" s="70">
        <v>10200000</v>
      </c>
      <c r="I48" s="70">
        <v>10550000</v>
      </c>
      <c r="J48" s="70">
        <v>10720000</v>
      </c>
      <c r="K48" s="70">
        <v>10890000</v>
      </c>
      <c r="L48" s="70">
        <v>11050000</v>
      </c>
      <c r="M48" s="70">
        <v>11350000</v>
      </c>
      <c r="N48" s="70">
        <v>28480000</v>
      </c>
      <c r="O48" s="70">
        <v>30450000</v>
      </c>
      <c r="P48" s="70">
        <v>31470000</v>
      </c>
      <c r="Q48" s="70">
        <v>33290000</v>
      </c>
      <c r="R48" s="70">
        <v>122468600</v>
      </c>
      <c r="S48" s="70">
        <v>118500000</v>
      </c>
    </row>
    <row r="49" spans="1:19" x14ac:dyDescent="0.25">
      <c r="A49" s="69" t="s">
        <v>742</v>
      </c>
      <c r="B49" s="70">
        <v>3885000</v>
      </c>
      <c r="C49" s="70">
        <v>3982000</v>
      </c>
      <c r="D49" s="70">
        <v>4095000</v>
      </c>
      <c r="E49" s="70">
        <v>4166000</v>
      </c>
      <c r="F49" s="70">
        <v>4263000</v>
      </c>
      <c r="G49" s="70">
        <v>4360000</v>
      </c>
      <c r="H49" s="70">
        <v>4284000</v>
      </c>
      <c r="I49" s="70">
        <v>4431000</v>
      </c>
      <c r="J49" s="70">
        <v>4502000</v>
      </c>
      <c r="K49" s="70">
        <v>4574000</v>
      </c>
      <c r="L49" s="70">
        <v>4641000</v>
      </c>
      <c r="M49" s="70">
        <v>4767000</v>
      </c>
      <c r="N49" s="70">
        <v>11962000</v>
      </c>
      <c r="O49" s="70">
        <v>12789000</v>
      </c>
      <c r="P49" s="70">
        <v>13217000</v>
      </c>
      <c r="Q49" s="70">
        <v>13982000</v>
      </c>
      <c r="R49" s="70">
        <v>51458000</v>
      </c>
      <c r="S49" s="70">
        <v>49800000</v>
      </c>
    </row>
    <row r="50" spans="1:19" x14ac:dyDescent="0.25">
      <c r="A50" s="69" t="s">
        <v>750</v>
      </c>
      <c r="B50" s="70">
        <v>5365000</v>
      </c>
      <c r="C50" s="70">
        <v>5498000</v>
      </c>
      <c r="D50" s="70">
        <v>5655000</v>
      </c>
      <c r="E50" s="70">
        <v>5754000</v>
      </c>
      <c r="F50" s="70">
        <v>5887000</v>
      </c>
      <c r="G50" s="70">
        <v>6020000</v>
      </c>
      <c r="H50" s="70">
        <v>5916000</v>
      </c>
      <c r="I50" s="70">
        <v>6119000</v>
      </c>
      <c r="J50" s="70">
        <v>6218000</v>
      </c>
      <c r="K50" s="70">
        <v>6316000</v>
      </c>
      <c r="L50" s="70">
        <v>6409000</v>
      </c>
      <c r="M50" s="70">
        <v>6583000</v>
      </c>
      <c r="N50" s="70">
        <v>16518000</v>
      </c>
      <c r="O50" s="70">
        <v>17661000</v>
      </c>
      <c r="P50" s="70">
        <v>18253000</v>
      </c>
      <c r="Q50" s="70">
        <v>19308000</v>
      </c>
      <c r="R50" s="70">
        <v>71010600</v>
      </c>
      <c r="S50" s="70">
        <v>68700000</v>
      </c>
    </row>
    <row r="51" spans="1:19" x14ac:dyDescent="0.25">
      <c r="A51" s="69" t="s">
        <v>751</v>
      </c>
      <c r="B51" s="70">
        <v>3200000</v>
      </c>
      <c r="C51" s="70">
        <v>3250000</v>
      </c>
      <c r="D51" s="70">
        <v>3310000</v>
      </c>
      <c r="E51" s="70">
        <v>3280000</v>
      </c>
      <c r="F51" s="70">
        <v>3350000</v>
      </c>
      <c r="G51" s="70">
        <v>3420000</v>
      </c>
      <c r="H51" s="70">
        <v>3390000</v>
      </c>
      <c r="I51" s="70">
        <v>3460000</v>
      </c>
      <c r="J51" s="70">
        <v>3500000</v>
      </c>
      <c r="K51" s="70">
        <v>3540000</v>
      </c>
      <c r="L51" s="70">
        <v>3580000</v>
      </c>
      <c r="M51" s="70">
        <v>3650000</v>
      </c>
      <c r="N51" s="70">
        <v>9760000</v>
      </c>
      <c r="O51" s="70">
        <v>10050000</v>
      </c>
      <c r="P51" s="70">
        <v>10350000</v>
      </c>
      <c r="Q51" s="70">
        <v>10770000</v>
      </c>
      <c r="R51" s="70">
        <v>40930000</v>
      </c>
      <c r="S51" s="70">
        <v>42000000</v>
      </c>
    </row>
    <row r="52" spans="1:19" x14ac:dyDescent="0.25">
      <c r="A52" s="71" t="s">
        <v>752</v>
      </c>
      <c r="B52" s="72">
        <v>2165000</v>
      </c>
      <c r="C52" s="72">
        <v>2248000</v>
      </c>
      <c r="D52" s="72">
        <v>2345000</v>
      </c>
      <c r="E52" s="72">
        <v>2474000</v>
      </c>
      <c r="F52" s="72">
        <v>2537000</v>
      </c>
      <c r="G52" s="72">
        <v>2600000</v>
      </c>
      <c r="H52" s="72">
        <v>2526000</v>
      </c>
      <c r="I52" s="72">
        <v>2659000</v>
      </c>
      <c r="J52" s="72">
        <v>2718000</v>
      </c>
      <c r="K52" s="72">
        <v>2776000</v>
      </c>
      <c r="L52" s="72">
        <v>2829000</v>
      </c>
      <c r="M52" s="72">
        <v>2933000</v>
      </c>
      <c r="N52" s="72">
        <v>6758000</v>
      </c>
      <c r="O52" s="72">
        <v>7611000</v>
      </c>
      <c r="P52" s="72">
        <v>7903000</v>
      </c>
      <c r="Q52" s="72">
        <v>8538000</v>
      </c>
      <c r="R52" s="72">
        <v>30080600</v>
      </c>
      <c r="S52" s="72">
        <v>26700000</v>
      </c>
    </row>
  </sheetData>
  <pageMargins left="0.75" right="0.75" top="1" bottom="1" header="0.511811023622047" footer="0.511811023622047"/>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1F4E79"/>
  </sheetPr>
  <dimension ref="A1:R80"/>
  <sheetViews>
    <sheetView showGridLines="0" zoomScaleNormal="100" workbookViewId="0">
      <pane ySplit="4" topLeftCell="A5" activePane="bottomLeft" state="frozen"/>
      <selection activeCell="A3" sqref="A3:H3"/>
      <selection pane="bottomLeft" activeCell="A3" sqref="A3:H3"/>
    </sheetView>
  </sheetViews>
  <sheetFormatPr defaultColWidth="8.5703125" defaultRowHeight="15" x14ac:dyDescent="0.25"/>
  <cols>
    <col min="1" max="1" width="38" customWidth="1"/>
    <col min="2" max="18" width="22" customWidth="1"/>
  </cols>
  <sheetData>
    <row r="1" spans="1:18" ht="15.6" customHeight="1" x14ac:dyDescent="0.25">
      <c r="A1" s="9" t="s">
        <v>561</v>
      </c>
      <c r="R1" s="10" t="s">
        <v>562</v>
      </c>
    </row>
    <row r="2" spans="1:18" ht="15.75" customHeight="1" x14ac:dyDescent="0.25">
      <c r="A2" s="11" t="s">
        <v>753</v>
      </c>
    </row>
    <row r="4" spans="1:18" x14ac:dyDescent="0.25">
      <c r="A4" s="1" t="s">
        <v>734</v>
      </c>
      <c r="B4" s="2" t="s">
        <v>699</v>
      </c>
      <c r="C4" s="2" t="s">
        <v>700</v>
      </c>
      <c r="D4" s="2" t="s">
        <v>701</v>
      </c>
      <c r="E4" s="2" t="s">
        <v>702</v>
      </c>
      <c r="F4" s="2" t="s">
        <v>703</v>
      </c>
      <c r="G4" s="2" t="s">
        <v>704</v>
      </c>
      <c r="H4" s="2" t="s">
        <v>705</v>
      </c>
      <c r="I4" s="2" t="s">
        <v>706</v>
      </c>
      <c r="J4" s="2" t="s">
        <v>707</v>
      </c>
      <c r="K4" s="2" t="s">
        <v>708</v>
      </c>
      <c r="L4" s="2" t="s">
        <v>709</v>
      </c>
      <c r="M4" s="2" t="s">
        <v>710</v>
      </c>
      <c r="N4" s="2" t="s">
        <v>735</v>
      </c>
      <c r="O4" s="2" t="s">
        <v>736</v>
      </c>
      <c r="P4" s="2" t="s">
        <v>737</v>
      </c>
      <c r="Q4" s="2" t="s">
        <v>738</v>
      </c>
      <c r="R4" s="2" t="s">
        <v>739</v>
      </c>
    </row>
    <row r="5" spans="1:18" x14ac:dyDescent="0.25">
      <c r="A5" s="12" t="s">
        <v>754</v>
      </c>
      <c r="B5" s="12"/>
      <c r="C5" s="12"/>
      <c r="D5" s="12"/>
      <c r="E5" s="12"/>
      <c r="F5" s="12"/>
      <c r="G5" s="12"/>
      <c r="H5" s="12"/>
      <c r="I5" s="12"/>
      <c r="J5" s="12"/>
      <c r="K5" s="12"/>
      <c r="L5" s="12"/>
      <c r="M5" s="12"/>
      <c r="N5" s="12"/>
      <c r="O5" s="12"/>
      <c r="P5" s="12"/>
      <c r="Q5" s="12"/>
      <c r="R5" s="12"/>
    </row>
    <row r="6" spans="1:18" x14ac:dyDescent="0.25">
      <c r="A6" s="18"/>
      <c r="B6" s="18"/>
      <c r="C6" s="18"/>
      <c r="D6" s="18"/>
      <c r="E6" s="18"/>
      <c r="F6" s="18"/>
      <c r="G6" s="18"/>
      <c r="H6" s="18"/>
      <c r="I6" s="18"/>
      <c r="J6" s="18"/>
      <c r="K6" s="18"/>
      <c r="L6" s="18"/>
      <c r="M6" s="18"/>
      <c r="N6" s="18"/>
      <c r="O6" s="18"/>
      <c r="P6" s="18"/>
      <c r="Q6" s="18"/>
      <c r="R6" s="18"/>
    </row>
    <row r="7" spans="1:18" x14ac:dyDescent="0.25">
      <c r="A7" s="12" t="s">
        <v>25</v>
      </c>
      <c r="B7" s="12"/>
      <c r="C7" s="12"/>
      <c r="D7" s="12"/>
      <c r="E7" s="12"/>
      <c r="F7" s="12"/>
      <c r="G7" s="12"/>
      <c r="H7" s="12"/>
      <c r="I7" s="12"/>
      <c r="J7" s="12"/>
      <c r="K7" s="12"/>
      <c r="L7" s="12"/>
      <c r="M7" s="12"/>
      <c r="N7" s="12"/>
      <c r="O7" s="12"/>
      <c r="P7" s="12"/>
      <c r="Q7" s="12"/>
      <c r="R7" s="12"/>
    </row>
    <row r="8" spans="1:18" x14ac:dyDescent="0.25">
      <c r="A8" s="21" t="s">
        <v>602</v>
      </c>
      <c r="B8" s="25">
        <f>'Functional P&amp;L - Monthly Trend'!B11</f>
        <v>5368.51</v>
      </c>
      <c r="C8" s="25">
        <f>'Functional P&amp;L - Monthly Trend'!C11</f>
        <v>5486.35</v>
      </c>
      <c r="D8" s="25">
        <f>'Functional P&amp;L - Monthly Trend'!D11</f>
        <v>5756.57</v>
      </c>
      <c r="E8" s="25">
        <f>'Functional P&amp;L - Monthly Trend'!E11</f>
        <v>5657.28</v>
      </c>
      <c r="F8" s="25">
        <f>'Functional P&amp;L - Monthly Trend'!F11</f>
        <v>5682.14</v>
      </c>
      <c r="G8" s="25">
        <f>'Functional P&amp;L - Monthly Trend'!G11</f>
        <v>5904.8</v>
      </c>
      <c r="H8" s="25">
        <f>'Functional P&amp;L - Monthly Trend'!H11</f>
        <v>5870.32</v>
      </c>
      <c r="I8" s="25">
        <f>'Functional P&amp;L - Monthly Trend'!I11</f>
        <v>6118.46</v>
      </c>
      <c r="J8" s="25">
        <f>'Functional P&amp;L - Monthly Trend'!J11</f>
        <v>6180.1399999999994</v>
      </c>
      <c r="K8" s="25">
        <f>'Functional P&amp;L - Monthly Trend'!K11</f>
        <v>6698.01</v>
      </c>
      <c r="L8" s="25">
        <f>'Functional P&amp;L - Monthly Trend'!L11</f>
        <v>6624.03</v>
      </c>
      <c r="M8" s="25">
        <f>'Functional P&amp;L - Monthly Trend'!M11</f>
        <v>6712.7500000000009</v>
      </c>
      <c r="N8" s="25">
        <f>'Functional P&amp;L - Monthly Trend'!N11</f>
        <v>16611.43</v>
      </c>
      <c r="O8" s="25">
        <f>'Functional P&amp;L - Monthly Trend'!O11</f>
        <v>17244.22</v>
      </c>
      <c r="P8" s="25">
        <f>'Functional P&amp;L - Monthly Trend'!P11</f>
        <v>18168.919999999998</v>
      </c>
      <c r="Q8" s="25">
        <f>'Functional P&amp;L - Monthly Trend'!Q11</f>
        <v>20034.79</v>
      </c>
      <c r="R8" s="25">
        <f>'Functional P&amp;L - Monthly Trend'!R11</f>
        <v>72059.360000000001</v>
      </c>
    </row>
    <row r="9" spans="1:18" x14ac:dyDescent="0.25">
      <c r="A9" s="3" t="s">
        <v>742</v>
      </c>
      <c r="B9" s="4">
        <f>'Functional P&amp;L - Monthly Trend'!B21</f>
        <v>1448.8999999999996</v>
      </c>
      <c r="C9" s="4">
        <f>'Functional P&amp;L - Monthly Trend'!C21</f>
        <v>1536.0800000000002</v>
      </c>
      <c r="D9" s="4">
        <f>'Functional P&amp;L - Monthly Trend'!D21</f>
        <v>1632.9499999999998</v>
      </c>
      <c r="E9" s="4">
        <f>'Functional P&amp;L - Monthly Trend'!E21</f>
        <v>1455.6999999999998</v>
      </c>
      <c r="F9" s="4">
        <f>'Functional P&amp;L - Monthly Trend'!F21</f>
        <v>1589.12</v>
      </c>
      <c r="G9" s="4">
        <f>'Functional P&amp;L - Monthly Trend'!G21</f>
        <v>1732.4299999999998</v>
      </c>
      <c r="H9" s="4">
        <f>'Functional P&amp;L - Monthly Trend'!H21</f>
        <v>1582.57</v>
      </c>
      <c r="I9" s="4">
        <f>'Functional P&amp;L - Monthly Trend'!I21</f>
        <v>1706.45</v>
      </c>
      <c r="J9" s="4">
        <f>'Functional P&amp;L - Monthly Trend'!J21</f>
        <v>1781.7500000000002</v>
      </c>
      <c r="K9" s="4">
        <f>'Functional P&amp;L - Monthly Trend'!K21</f>
        <v>1853.5900000000001</v>
      </c>
      <c r="L9" s="4">
        <f>'Functional P&amp;L - Monthly Trend'!L21</f>
        <v>1801.82</v>
      </c>
      <c r="M9" s="4">
        <f>'Functional P&amp;L - Monthly Trend'!M21</f>
        <v>2034.3899999999999</v>
      </c>
      <c r="N9" s="4">
        <f>'Functional P&amp;L - Monthly Trend'!N21</f>
        <v>4617.9299999999994</v>
      </c>
      <c r="O9" s="4">
        <f>'Functional P&amp;L - Monthly Trend'!O21</f>
        <v>4777.25</v>
      </c>
      <c r="P9" s="4">
        <f>'Functional P&amp;L - Monthly Trend'!P21</f>
        <v>5070.7700000000004</v>
      </c>
      <c r="Q9" s="4">
        <f>'Functional P&amp;L - Monthly Trend'!Q21</f>
        <v>5689.7999999999993</v>
      </c>
      <c r="R9" s="4">
        <f>'Functional P&amp;L - Monthly Trend'!R21</f>
        <v>20155.75</v>
      </c>
    </row>
    <row r="10" spans="1:18" x14ac:dyDescent="0.25">
      <c r="A10" s="21" t="s">
        <v>743</v>
      </c>
      <c r="B10" s="25">
        <f>'Functional P&amp;L - Monthly Trend'!B25</f>
        <v>2909.5100000000007</v>
      </c>
      <c r="C10" s="25">
        <f>'Functional P&amp;L - Monthly Trend'!C25</f>
        <v>3069.52</v>
      </c>
      <c r="D10" s="25">
        <f>'Functional P&amp;L - Monthly Trend'!D25</f>
        <v>3219</v>
      </c>
      <c r="E10" s="25">
        <f>'Functional P&amp;L - Monthly Trend'!E25</f>
        <v>3156.0000000000005</v>
      </c>
      <c r="F10" s="25">
        <f>'Functional P&amp;L - Monthly Trend'!F25</f>
        <v>3095.4700000000003</v>
      </c>
      <c r="G10" s="25">
        <f>'Functional P&amp;L - Monthly Trend'!G25</f>
        <v>3250.55</v>
      </c>
      <c r="H10" s="25">
        <f>'Functional P&amp;L - Monthly Trend'!H25</f>
        <v>3280.5500000000006</v>
      </c>
      <c r="I10" s="25">
        <f>'Functional P&amp;L - Monthly Trend'!I25</f>
        <v>3364.44</v>
      </c>
      <c r="J10" s="25">
        <f>'Functional P&amp;L - Monthly Trend'!J25</f>
        <v>3391.2400000000002</v>
      </c>
      <c r="K10" s="25">
        <f>'Functional P&amp;L - Monthly Trend'!K25</f>
        <v>3590.79</v>
      </c>
      <c r="L10" s="25">
        <f>'Functional P&amp;L - Monthly Trend'!L25</f>
        <v>3608.25</v>
      </c>
      <c r="M10" s="25">
        <f>'Functional P&amp;L - Monthly Trend'!M25</f>
        <v>3655.8900000000003</v>
      </c>
      <c r="N10" s="25">
        <f>'Functional P&amp;L - Monthly Trend'!N25</f>
        <v>9198.0300000000007</v>
      </c>
      <c r="O10" s="25">
        <f>'Functional P&amp;L - Monthly Trend'!O25</f>
        <v>9502.02</v>
      </c>
      <c r="P10" s="25">
        <f>'Functional P&amp;L - Monthly Trend'!P25</f>
        <v>10036.230000000001</v>
      </c>
      <c r="Q10" s="25">
        <f>'Functional P&amp;L - Monthly Trend'!Q25</f>
        <v>10854.93</v>
      </c>
      <c r="R10" s="25">
        <f>'Functional P&amp;L - Monthly Trend'!R25</f>
        <v>39591.21</v>
      </c>
    </row>
    <row r="11" spans="1:18" x14ac:dyDescent="0.25">
      <c r="A11" s="5" t="s">
        <v>744</v>
      </c>
      <c r="B11" s="14">
        <f>'Functional P&amp;L - Monthly Trend'!B30</f>
        <v>0.5419585695099759</v>
      </c>
      <c r="C11" s="14">
        <f>'Functional P&amp;L - Monthly Trend'!C30</f>
        <v>0.55948308073673747</v>
      </c>
      <c r="D11" s="14">
        <f>'Functional P&amp;L - Monthly Trend'!D30</f>
        <v>0.5591871548508921</v>
      </c>
      <c r="E11" s="14">
        <f>'Functional P&amp;L - Monthly Trend'!E30</f>
        <v>0.5578652638723911</v>
      </c>
      <c r="F11" s="14">
        <f>'Functional P&amp;L - Monthly Trend'!F30</f>
        <v>0.54477186412161616</v>
      </c>
      <c r="G11" s="14">
        <f>'Functional P&amp;L - Monthly Trend'!G30</f>
        <v>0.55049281940116512</v>
      </c>
      <c r="H11" s="14">
        <f>'Functional P&amp;L - Monthly Trend'!H30</f>
        <v>0.55883665626405388</v>
      </c>
      <c r="I11" s="14">
        <f>'Functional P&amp;L - Monthly Trend'!I30</f>
        <v>0.5498834674084655</v>
      </c>
      <c r="J11" s="14">
        <f>'Functional P&amp;L - Monthly Trend'!J30</f>
        <v>0.54873190574970798</v>
      </c>
      <c r="K11" s="14">
        <f>'Functional P&amp;L - Monthly Trend'!K30</f>
        <v>0.53609803508803355</v>
      </c>
      <c r="L11" s="14">
        <f>'Functional P&amp;L - Monthly Trend'!L30</f>
        <v>0.54472126484934402</v>
      </c>
      <c r="M11" s="14">
        <f>'Functional P&amp;L - Monthly Trend'!M30</f>
        <v>0.54461882239022752</v>
      </c>
      <c r="N11" s="14">
        <f>'Functional P&amp;L - Monthly Trend'!N30</f>
        <v>0.55371692864491495</v>
      </c>
      <c r="O11" s="14">
        <f>'Functional P&amp;L - Monthly Trend'!O30</f>
        <v>0.55102637289480183</v>
      </c>
      <c r="P11" s="14">
        <f>'Functional P&amp;L - Monthly Trend'!P30</f>
        <v>0.55238451157250967</v>
      </c>
      <c r="Q11" s="14">
        <f>'Functional P&amp;L - Monthly Trend'!Q30</f>
        <v>0.54180403188653337</v>
      </c>
      <c r="R11" s="14">
        <f>'Functional P&amp;L - Monthly Trend'!R30</f>
        <v>0.54942494632203231</v>
      </c>
    </row>
    <row r="12" spans="1:18" x14ac:dyDescent="0.25">
      <c r="A12" s="3" t="s">
        <v>745</v>
      </c>
      <c r="B12" s="4">
        <f>'Functional P&amp;L - Monthly Trend'!B38</f>
        <v>2289.2900000000009</v>
      </c>
      <c r="C12" s="4">
        <f>'Functional P&amp;L - Monthly Trend'!C38</f>
        <v>2507.1899999999996</v>
      </c>
      <c r="D12" s="4">
        <f>'Functional P&amp;L - Monthly Trend'!D38</f>
        <v>2566.7200000000003</v>
      </c>
      <c r="E12" s="4">
        <f>'Functional P&amp;L - Monthly Trend'!E38</f>
        <v>2526.2800000000002</v>
      </c>
      <c r="F12" s="4">
        <f>'Functional P&amp;L - Monthly Trend'!F38</f>
        <v>2500.04</v>
      </c>
      <c r="G12" s="4">
        <f>'Functional P&amp;L - Monthly Trend'!G38</f>
        <v>2584.8300000000004</v>
      </c>
      <c r="H12" s="4">
        <f>'Functional P&amp;L - Monthly Trend'!H38</f>
        <v>2642.0500000000006</v>
      </c>
      <c r="I12" s="4">
        <f>'Functional P&amp;L - Monthly Trend'!I38</f>
        <v>2708.1600000000003</v>
      </c>
      <c r="J12" s="4">
        <f>'Functional P&amp;L - Monthly Trend'!J38</f>
        <v>2736.01</v>
      </c>
      <c r="K12" s="4">
        <f>'Functional P&amp;L - Monthly Trend'!K38</f>
        <v>2846.7799999999997</v>
      </c>
      <c r="L12" s="4">
        <f>'Functional P&amp;L - Monthly Trend'!L38</f>
        <v>2895.34</v>
      </c>
      <c r="M12" s="4">
        <f>'Functional P&amp;L - Monthly Trend'!M38</f>
        <v>2898.17</v>
      </c>
      <c r="N12" s="4">
        <f>'Functional P&amp;L - Monthly Trend'!N38</f>
        <v>7363.2000000000007</v>
      </c>
      <c r="O12" s="4">
        <f>'Functional P&amp;L - Monthly Trend'!O38</f>
        <v>7611.15</v>
      </c>
      <c r="P12" s="4">
        <f>'Functional P&amp;L - Monthly Trend'!P38</f>
        <v>8086.2200000000012</v>
      </c>
      <c r="Q12" s="4">
        <f>'Functional P&amp;L - Monthly Trend'!Q38</f>
        <v>8640.2900000000009</v>
      </c>
      <c r="R12" s="4">
        <f>'Functional P&amp;L - Monthly Trend'!R38</f>
        <v>31700.86</v>
      </c>
    </row>
    <row r="13" spans="1:18" x14ac:dyDescent="0.25">
      <c r="A13" s="5" t="s">
        <v>746</v>
      </c>
      <c r="B13" s="14">
        <f>'Functional P&amp;L - Monthly Trend'!B39</f>
        <v>0.42642930720069455</v>
      </c>
      <c r="C13" s="14">
        <f>'Functional P&amp;L - Monthly Trend'!C39</f>
        <v>0.45698688563434697</v>
      </c>
      <c r="D13" s="14">
        <f>'Functional P&amp;L - Monthly Trend'!D39</f>
        <v>0.44587662444823922</v>
      </c>
      <c r="E13" s="14">
        <f>'Functional P&amp;L - Monthly Trend'!E39</f>
        <v>0.44655382091747275</v>
      </c>
      <c r="F13" s="14">
        <f>'Functional P&amp;L - Monthly Trend'!F39</f>
        <v>0.43998211941275644</v>
      </c>
      <c r="G13" s="14">
        <f>'Functional P&amp;L - Monthly Trend'!G39</f>
        <v>0.43775064354423526</v>
      </c>
      <c r="H13" s="14">
        <f>'Functional P&amp;L - Monthly Trend'!H39</f>
        <v>0.45006916147671688</v>
      </c>
      <c r="I13" s="14">
        <f>'Functional P&amp;L - Monthly Trend'!I39</f>
        <v>0.44262118245440851</v>
      </c>
      <c r="J13" s="14">
        <f>'Functional P&amp;L - Monthly Trend'!J39</f>
        <v>0.44271003569498435</v>
      </c>
      <c r="K13" s="14">
        <f>'Functional P&amp;L - Monthly Trend'!K39</f>
        <v>0.42501877423294376</v>
      </c>
      <c r="L13" s="14">
        <f>'Functional P&amp;L - Monthly Trend'!L39</f>
        <v>0.43709645034820194</v>
      </c>
      <c r="M13" s="14">
        <f>'Functional P&amp;L - Monthly Trend'!M39</f>
        <v>0.43174108971732894</v>
      </c>
      <c r="N13" s="14">
        <f>'Functional P&amp;L - Monthly Trend'!N39</f>
        <v>0.44326105579110292</v>
      </c>
      <c r="O13" s="14">
        <f>'Functional P&amp;L - Monthly Trend'!O39</f>
        <v>0.44137397922318311</v>
      </c>
      <c r="P13" s="14">
        <f>'Functional P&amp;L - Monthly Trend'!P39</f>
        <v>0.44505782402036015</v>
      </c>
      <c r="Q13" s="14">
        <f>'Functional P&amp;L - Monthly Trend'!Q39</f>
        <v>0.43126431572280022</v>
      </c>
      <c r="R13" s="14">
        <f>'Functional P&amp;L - Monthly Trend'!R39</f>
        <v>0.4399270268289921</v>
      </c>
    </row>
    <row r="14" spans="1:18" x14ac:dyDescent="0.25">
      <c r="A14" s="18"/>
      <c r="B14" s="18"/>
      <c r="C14" s="18"/>
      <c r="D14" s="18"/>
      <c r="E14" s="18"/>
      <c r="F14" s="18"/>
      <c r="G14" s="18"/>
      <c r="H14" s="18"/>
      <c r="I14" s="18"/>
      <c r="J14" s="18"/>
      <c r="K14" s="18"/>
      <c r="L14" s="18"/>
      <c r="M14" s="18"/>
      <c r="N14" s="18"/>
      <c r="O14" s="18"/>
      <c r="P14" s="18"/>
      <c r="Q14" s="18"/>
      <c r="R14" s="18"/>
    </row>
    <row r="15" spans="1:18" x14ac:dyDescent="0.25">
      <c r="A15" s="12" t="s">
        <v>36</v>
      </c>
      <c r="B15" s="12"/>
      <c r="C15" s="12"/>
      <c r="D15" s="12"/>
      <c r="E15" s="12"/>
      <c r="F15" s="12"/>
      <c r="G15" s="12"/>
      <c r="H15" s="12"/>
      <c r="I15" s="12"/>
      <c r="J15" s="12"/>
      <c r="K15" s="12"/>
      <c r="L15" s="12"/>
      <c r="M15" s="12"/>
      <c r="N15" s="12"/>
      <c r="O15" s="12"/>
      <c r="P15" s="12"/>
      <c r="Q15" s="12"/>
      <c r="R15" s="12"/>
    </row>
    <row r="16" spans="1:18" x14ac:dyDescent="0.25">
      <c r="A16" s="21" t="s">
        <v>602</v>
      </c>
      <c r="B16" s="25">
        <f>'Functional P&amp;L - Monthly Trend'!B47</f>
        <v>2644.98</v>
      </c>
      <c r="C16" s="25">
        <f>'Functional P&amp;L - Monthly Trend'!C47</f>
        <v>2697.4700000000003</v>
      </c>
      <c r="D16" s="25">
        <f>'Functional P&amp;L - Monthly Trend'!D47</f>
        <v>2699.1</v>
      </c>
      <c r="E16" s="25">
        <f>'Functional P&amp;L - Monthly Trend'!E47</f>
        <v>2723</v>
      </c>
      <c r="F16" s="25">
        <f>'Functional P&amp;L - Monthly Trend'!F47</f>
        <v>2815.92</v>
      </c>
      <c r="G16" s="25">
        <f>'Functional P&amp;L - Monthly Trend'!G47</f>
        <v>2862.55</v>
      </c>
      <c r="H16" s="25">
        <f>'Functional P&amp;L - Monthly Trend'!H47</f>
        <v>2875.4300000000003</v>
      </c>
      <c r="I16" s="25">
        <f>'Functional P&amp;L - Monthly Trend'!I47</f>
        <v>2819.3399999999997</v>
      </c>
      <c r="J16" s="25">
        <f>'Functional P&amp;L - Monthly Trend'!J47</f>
        <v>2844.73</v>
      </c>
      <c r="K16" s="25">
        <f>'Functional P&amp;L - Monthly Trend'!K47</f>
        <v>3068.73</v>
      </c>
      <c r="L16" s="25">
        <f>'Functional P&amp;L - Monthly Trend'!L47</f>
        <v>3164.49</v>
      </c>
      <c r="M16" s="25">
        <f>'Functional P&amp;L - Monthly Trend'!M47</f>
        <v>3267.7299999999996</v>
      </c>
      <c r="N16" s="25">
        <f>'Functional P&amp;L - Monthly Trend'!N47</f>
        <v>8041.5500000000011</v>
      </c>
      <c r="O16" s="25">
        <f>'Functional P&amp;L - Monthly Trend'!O47</f>
        <v>8401.4700000000012</v>
      </c>
      <c r="P16" s="25">
        <f>'Functional P&amp;L - Monthly Trend'!P47</f>
        <v>8539.5</v>
      </c>
      <c r="Q16" s="25">
        <f>'Functional P&amp;L - Monthly Trend'!Q47</f>
        <v>9500.9499999999989</v>
      </c>
      <c r="R16" s="25">
        <f>'Functional P&amp;L - Monthly Trend'!R47</f>
        <v>34483.47</v>
      </c>
    </row>
    <row r="17" spans="1:18" x14ac:dyDescent="0.25">
      <c r="A17" s="3" t="s">
        <v>742</v>
      </c>
      <c r="B17" s="4">
        <f>'Functional P&amp;L - Monthly Trend'!B57</f>
        <v>308.62999999999994</v>
      </c>
      <c r="C17" s="4">
        <f>'Functional P&amp;L - Monthly Trend'!C57</f>
        <v>368.32000000000005</v>
      </c>
      <c r="D17" s="4">
        <f>'Functional P&amp;L - Monthly Trend'!D57</f>
        <v>364.75</v>
      </c>
      <c r="E17" s="4">
        <f>'Functional P&amp;L - Monthly Trend'!E57</f>
        <v>365.57999999999993</v>
      </c>
      <c r="F17" s="4">
        <f>'Functional P&amp;L - Monthly Trend'!F57</f>
        <v>377.05</v>
      </c>
      <c r="G17" s="4">
        <f>'Functional P&amp;L - Monthly Trend'!G57</f>
        <v>361.73</v>
      </c>
      <c r="H17" s="4">
        <f>'Functional P&amp;L - Monthly Trend'!H57</f>
        <v>385.41</v>
      </c>
      <c r="I17" s="4">
        <f>'Functional P&amp;L - Monthly Trend'!I57</f>
        <v>356.31000000000006</v>
      </c>
      <c r="J17" s="4">
        <f>'Functional P&amp;L - Monthly Trend'!J57</f>
        <v>403.84</v>
      </c>
      <c r="K17" s="4">
        <f>'Functional P&amp;L - Monthly Trend'!K57</f>
        <v>380.76</v>
      </c>
      <c r="L17" s="4">
        <f>'Functional P&amp;L - Monthly Trend'!L57</f>
        <v>425.51</v>
      </c>
      <c r="M17" s="4">
        <f>'Functional P&amp;L - Monthly Trend'!M57</f>
        <v>455.56</v>
      </c>
      <c r="N17" s="4">
        <f>'Functional P&amp;L - Monthly Trend'!N57</f>
        <v>1041.7</v>
      </c>
      <c r="O17" s="4">
        <f>'Functional P&amp;L - Monthly Trend'!O57</f>
        <v>1104.3599999999999</v>
      </c>
      <c r="P17" s="4">
        <f>'Functional P&amp;L - Monthly Trend'!P57</f>
        <v>1145.56</v>
      </c>
      <c r="Q17" s="4">
        <f>'Functional P&amp;L - Monthly Trend'!Q57</f>
        <v>1261.83</v>
      </c>
      <c r="R17" s="4">
        <f>'Functional P&amp;L - Monthly Trend'!R57</f>
        <v>4553.4500000000007</v>
      </c>
    </row>
    <row r="18" spans="1:18" x14ac:dyDescent="0.25">
      <c r="A18" s="21" t="s">
        <v>743</v>
      </c>
      <c r="B18" s="25">
        <f>'Functional P&amp;L - Monthly Trend'!B61</f>
        <v>1839.42</v>
      </c>
      <c r="C18" s="25">
        <f>'Functional P&amp;L - Monthly Trend'!C61</f>
        <v>1872.0900000000001</v>
      </c>
      <c r="D18" s="25">
        <f>'Functional P&amp;L - Monthly Trend'!D61</f>
        <v>1847.37</v>
      </c>
      <c r="E18" s="25">
        <f>'Functional P&amp;L - Monthly Trend'!E61</f>
        <v>1934.99</v>
      </c>
      <c r="F18" s="25">
        <f>'Functional P&amp;L - Monthly Trend'!F61</f>
        <v>1954.55</v>
      </c>
      <c r="G18" s="25">
        <f>'Functional P&amp;L - Monthly Trend'!G61</f>
        <v>1971.54</v>
      </c>
      <c r="H18" s="25">
        <f>'Functional P&amp;L - Monthly Trend'!H61</f>
        <v>2034.35</v>
      </c>
      <c r="I18" s="25">
        <f>'Functional P&amp;L - Monthly Trend'!I61</f>
        <v>1957.8099999999997</v>
      </c>
      <c r="J18" s="25">
        <f>'Functional P&amp;L - Monthly Trend'!J61</f>
        <v>1978.7100000000003</v>
      </c>
      <c r="K18" s="25">
        <f>'Functional P&amp;L - Monthly Trend'!K61</f>
        <v>2147.89</v>
      </c>
      <c r="L18" s="25">
        <f>'Functional P&amp;L - Monthly Trend'!L61</f>
        <v>2198.79</v>
      </c>
      <c r="M18" s="25">
        <f>'Functional P&amp;L - Monthly Trend'!M61</f>
        <v>2292.6400000000003</v>
      </c>
      <c r="N18" s="25">
        <f>'Functional P&amp;L - Monthly Trend'!N61</f>
        <v>5558.88</v>
      </c>
      <c r="O18" s="25">
        <f>'Functional P&amp;L - Monthly Trend'!O61</f>
        <v>5861.08</v>
      </c>
      <c r="P18" s="25">
        <f>'Functional P&amp;L - Monthly Trend'!P61</f>
        <v>5970.87</v>
      </c>
      <c r="Q18" s="25">
        <f>'Functional P&amp;L - Monthly Trend'!Q61</f>
        <v>6639.3200000000006</v>
      </c>
      <c r="R18" s="25">
        <f>'Functional P&amp;L - Monthly Trend'!R61</f>
        <v>24030.149999999998</v>
      </c>
    </row>
    <row r="19" spans="1:18" x14ac:dyDescent="0.25">
      <c r="A19" s="5" t="s">
        <v>744</v>
      </c>
      <c r="B19" s="14">
        <f>'Functional P&amp;L - Monthly Trend'!B66</f>
        <v>0.69543815076106441</v>
      </c>
      <c r="C19" s="14">
        <f>'Functional P&amp;L - Monthly Trend'!C66</f>
        <v>0.69401698628715058</v>
      </c>
      <c r="D19" s="14">
        <f>'Functional P&amp;L - Monthly Trend'!D66</f>
        <v>0.68443925753028789</v>
      </c>
      <c r="E19" s="14">
        <f>'Functional P&amp;L - Monthly Trend'!E66</f>
        <v>0.71060962174072717</v>
      </c>
      <c r="F19" s="14">
        <f>'Functional P&amp;L - Monthly Trend'!F66</f>
        <v>0.69410707690559392</v>
      </c>
      <c r="G19" s="14">
        <f>'Functional P&amp;L - Monthly Trend'!G66</f>
        <v>0.68873556793767787</v>
      </c>
      <c r="H19" s="14">
        <f>'Functional P&amp;L - Monthly Trend'!H66</f>
        <v>0.70749418347864479</v>
      </c>
      <c r="I19" s="14">
        <f>'Functional P&amp;L - Monthly Trend'!I66</f>
        <v>0.69442138940319365</v>
      </c>
      <c r="J19" s="14">
        <f>'Functional P&amp;L - Monthly Trend'!J66</f>
        <v>0.6955704056272477</v>
      </c>
      <c r="K19" s="14">
        <f>'Functional P&amp;L - Monthly Trend'!K66</f>
        <v>0.69992798323736527</v>
      </c>
      <c r="L19" s="14">
        <f>'Functional P&amp;L - Monthly Trend'!L66</f>
        <v>0.69483234265237059</v>
      </c>
      <c r="M19" s="14">
        <f>'Functional P&amp;L - Monthly Trend'!M66</f>
        <v>0.7016001934064322</v>
      </c>
      <c r="N19" s="14">
        <f>'Functional P&amp;L - Monthly Trend'!N66</f>
        <v>0.69126971790264302</v>
      </c>
      <c r="O19" s="14">
        <f>'Functional P&amp;L - Monthly Trend'!O66</f>
        <v>0.69762553457906762</v>
      </c>
      <c r="P19" s="14">
        <f>'Functional P&amp;L - Monthly Trend'!P66</f>
        <v>0.69920604250834362</v>
      </c>
      <c r="Q19" s="14">
        <f>'Functional P&amp;L - Monthly Trend'!Q66</f>
        <v>0.69880590888279603</v>
      </c>
      <c r="R19" s="14">
        <f>'Functional P&amp;L - Monthly Trend'!R66</f>
        <v>0.69685997377874087</v>
      </c>
    </row>
    <row r="20" spans="1:18" x14ac:dyDescent="0.25">
      <c r="A20" s="3" t="s">
        <v>745</v>
      </c>
      <c r="B20" s="4">
        <f>'Functional P&amp;L - Monthly Trend'!B74</f>
        <v>1655.21</v>
      </c>
      <c r="C20" s="4">
        <f>'Functional P&amp;L - Monthly Trend'!C74</f>
        <v>1683.18</v>
      </c>
      <c r="D20" s="4">
        <f>'Functional P&amp;L - Monthly Trend'!D74</f>
        <v>1663.74</v>
      </c>
      <c r="E20" s="4">
        <f>'Functional P&amp;L - Monthly Trend'!E74</f>
        <v>1749.7</v>
      </c>
      <c r="F20" s="4">
        <f>'Functional P&amp;L - Monthly Trend'!F74</f>
        <v>1752.14</v>
      </c>
      <c r="G20" s="4">
        <f>'Functional P&amp;L - Monthly Trend'!G74</f>
        <v>1772.5</v>
      </c>
      <c r="H20" s="4">
        <f>'Functional P&amp;L - Monthly Trend'!H74</f>
        <v>1831.6299999999999</v>
      </c>
      <c r="I20" s="4">
        <f>'Functional P&amp;L - Monthly Trend'!I74</f>
        <v>1762.3899999999996</v>
      </c>
      <c r="J20" s="4">
        <f>'Functional P&amp;L - Monthly Trend'!J74</f>
        <v>1786.9200000000003</v>
      </c>
      <c r="K20" s="4">
        <f>'Functional P&amp;L - Monthly Trend'!K74</f>
        <v>1934.04</v>
      </c>
      <c r="L20" s="4">
        <f>'Functional P&amp;L - Monthly Trend'!L74</f>
        <v>1990.27</v>
      </c>
      <c r="M20" s="4">
        <f>'Functional P&amp;L - Monthly Trend'!M74</f>
        <v>2070.1300000000006</v>
      </c>
      <c r="N20" s="4">
        <f>'Functional P&amp;L - Monthly Trend'!N74</f>
        <v>5002.13</v>
      </c>
      <c r="O20" s="4">
        <f>'Functional P&amp;L - Monthly Trend'!O74</f>
        <v>5274.34</v>
      </c>
      <c r="P20" s="4">
        <f>'Functional P&amp;L - Monthly Trend'!P74</f>
        <v>5380.94</v>
      </c>
      <c r="Q20" s="4">
        <f>'Functional P&amp;L - Monthly Trend'!Q74</f>
        <v>5994.4400000000005</v>
      </c>
      <c r="R20" s="4">
        <f>'Functional P&amp;L - Monthly Trend'!R74</f>
        <v>21651.85</v>
      </c>
    </row>
    <row r="21" spans="1:18" x14ac:dyDescent="0.25">
      <c r="A21" s="5" t="s">
        <v>746</v>
      </c>
      <c r="B21" s="14">
        <f>'Functional P&amp;L - Monthly Trend'!B75</f>
        <v>0.62579301166738499</v>
      </c>
      <c r="C21" s="14">
        <f>'Functional P&amp;L - Monthly Trend'!C75</f>
        <v>0.6239846967714191</v>
      </c>
      <c r="D21" s="14">
        <f>'Functional P&amp;L - Monthly Trend'!D75</f>
        <v>0.61640546848949651</v>
      </c>
      <c r="E21" s="14">
        <f>'Functional P&amp;L - Monthly Trend'!E75</f>
        <v>0.64256334924715386</v>
      </c>
      <c r="F21" s="14">
        <f>'Functional P&amp;L - Monthly Trend'!F75</f>
        <v>0.62222648370692346</v>
      </c>
      <c r="G21" s="14">
        <f>'Functional P&amp;L - Monthly Trend'!G75</f>
        <v>0.61920315802344061</v>
      </c>
      <c r="H21" s="14">
        <f>'Functional P&amp;L - Monthly Trend'!H75</f>
        <v>0.63699342359229738</v>
      </c>
      <c r="I21" s="14">
        <f>'Functional P&amp;L - Monthly Trend'!I75</f>
        <v>0.62510729461505166</v>
      </c>
      <c r="J21" s="14">
        <f>'Functional P&amp;L - Monthly Trend'!J75</f>
        <v>0.62815100202831209</v>
      </c>
      <c r="K21" s="14">
        <f>'Functional P&amp;L - Monthly Trend'!K75</f>
        <v>0.6302411746879002</v>
      </c>
      <c r="L21" s="14">
        <f>'Functional P&amp;L - Monthly Trend'!L75</f>
        <v>0.62893862834137571</v>
      </c>
      <c r="M21" s="14">
        <f>'Functional P&amp;L - Monthly Trend'!M75</f>
        <v>0.6335070522962426</v>
      </c>
      <c r="N21" s="14">
        <f>'Functional P&amp;L - Monthly Trend'!N75</f>
        <v>0.62203555284739875</v>
      </c>
      <c r="O21" s="14">
        <f>'Functional P&amp;L - Monthly Trend'!O75</f>
        <v>0.62778775619028571</v>
      </c>
      <c r="P21" s="14">
        <f>'Functional P&amp;L - Monthly Trend'!P75</f>
        <v>0.63012354353299371</v>
      </c>
      <c r="Q21" s="14">
        <f>'Functional P&amp;L - Monthly Trend'!Q75</f>
        <v>0.63093059115141126</v>
      </c>
      <c r="R21" s="14">
        <f>'Functional P&amp;L - Monthly Trend'!R75</f>
        <v>0.6278906966149288</v>
      </c>
    </row>
    <row r="22" spans="1:18" x14ac:dyDescent="0.25">
      <c r="A22" s="18"/>
      <c r="B22" s="18"/>
      <c r="C22" s="18"/>
      <c r="D22" s="18"/>
      <c r="E22" s="18"/>
      <c r="F22" s="18"/>
      <c r="G22" s="18"/>
      <c r="H22" s="18"/>
      <c r="I22" s="18"/>
      <c r="J22" s="18"/>
      <c r="K22" s="18"/>
      <c r="L22" s="18"/>
      <c r="M22" s="18"/>
      <c r="N22" s="18"/>
      <c r="O22" s="18"/>
      <c r="P22" s="18"/>
      <c r="Q22" s="18"/>
      <c r="R22" s="18"/>
    </row>
    <row r="23" spans="1:18" x14ac:dyDescent="0.25">
      <c r="A23" s="65" t="s">
        <v>755</v>
      </c>
      <c r="B23" s="12"/>
      <c r="C23" s="12"/>
      <c r="D23" s="12"/>
      <c r="E23" s="12"/>
      <c r="F23" s="12"/>
      <c r="G23" s="12"/>
      <c r="H23" s="12"/>
      <c r="I23" s="12"/>
      <c r="J23" s="12"/>
      <c r="K23" s="12"/>
      <c r="L23" s="12"/>
      <c r="M23" s="12"/>
      <c r="N23" s="12"/>
      <c r="O23" s="12"/>
      <c r="P23" s="12"/>
      <c r="Q23" s="12"/>
      <c r="R23" s="12"/>
    </row>
    <row r="24" spans="1:18" x14ac:dyDescent="0.25">
      <c r="A24" s="21" t="s">
        <v>602</v>
      </c>
      <c r="B24" s="25">
        <f>'Functional P&amp;L - Monthly Trend'!B83</f>
        <v>859.56999999999994</v>
      </c>
      <c r="C24" s="25">
        <f>'Functional P&amp;L - Monthly Trend'!C83</f>
        <v>872.37</v>
      </c>
      <c r="D24" s="25">
        <f>'Functional P&amp;L - Monthly Trend'!D83</f>
        <v>867.19</v>
      </c>
      <c r="E24" s="25">
        <f>'Functional P&amp;L - Monthly Trend'!E83</f>
        <v>903.7600000000001</v>
      </c>
      <c r="F24" s="25">
        <f>'Functional P&amp;L - Monthly Trend'!F83</f>
        <v>913.2700000000001</v>
      </c>
      <c r="G24" s="25">
        <f>'Functional P&amp;L - Monthly Trend'!G83</f>
        <v>934.31999999999994</v>
      </c>
      <c r="H24" s="25">
        <f>'Functional P&amp;L - Monthly Trend'!H83</f>
        <v>901.31000000000006</v>
      </c>
      <c r="I24" s="25">
        <f>'Functional P&amp;L - Monthly Trend'!I83</f>
        <v>927.18000000000006</v>
      </c>
      <c r="J24" s="25">
        <f>'Functional P&amp;L - Monthly Trend'!J83</f>
        <v>973.03</v>
      </c>
      <c r="K24" s="25">
        <f>'Functional P&amp;L - Monthly Trend'!K83</f>
        <v>1037.3599999999999</v>
      </c>
      <c r="L24" s="25">
        <f>'Functional P&amp;L - Monthly Trend'!L83</f>
        <v>1051.95</v>
      </c>
      <c r="M24" s="25">
        <f>'Functional P&amp;L - Monthly Trend'!M83</f>
        <v>1049.3</v>
      </c>
      <c r="N24" s="25">
        <f>'Functional P&amp;L - Monthly Trend'!N83</f>
        <v>2599.13</v>
      </c>
      <c r="O24" s="25">
        <f>'Functional P&amp;L - Monthly Trend'!O83</f>
        <v>2751.3500000000004</v>
      </c>
      <c r="P24" s="25">
        <f>'Functional P&amp;L - Monthly Trend'!P83</f>
        <v>2801.5200000000004</v>
      </c>
      <c r="Q24" s="25">
        <f>'Functional P&amp;L - Monthly Trend'!Q83</f>
        <v>3138.6099999999997</v>
      </c>
      <c r="R24" s="25">
        <f>'Functional P&amp;L - Monthly Trend'!R83</f>
        <v>11290.61</v>
      </c>
    </row>
    <row r="25" spans="1:18" x14ac:dyDescent="0.25">
      <c r="A25" s="3" t="s">
        <v>742</v>
      </c>
      <c r="B25" s="4">
        <f>'Functional P&amp;L - Monthly Trend'!B93</f>
        <v>313.95999999999998</v>
      </c>
      <c r="C25" s="4">
        <f>'Functional P&amp;L - Monthly Trend'!C93</f>
        <v>335.90999999999997</v>
      </c>
      <c r="D25" s="4">
        <f>'Functional P&amp;L - Monthly Trend'!D93</f>
        <v>316.36999999999995</v>
      </c>
      <c r="E25" s="4">
        <f>'Functional P&amp;L - Monthly Trend'!E93</f>
        <v>323.92</v>
      </c>
      <c r="F25" s="4">
        <f>'Functional P&amp;L - Monthly Trend'!F93</f>
        <v>338.73</v>
      </c>
      <c r="G25" s="4">
        <f>'Functional P&amp;L - Monthly Trend'!G93</f>
        <v>338.22</v>
      </c>
      <c r="H25" s="4">
        <f>'Functional P&amp;L - Monthly Trend'!H93</f>
        <v>338.86</v>
      </c>
      <c r="I25" s="4">
        <f>'Functional P&amp;L - Monthly Trend'!I93</f>
        <v>324.28000000000003</v>
      </c>
      <c r="J25" s="4">
        <f>'Functional P&amp;L - Monthly Trend'!J93</f>
        <v>356</v>
      </c>
      <c r="K25" s="4">
        <f>'Functional P&amp;L - Monthly Trend'!K93</f>
        <v>385.38</v>
      </c>
      <c r="L25" s="4">
        <f>'Functional P&amp;L - Monthly Trend'!L93</f>
        <v>389.45</v>
      </c>
      <c r="M25" s="4">
        <f>'Functional P&amp;L - Monthly Trend'!M93</f>
        <v>389.83</v>
      </c>
      <c r="N25" s="4">
        <f>'Functional P&amp;L - Monthly Trend'!N93</f>
        <v>966.23999999999978</v>
      </c>
      <c r="O25" s="4">
        <f>'Functional P&amp;L - Monthly Trend'!O93</f>
        <v>1000.8700000000001</v>
      </c>
      <c r="P25" s="4">
        <f>'Functional P&amp;L - Monthly Trend'!P93</f>
        <v>1019.1400000000001</v>
      </c>
      <c r="Q25" s="4">
        <f>'Functional P&amp;L - Monthly Trend'!Q93</f>
        <v>1164.6599999999999</v>
      </c>
      <c r="R25" s="4">
        <f>'Functional P&amp;L - Monthly Trend'!R93</f>
        <v>4150.91</v>
      </c>
    </row>
    <row r="26" spans="1:18" x14ac:dyDescent="0.25">
      <c r="A26" s="21" t="s">
        <v>743</v>
      </c>
      <c r="B26" s="25">
        <f>'Functional P&amp;L - Monthly Trend'!B97</f>
        <v>396.45</v>
      </c>
      <c r="C26" s="25">
        <f>'Functional P&amp;L - Monthly Trend'!C97</f>
        <v>397.92</v>
      </c>
      <c r="D26" s="25">
        <f>'Functional P&amp;L - Monthly Trend'!D97</f>
        <v>398.85</v>
      </c>
      <c r="E26" s="25">
        <f>'Functional P&amp;L - Monthly Trend'!E97</f>
        <v>411.54</v>
      </c>
      <c r="F26" s="25">
        <f>'Functional P&amp;L - Monthly Trend'!F97</f>
        <v>434.96000000000004</v>
      </c>
      <c r="G26" s="25">
        <f>'Functional P&amp;L - Monthly Trend'!G97</f>
        <v>430.94999999999993</v>
      </c>
      <c r="H26" s="25">
        <f>'Functional P&amp;L - Monthly Trend'!H97</f>
        <v>422.48</v>
      </c>
      <c r="I26" s="25">
        <f>'Functional P&amp;L - Monthly Trend'!I97</f>
        <v>442.64</v>
      </c>
      <c r="J26" s="25">
        <f>'Functional P&amp;L - Monthly Trend'!J97</f>
        <v>440.53999999999996</v>
      </c>
      <c r="K26" s="25">
        <f>'Functional P&amp;L - Monthly Trend'!K97</f>
        <v>488.47999999999996</v>
      </c>
      <c r="L26" s="25">
        <f>'Functional P&amp;L - Monthly Trend'!L97</f>
        <v>486.57</v>
      </c>
      <c r="M26" s="25">
        <f>'Functional P&amp;L - Monthly Trend'!M97</f>
        <v>482.47</v>
      </c>
      <c r="N26" s="25">
        <f>'Functional P&amp;L - Monthly Trend'!N97</f>
        <v>1193.22</v>
      </c>
      <c r="O26" s="25">
        <f>'Functional P&amp;L - Monthly Trend'!O97</f>
        <v>1277.4499999999998</v>
      </c>
      <c r="P26" s="25">
        <f>'Functional P&amp;L - Monthly Trend'!P97</f>
        <v>1305.6599999999999</v>
      </c>
      <c r="Q26" s="25">
        <f>'Functional P&amp;L - Monthly Trend'!Q97</f>
        <v>1457.52</v>
      </c>
      <c r="R26" s="25">
        <f>'Functional P&amp;L - Monthly Trend'!R97</f>
        <v>5233.8499999999995</v>
      </c>
    </row>
    <row r="27" spans="1:18" x14ac:dyDescent="0.25">
      <c r="A27" s="5" t="s">
        <v>744</v>
      </c>
      <c r="B27" s="14">
        <f>'Functional P&amp;L - Monthly Trend'!B102</f>
        <v>0.46121898158381519</v>
      </c>
      <c r="C27" s="14">
        <f>'Functional P&amp;L - Monthly Trend'!C102</f>
        <v>0.45613673097424262</v>
      </c>
      <c r="D27" s="14">
        <f>'Functional P&amp;L - Monthly Trend'!D102</f>
        <v>0.45993380919982935</v>
      </c>
      <c r="E27" s="14">
        <f>'Functional P&amp;L - Monthly Trend'!E102</f>
        <v>0.45536425599716734</v>
      </c>
      <c r="F27" s="14">
        <f>'Functional P&amp;L - Monthly Trend'!F102</f>
        <v>0.47626660242863555</v>
      </c>
      <c r="G27" s="14">
        <f>'Functional P&amp;L - Monthly Trend'!G102</f>
        <v>0.46124454148471611</v>
      </c>
      <c r="H27" s="14">
        <f>'Functional P&amp;L - Monthly Trend'!H102</f>
        <v>0.4687399451908888</v>
      </c>
      <c r="I27" s="14">
        <f>'Functional P&amp;L - Monthly Trend'!I102</f>
        <v>0.47740460320541855</v>
      </c>
      <c r="J27" s="14">
        <f>'Functional P&amp;L - Monthly Trend'!J102</f>
        <v>0.45275068600145935</v>
      </c>
      <c r="K27" s="14">
        <f>'Functional P&amp;L - Monthly Trend'!K102</f>
        <v>0.47088763784992677</v>
      </c>
      <c r="L27" s="14">
        <f>'Functional P&amp;L - Monthly Trend'!L102</f>
        <v>0.46254099529445314</v>
      </c>
      <c r="M27" s="14">
        <f>'Functional P&amp;L - Monthly Trend'!M102</f>
        <v>0.45980177261031169</v>
      </c>
      <c r="N27" s="14">
        <f>'Functional P&amp;L - Monthly Trend'!N102</f>
        <v>0.45908438592913781</v>
      </c>
      <c r="O27" s="14">
        <f>'Functional P&amp;L - Monthly Trend'!O102</f>
        <v>0.46429934395842026</v>
      </c>
      <c r="P27" s="14">
        <f>'Functional P&amp;L - Monthly Trend'!P102</f>
        <v>0.46605414203717971</v>
      </c>
      <c r="Q27" s="14">
        <f>'Functional P&amp;L - Monthly Trend'!Q102</f>
        <v>0.46438391517264016</v>
      </c>
      <c r="R27" s="14">
        <f>'Functional P&amp;L - Monthly Trend'!R102</f>
        <v>0.46355777057218334</v>
      </c>
    </row>
    <row r="28" spans="1:18" x14ac:dyDescent="0.25">
      <c r="A28" s="3" t="s">
        <v>745</v>
      </c>
      <c r="B28" s="4">
        <f>'Functional P&amp;L - Monthly Trend'!B110</f>
        <v>265.33</v>
      </c>
      <c r="C28" s="4">
        <f>'Functional P&amp;L - Monthly Trend'!C110</f>
        <v>249.01999999999998</v>
      </c>
      <c r="D28" s="4">
        <f>'Functional P&amp;L - Monthly Trend'!D110</f>
        <v>260.33000000000004</v>
      </c>
      <c r="E28" s="4">
        <f>'Functional P&amp;L - Monthly Trend'!E110</f>
        <v>273.81</v>
      </c>
      <c r="F28" s="4">
        <f>'Functional P&amp;L - Monthly Trend'!F110</f>
        <v>297.43</v>
      </c>
      <c r="G28" s="4">
        <f>'Functional P&amp;L - Monthly Trend'!G110</f>
        <v>289.46999999999991</v>
      </c>
      <c r="H28" s="4">
        <f>'Functional P&amp;L - Monthly Trend'!H110</f>
        <v>276.07000000000005</v>
      </c>
      <c r="I28" s="4">
        <f>'Functional P&amp;L - Monthly Trend'!I110</f>
        <v>297.72999999999996</v>
      </c>
      <c r="J28" s="4">
        <f>'Functional P&amp;L - Monthly Trend'!J110</f>
        <v>284.52999999999997</v>
      </c>
      <c r="K28" s="4">
        <f>'Functional P&amp;L - Monthly Trend'!K110</f>
        <v>330.49999999999994</v>
      </c>
      <c r="L28" s="4">
        <f>'Functional P&amp;L - Monthly Trend'!L110</f>
        <v>318.93</v>
      </c>
      <c r="M28" s="4">
        <f>'Functional P&amp;L - Monthly Trend'!M110</f>
        <v>311.98000000000008</v>
      </c>
      <c r="N28" s="4">
        <f>'Functional P&amp;L - Monthly Trend'!N110</f>
        <v>774.68</v>
      </c>
      <c r="O28" s="4">
        <f>'Functional P&amp;L - Monthly Trend'!O110</f>
        <v>860.70999999999992</v>
      </c>
      <c r="P28" s="4">
        <f>'Functional P&amp;L - Monthly Trend'!P110</f>
        <v>858.32999999999993</v>
      </c>
      <c r="Q28" s="4">
        <f>'Functional P&amp;L - Monthly Trend'!Q110</f>
        <v>961.41000000000008</v>
      </c>
      <c r="R28" s="4">
        <f>'Functional P&amp;L - Monthly Trend'!R110</f>
        <v>3455.13</v>
      </c>
    </row>
    <row r="29" spans="1:18" x14ac:dyDescent="0.25">
      <c r="A29" s="5" t="s">
        <v>746</v>
      </c>
      <c r="B29" s="14">
        <f>'Functional P&amp;L - Monthly Trend'!B111</f>
        <v>0.3086775946112591</v>
      </c>
      <c r="C29" s="14">
        <f>'Functional P&amp;L - Monthly Trend'!C111</f>
        <v>0.28545227369120896</v>
      </c>
      <c r="D29" s="14">
        <f>'Functional P&amp;L - Monthly Trend'!D111</f>
        <v>0.30019949492037501</v>
      </c>
      <c r="E29" s="14">
        <f>'Functional P&amp;L - Monthly Trend'!E111</f>
        <v>0.30296760201823492</v>
      </c>
      <c r="F29" s="14">
        <f>'Functional P&amp;L - Monthly Trend'!F111</f>
        <v>0.32567586803464471</v>
      </c>
      <c r="G29" s="14">
        <f>'Functional P&amp;L - Monthly Trend'!G111</f>
        <v>0.30981890572823007</v>
      </c>
      <c r="H29" s="14">
        <f>'Functional P&amp;L - Monthly Trend'!H111</f>
        <v>0.30629860980128926</v>
      </c>
      <c r="I29" s="14">
        <f>'Functional P&amp;L - Monthly Trend'!I111</f>
        <v>0.32111348389740929</v>
      </c>
      <c r="J29" s="14">
        <f>'Functional P&amp;L - Monthly Trend'!J111</f>
        <v>0.29241647225676493</v>
      </c>
      <c r="K29" s="14">
        <f>'Functional P&amp;L - Monthly Trend'!K111</f>
        <v>0.31859720829798716</v>
      </c>
      <c r="L29" s="14">
        <f>'Functional P&amp;L - Monthly Trend'!L111</f>
        <v>0.30317980892627977</v>
      </c>
      <c r="M29" s="14">
        <f>'Functional P&amp;L - Monthly Trend'!M111</f>
        <v>0.29732202420661402</v>
      </c>
      <c r="N29" s="14">
        <f>'Functional P&amp;L - Monthly Trend'!N111</f>
        <v>0.29805357946697547</v>
      </c>
      <c r="O29" s="14">
        <f>'Functional P&amp;L - Monthly Trend'!O111</f>
        <v>0.31283188253039412</v>
      </c>
      <c r="P29" s="14">
        <f>'Functional P&amp;L - Monthly Trend'!P111</f>
        <v>0.30638010794140319</v>
      </c>
      <c r="Q29" s="14">
        <f>'Functional P&amp;L - Monthly Trend'!Q111</f>
        <v>0.30631712764567759</v>
      </c>
      <c r="R29" s="14">
        <f>'Functional P&amp;L - Monthly Trend'!R111</f>
        <v>0.30601800965581133</v>
      </c>
    </row>
    <row r="30" spans="1:18" x14ac:dyDescent="0.25">
      <c r="A30" s="18"/>
      <c r="B30" s="18"/>
      <c r="C30" s="18"/>
      <c r="D30" s="18"/>
      <c r="E30" s="18"/>
      <c r="F30" s="18"/>
      <c r="G30" s="18"/>
      <c r="H30" s="18"/>
      <c r="I30" s="18"/>
      <c r="J30" s="18"/>
      <c r="K30" s="18"/>
      <c r="L30" s="18"/>
      <c r="M30" s="18"/>
      <c r="N30" s="18"/>
      <c r="O30" s="18"/>
      <c r="P30" s="18"/>
      <c r="Q30" s="18"/>
      <c r="R30" s="18"/>
    </row>
    <row r="31" spans="1:18" x14ac:dyDescent="0.25">
      <c r="A31" s="12" t="s">
        <v>10</v>
      </c>
      <c r="B31" s="12"/>
      <c r="C31" s="12"/>
      <c r="D31" s="12"/>
      <c r="E31" s="12"/>
      <c r="F31" s="12"/>
      <c r="G31" s="12"/>
      <c r="H31" s="12"/>
      <c r="I31" s="12"/>
      <c r="J31" s="12"/>
      <c r="K31" s="12"/>
      <c r="L31" s="12"/>
      <c r="M31" s="12"/>
      <c r="N31" s="12"/>
      <c r="O31" s="12"/>
      <c r="P31" s="12"/>
      <c r="Q31" s="12"/>
      <c r="R31" s="12"/>
    </row>
    <row r="32" spans="1:18" x14ac:dyDescent="0.25">
      <c r="A32" s="21" t="s">
        <v>602</v>
      </c>
      <c r="B32" s="25">
        <f>'Functional P&amp;L - Monthly Trend'!B119</f>
        <v>351.40999999999997</v>
      </c>
      <c r="C32" s="25">
        <f>'Functional P&amp;L - Monthly Trend'!C119</f>
        <v>356.11</v>
      </c>
      <c r="D32" s="25">
        <f>'Functional P&amp;L - Monthly Trend'!D119</f>
        <v>370.34999999999997</v>
      </c>
      <c r="E32" s="25">
        <f>'Functional P&amp;L - Monthly Trend'!E119</f>
        <v>358.08</v>
      </c>
      <c r="F32" s="25">
        <f>'Functional P&amp;L - Monthly Trend'!F119</f>
        <v>361.31</v>
      </c>
      <c r="G32" s="25">
        <f>'Functional P&amp;L - Monthly Trend'!G119</f>
        <v>383.94</v>
      </c>
      <c r="H32" s="25">
        <f>'Functional P&amp;L - Monthly Trend'!H119</f>
        <v>372.8</v>
      </c>
      <c r="I32" s="25">
        <f>'Functional P&amp;L - Monthly Trend'!I119</f>
        <v>397.42</v>
      </c>
      <c r="J32" s="25">
        <f>'Functional P&amp;L - Monthly Trend'!J119</f>
        <v>402.92</v>
      </c>
      <c r="K32" s="25">
        <f>'Functional P&amp;L - Monthly Trend'!K119</f>
        <v>424.79</v>
      </c>
      <c r="L32" s="25">
        <f>'Functional P&amp;L - Monthly Trend'!L119</f>
        <v>426.16</v>
      </c>
      <c r="M32" s="25">
        <f>'Functional P&amp;L - Monthly Trend'!M119</f>
        <v>429.83</v>
      </c>
      <c r="N32" s="25">
        <f>'Functional P&amp;L - Monthly Trend'!N119</f>
        <v>1077.8699999999999</v>
      </c>
      <c r="O32" s="25">
        <f>'Functional P&amp;L - Monthly Trend'!O119</f>
        <v>1103.33</v>
      </c>
      <c r="P32" s="25">
        <f>'Functional P&amp;L - Monthly Trend'!P119</f>
        <v>1173.1400000000001</v>
      </c>
      <c r="Q32" s="25">
        <f>'Functional P&amp;L - Monthly Trend'!Q119</f>
        <v>1280.78</v>
      </c>
      <c r="R32" s="25">
        <f>'Functional P&amp;L - Monthly Trend'!R119</f>
        <v>4635.12</v>
      </c>
    </row>
    <row r="33" spans="1:18" x14ac:dyDescent="0.25">
      <c r="A33" s="3" t="s">
        <v>742</v>
      </c>
      <c r="B33" s="4">
        <f>'Functional P&amp;L - Monthly Trend'!B129</f>
        <v>133.54999999999998</v>
      </c>
      <c r="C33" s="4">
        <f>'Functional P&amp;L - Monthly Trend'!C129</f>
        <v>142.27000000000001</v>
      </c>
      <c r="D33" s="4">
        <f>'Functional P&amp;L - Monthly Trend'!D129</f>
        <v>147.78</v>
      </c>
      <c r="E33" s="4">
        <f>'Functional P&amp;L - Monthly Trend'!E129</f>
        <v>143.39999999999998</v>
      </c>
      <c r="F33" s="4">
        <f>'Functional P&amp;L - Monthly Trend'!F129</f>
        <v>145.88</v>
      </c>
      <c r="G33" s="4">
        <f>'Functional P&amp;L - Monthly Trend'!G129</f>
        <v>153.87</v>
      </c>
      <c r="H33" s="4">
        <f>'Functional P&amp;L - Monthly Trend'!H129</f>
        <v>148.72</v>
      </c>
      <c r="I33" s="4">
        <f>'Functional P&amp;L - Monthly Trend'!I129</f>
        <v>156.57999999999998</v>
      </c>
      <c r="J33" s="4">
        <f>'Functional P&amp;L - Monthly Trend'!J129</f>
        <v>162.04999999999998</v>
      </c>
      <c r="K33" s="4">
        <f>'Functional P&amp;L - Monthly Trend'!K129</f>
        <v>162.87</v>
      </c>
      <c r="L33" s="4">
        <f>'Functional P&amp;L - Monthly Trend'!L129</f>
        <v>164.31999999999996</v>
      </c>
      <c r="M33" s="4">
        <f>'Functional P&amp;L - Monthly Trend'!M129</f>
        <v>169.44</v>
      </c>
      <c r="N33" s="4">
        <f>'Functional P&amp;L - Monthly Trend'!N129</f>
        <v>423.6</v>
      </c>
      <c r="O33" s="4">
        <f>'Functional P&amp;L - Monthly Trend'!O129</f>
        <v>443.15</v>
      </c>
      <c r="P33" s="4">
        <f>'Functional P&amp;L - Monthly Trend'!P129</f>
        <v>467.34999999999991</v>
      </c>
      <c r="Q33" s="4">
        <f>'Functional P&amp;L - Monthly Trend'!Q129</f>
        <v>496.62999999999994</v>
      </c>
      <c r="R33" s="4">
        <f>'Functional P&amp;L - Monthly Trend'!R129</f>
        <v>1830.7299999999998</v>
      </c>
    </row>
    <row r="34" spans="1:18" x14ac:dyDescent="0.25">
      <c r="A34" s="21" t="s">
        <v>743</v>
      </c>
      <c r="B34" s="25">
        <f>'Functional P&amp;L - Monthly Trend'!B133</f>
        <v>155.68</v>
      </c>
      <c r="C34" s="25">
        <f>'Functional P&amp;L - Monthly Trend'!C133</f>
        <v>159.02000000000001</v>
      </c>
      <c r="D34" s="25">
        <f>'Functional P&amp;L - Monthly Trend'!D133</f>
        <v>161.99</v>
      </c>
      <c r="E34" s="25">
        <f>'Functional P&amp;L - Monthly Trend'!E133</f>
        <v>157.41</v>
      </c>
      <c r="F34" s="25">
        <f>'Functional P&amp;L - Monthly Trend'!F133</f>
        <v>154.75</v>
      </c>
      <c r="G34" s="25">
        <f>'Functional P&amp;L - Monthly Trend'!G133</f>
        <v>168.20000000000002</v>
      </c>
      <c r="H34" s="25">
        <f>'Functional P&amp;L - Monthly Trend'!H133</f>
        <v>154.39000000000001</v>
      </c>
      <c r="I34" s="25">
        <f>'Functional P&amp;L - Monthly Trend'!I133</f>
        <v>167.53000000000003</v>
      </c>
      <c r="J34" s="25">
        <f>'Functional P&amp;L - Monthly Trend'!J133</f>
        <v>179.62000000000006</v>
      </c>
      <c r="K34" s="25">
        <f>'Functional P&amp;L - Monthly Trend'!K133</f>
        <v>184</v>
      </c>
      <c r="L34" s="25">
        <f>'Functional P&amp;L - Monthly Trend'!L133</f>
        <v>182.12000000000003</v>
      </c>
      <c r="M34" s="25">
        <f>'Functional P&amp;L - Monthly Trend'!M133</f>
        <v>193.05999999999997</v>
      </c>
      <c r="N34" s="25">
        <f>'Functional P&amp;L - Monthly Trend'!N133</f>
        <v>476.69000000000005</v>
      </c>
      <c r="O34" s="25">
        <f>'Functional P&amp;L - Monthly Trend'!O133</f>
        <v>480.36</v>
      </c>
      <c r="P34" s="25">
        <f>'Functional P&amp;L - Monthly Trend'!P133</f>
        <v>501.54000000000013</v>
      </c>
      <c r="Q34" s="25">
        <f>'Functional P&amp;L - Monthly Trend'!Q133</f>
        <v>559.17999999999995</v>
      </c>
      <c r="R34" s="25">
        <f>'Functional P&amp;L - Monthly Trend'!R133</f>
        <v>2017.7700000000002</v>
      </c>
    </row>
    <row r="35" spans="1:18" x14ac:dyDescent="0.25">
      <c r="A35" s="5" t="s">
        <v>744</v>
      </c>
      <c r="B35" s="14">
        <f>'Functional P&amp;L - Monthly Trend'!B138</f>
        <v>0.44301528129535306</v>
      </c>
      <c r="C35" s="14">
        <f>'Functional P&amp;L - Monthly Trend'!C138</f>
        <v>0.44654741512454016</v>
      </c>
      <c r="D35" s="14">
        <f>'Functional P&amp;L - Monthly Trend'!D138</f>
        <v>0.43739705683812619</v>
      </c>
      <c r="E35" s="14">
        <f>'Functional P&amp;L - Monthly Trend'!E138</f>
        <v>0.43959450402144773</v>
      </c>
      <c r="F35" s="14">
        <f>'Functional P&amp;L - Monthly Trend'!F138</f>
        <v>0.4283025656638344</v>
      </c>
      <c r="G35" s="14">
        <f>'Functional P&amp;L - Monthly Trend'!G138</f>
        <v>0.43808928478408088</v>
      </c>
      <c r="H35" s="14">
        <f>'Functional P&amp;L - Monthly Trend'!H138</f>
        <v>0.41413626609442061</v>
      </c>
      <c r="I35" s="14">
        <f>'Functional P&amp;L - Monthly Trend'!I138</f>
        <v>0.4215439585325349</v>
      </c>
      <c r="J35" s="14">
        <f>'Functional P&amp;L - Monthly Trend'!J138</f>
        <v>0.44579569145239761</v>
      </c>
      <c r="K35" s="14">
        <f>'Functional P&amp;L - Monthly Trend'!K138</f>
        <v>0.43315520610183855</v>
      </c>
      <c r="L35" s="14">
        <f>'Functional P&amp;L - Monthly Trend'!L138</f>
        <v>0.42735122958513239</v>
      </c>
      <c r="M35" s="14">
        <f>'Functional P&amp;L - Monthly Trend'!M138</f>
        <v>0.44915431682292994</v>
      </c>
      <c r="N35" s="14">
        <f>'Functional P&amp;L - Monthly Trend'!N138</f>
        <v>0.44225184855316513</v>
      </c>
      <c r="O35" s="14">
        <f>'Functional P&amp;L - Monthly Trend'!O138</f>
        <v>0.43537291653449106</v>
      </c>
      <c r="P35" s="14">
        <f>'Functional P&amp;L - Monthly Trend'!P138</f>
        <v>0.42751930715856595</v>
      </c>
      <c r="Q35" s="14">
        <f>'Functional P&amp;L - Monthly Trend'!Q138</f>
        <v>0.43659332594200406</v>
      </c>
      <c r="R35" s="14">
        <f>'Functional P&amp;L - Monthly Trend'!R138</f>
        <v>0.43532206285921404</v>
      </c>
    </row>
    <row r="36" spans="1:18" x14ac:dyDescent="0.25">
      <c r="A36" s="3" t="s">
        <v>745</v>
      </c>
      <c r="B36" s="4">
        <f>'Functional P&amp;L - Monthly Trend'!B146</f>
        <v>90.49</v>
      </c>
      <c r="C36" s="4">
        <f>'Functional P&amp;L - Monthly Trend'!C146</f>
        <v>83.9</v>
      </c>
      <c r="D36" s="4">
        <f>'Functional P&amp;L - Monthly Trend'!D146</f>
        <v>88.25</v>
      </c>
      <c r="E36" s="4">
        <f>'Functional P&amp;L - Monthly Trend'!E146</f>
        <v>82.98</v>
      </c>
      <c r="F36" s="4">
        <f>'Functional P&amp;L - Monthly Trend'!F146</f>
        <v>80.169999999999987</v>
      </c>
      <c r="G36" s="4">
        <f>'Functional P&amp;L - Monthly Trend'!G146</f>
        <v>94.73</v>
      </c>
      <c r="H36" s="4">
        <f>'Functional P&amp;L - Monthly Trend'!H146</f>
        <v>80.350000000000009</v>
      </c>
      <c r="I36" s="4">
        <f>'Functional P&amp;L - Monthly Trend'!I146</f>
        <v>90.570000000000022</v>
      </c>
      <c r="J36" s="4">
        <f>'Functional P&amp;L - Monthly Trend'!J146</f>
        <v>104.24000000000005</v>
      </c>
      <c r="K36" s="4">
        <f>'Functional P&amp;L - Monthly Trend'!K146</f>
        <v>97.58</v>
      </c>
      <c r="L36" s="4">
        <f>'Functional P&amp;L - Monthly Trend'!L146</f>
        <v>94.490000000000038</v>
      </c>
      <c r="M36" s="4">
        <f>'Functional P&amp;L - Monthly Trend'!M146</f>
        <v>112.38999999999999</v>
      </c>
      <c r="N36" s="4">
        <f>'Functional P&amp;L - Monthly Trend'!N146</f>
        <v>262.64</v>
      </c>
      <c r="O36" s="4">
        <f>'Functional P&amp;L - Monthly Trend'!O146</f>
        <v>257.88</v>
      </c>
      <c r="P36" s="4">
        <f>'Functional P&amp;L - Monthly Trend'!P146</f>
        <v>275.16000000000008</v>
      </c>
      <c r="Q36" s="4">
        <f>'Functional P&amp;L - Monthly Trend'!Q146</f>
        <v>304.46000000000004</v>
      </c>
      <c r="R36" s="4">
        <f>'Functional P&amp;L - Monthly Trend'!R146</f>
        <v>1100.1400000000001</v>
      </c>
    </row>
    <row r="37" spans="1:18" x14ac:dyDescent="0.25">
      <c r="A37" s="5" t="s">
        <v>746</v>
      </c>
      <c r="B37" s="14">
        <f>'Functional P&amp;L - Monthly Trend'!B147</f>
        <v>0.25750547793176065</v>
      </c>
      <c r="C37" s="14">
        <f>'Functional P&amp;L - Monthly Trend'!C147</f>
        <v>0.23560135913060573</v>
      </c>
      <c r="D37" s="14">
        <f>'Functional P&amp;L - Monthly Trend'!D147</f>
        <v>0.23828810584582155</v>
      </c>
      <c r="E37" s="14">
        <f>'Functional P&amp;L - Monthly Trend'!E147</f>
        <v>0.2317359249329759</v>
      </c>
      <c r="F37" s="14">
        <f>'Functional P&amp;L - Monthly Trend'!F147</f>
        <v>0.22188702222468237</v>
      </c>
      <c r="G37" s="14">
        <f>'Functional P&amp;L - Monthly Trend'!G147</f>
        <v>0.24673126009272284</v>
      </c>
      <c r="H37" s="14">
        <f>'Functional P&amp;L - Monthly Trend'!H147</f>
        <v>0.21553111587982834</v>
      </c>
      <c r="I37" s="14">
        <f>'Functional P&amp;L - Monthly Trend'!I147</f>
        <v>0.22789492224850288</v>
      </c>
      <c r="J37" s="14">
        <f>'Functional P&amp;L - Monthly Trend'!J147</f>
        <v>0.25871140673086479</v>
      </c>
      <c r="K37" s="14">
        <f>'Functional P&amp;L - Monthly Trend'!K147</f>
        <v>0.22971350549683373</v>
      </c>
      <c r="L37" s="14">
        <f>'Functional P&amp;L - Monthly Trend'!L147</f>
        <v>0.22172423502909713</v>
      </c>
      <c r="M37" s="14">
        <f>'Functional P&amp;L - Monthly Trend'!M147</f>
        <v>0.26147546704511082</v>
      </c>
      <c r="N37" s="14">
        <f>'Functional P&amp;L - Monthly Trend'!N147</f>
        <v>0.24366574818855707</v>
      </c>
      <c r="O37" s="14">
        <f>'Functional P&amp;L - Monthly Trend'!O147</f>
        <v>0.23372880280605079</v>
      </c>
      <c r="P37" s="14">
        <f>'Functional P&amp;L - Monthly Trend'!P147</f>
        <v>0.23455001108137141</v>
      </c>
      <c r="Q37" s="14">
        <f>'Functional P&amp;L - Monthly Trend'!Q147</f>
        <v>0.23771451771576699</v>
      </c>
      <c r="R37" s="14">
        <f>'Functional P&amp;L - Monthly Trend'!R147</f>
        <v>0.23734876335456259</v>
      </c>
    </row>
    <row r="38" spans="1:18" x14ac:dyDescent="0.25">
      <c r="A38" s="18"/>
      <c r="B38" s="18"/>
      <c r="C38" s="18"/>
      <c r="D38" s="18"/>
      <c r="E38" s="18"/>
      <c r="F38" s="18"/>
      <c r="G38" s="18"/>
      <c r="H38" s="18"/>
      <c r="I38" s="18"/>
      <c r="J38" s="18"/>
      <c r="K38" s="18"/>
      <c r="L38" s="18"/>
      <c r="M38" s="18"/>
      <c r="N38" s="18"/>
      <c r="O38" s="18"/>
      <c r="P38" s="18"/>
      <c r="Q38" s="18"/>
      <c r="R38" s="18"/>
    </row>
    <row r="39" spans="1:18" x14ac:dyDescent="0.25">
      <c r="A39" s="18"/>
      <c r="B39" s="18"/>
      <c r="C39" s="18"/>
      <c r="D39" s="18"/>
      <c r="E39" s="18"/>
      <c r="F39" s="18"/>
      <c r="G39" s="18"/>
      <c r="H39" s="18"/>
      <c r="I39" s="18"/>
      <c r="J39" s="18"/>
      <c r="K39" s="18"/>
      <c r="L39" s="18"/>
      <c r="M39" s="18"/>
      <c r="N39" s="18"/>
      <c r="O39" s="18"/>
      <c r="P39" s="18"/>
      <c r="Q39" s="18"/>
      <c r="R39" s="18"/>
    </row>
    <row r="40" spans="1:18" x14ac:dyDescent="0.25">
      <c r="A40" s="12" t="s">
        <v>756</v>
      </c>
      <c r="B40" s="12"/>
      <c r="C40" s="12"/>
      <c r="D40" s="12"/>
      <c r="E40" s="12"/>
      <c r="F40" s="12"/>
      <c r="G40" s="12"/>
      <c r="H40" s="12"/>
      <c r="I40" s="12"/>
      <c r="J40" s="12"/>
      <c r="K40" s="12"/>
      <c r="L40" s="12"/>
      <c r="M40" s="12"/>
      <c r="N40" s="12"/>
      <c r="O40" s="12"/>
      <c r="P40" s="12"/>
      <c r="Q40" s="12"/>
      <c r="R40" s="12"/>
    </row>
    <row r="41" spans="1:18" x14ac:dyDescent="0.25">
      <c r="A41" s="18"/>
      <c r="B41" s="18"/>
      <c r="C41" s="18"/>
      <c r="D41" s="18"/>
      <c r="E41" s="18"/>
      <c r="F41" s="18"/>
      <c r="G41" s="18"/>
      <c r="H41" s="18"/>
      <c r="I41" s="18"/>
      <c r="J41" s="18"/>
      <c r="K41" s="18"/>
      <c r="L41" s="18"/>
      <c r="M41" s="18"/>
      <c r="N41" s="18"/>
      <c r="O41" s="18"/>
      <c r="P41" s="18"/>
      <c r="Q41" s="18"/>
      <c r="R41" s="18"/>
    </row>
    <row r="42" spans="1:18" x14ac:dyDescent="0.25">
      <c r="A42" s="12" t="s">
        <v>25</v>
      </c>
      <c r="B42" s="12"/>
      <c r="C42" s="12"/>
      <c r="D42" s="12"/>
      <c r="E42" s="12"/>
      <c r="F42" s="12"/>
      <c r="G42" s="12"/>
      <c r="H42" s="12"/>
      <c r="I42" s="12"/>
      <c r="J42" s="12"/>
      <c r="K42" s="12"/>
      <c r="L42" s="12"/>
      <c r="M42" s="12"/>
      <c r="N42" s="12"/>
      <c r="O42" s="12"/>
      <c r="P42" s="12"/>
      <c r="Q42" s="12"/>
      <c r="R42" s="12"/>
    </row>
    <row r="43" spans="1:18" x14ac:dyDescent="0.25">
      <c r="A43" s="3" t="s">
        <v>21</v>
      </c>
      <c r="B43" s="4">
        <f>'Functional P&amp;L - Monthly Trend'!B14</f>
        <v>726.3</v>
      </c>
      <c r="C43" s="4">
        <f>'Functional P&amp;L - Monthly Trend'!C14</f>
        <v>742.28</v>
      </c>
      <c r="D43" s="4">
        <f>'Functional P&amp;L - Monthly Trend'!D14</f>
        <v>774.61</v>
      </c>
      <c r="E43" s="4">
        <f>'Functional P&amp;L - Monthly Trend'!E14</f>
        <v>754.97</v>
      </c>
      <c r="F43" s="4">
        <f>'Functional P&amp;L - Monthly Trend'!F14</f>
        <v>752.67</v>
      </c>
      <c r="G43" s="4">
        <f>'Functional P&amp;L - Monthly Trend'!G14</f>
        <v>847.48</v>
      </c>
      <c r="H43" s="4">
        <f>'Functional P&amp;L - Monthly Trend'!H14</f>
        <v>792.59</v>
      </c>
      <c r="I43" s="4">
        <f>'Functional P&amp;L - Monthly Trend'!I14</f>
        <v>870.9</v>
      </c>
      <c r="J43" s="4">
        <f>'Functional P&amp;L - Monthly Trend'!J14</f>
        <v>808.45</v>
      </c>
      <c r="K43" s="4">
        <f>'Functional P&amp;L - Monthly Trend'!K14</f>
        <v>874.51</v>
      </c>
      <c r="L43" s="4">
        <f>'Functional P&amp;L - Monthly Trend'!L14</f>
        <v>964.98</v>
      </c>
      <c r="M43" s="4">
        <f>'Functional P&amp;L - Monthly Trend'!M14</f>
        <v>945.25</v>
      </c>
      <c r="N43" s="4">
        <f>'Functional P&amp;L - Monthly Trend'!N14</f>
        <v>2243.19</v>
      </c>
      <c r="O43" s="4">
        <f>'Functional P&amp;L - Monthly Trend'!O14</f>
        <v>2355.12</v>
      </c>
      <c r="P43" s="4">
        <f>'Functional P&amp;L - Monthly Trend'!P14</f>
        <v>2471.94</v>
      </c>
      <c r="Q43" s="4">
        <f>'Functional P&amp;L - Monthly Trend'!Q14</f>
        <v>2784.74</v>
      </c>
      <c r="R43" s="4">
        <f>'Functional P&amp;L - Monthly Trend'!R14</f>
        <v>9854.99</v>
      </c>
    </row>
    <row r="44" spans="1:18" x14ac:dyDescent="0.25">
      <c r="A44" s="5" t="s">
        <v>56</v>
      </c>
      <c r="B44" s="6">
        <f>'Functional P&amp;L - Monthly Trend'!B15</f>
        <v>162.53</v>
      </c>
      <c r="C44" s="6">
        <f>'Functional P&amp;L - Monthly Trend'!C15</f>
        <v>173.52</v>
      </c>
      <c r="D44" s="6">
        <f>'Functional P&amp;L - Monthly Trend'!D15</f>
        <v>167.85</v>
      </c>
      <c r="E44" s="6">
        <f>'Functional P&amp;L - Monthly Trend'!E15</f>
        <v>171.95</v>
      </c>
      <c r="F44" s="6">
        <f>'Functional P&amp;L - Monthly Trend'!F15</f>
        <v>177.25</v>
      </c>
      <c r="G44" s="6">
        <f>'Functional P&amp;L - Monthly Trend'!G15</f>
        <v>181.03</v>
      </c>
      <c r="H44" s="6">
        <f>'Functional P&amp;L - Monthly Trend'!H15</f>
        <v>181.13</v>
      </c>
      <c r="I44" s="6">
        <f>'Functional P&amp;L - Monthly Trend'!I15</f>
        <v>192.85</v>
      </c>
      <c r="J44" s="6">
        <f>'Functional P&amp;L - Monthly Trend'!J15</f>
        <v>172.48</v>
      </c>
      <c r="K44" s="6">
        <f>'Functional P&amp;L - Monthly Trend'!K15</f>
        <v>197.49</v>
      </c>
      <c r="L44" s="6">
        <f>'Functional P&amp;L - Monthly Trend'!L15</f>
        <v>205.12</v>
      </c>
      <c r="M44" s="6">
        <f>'Functional P&amp;L - Monthly Trend'!M15</f>
        <v>207.2</v>
      </c>
      <c r="N44" s="6">
        <f>'Functional P&amp;L - Monthly Trend'!N15</f>
        <v>503.9</v>
      </c>
      <c r="O44" s="6">
        <f>'Functional P&amp;L - Monthly Trend'!O15</f>
        <v>530.23</v>
      </c>
      <c r="P44" s="6">
        <f>'Functional P&amp;L - Monthly Trend'!P15</f>
        <v>546.46</v>
      </c>
      <c r="Q44" s="6">
        <f>'Functional P&amp;L - Monthly Trend'!Q15</f>
        <v>609.80999999999995</v>
      </c>
      <c r="R44" s="6">
        <f>'Functional P&amp;L - Monthly Trend'!R15</f>
        <v>2190.3999999999996</v>
      </c>
    </row>
    <row r="45" spans="1:18" x14ac:dyDescent="0.25">
      <c r="A45" s="3" t="s">
        <v>54</v>
      </c>
      <c r="B45" s="4">
        <f>'Functional P&amp;L - Monthly Trend'!B16</f>
        <v>234.14</v>
      </c>
      <c r="C45" s="4">
        <f>'Functional P&amp;L - Monthly Trend'!C16</f>
        <v>266.45</v>
      </c>
      <c r="D45" s="4">
        <f>'Functional P&amp;L - Monthly Trend'!D16</f>
        <v>249.83</v>
      </c>
      <c r="E45" s="4">
        <f>'Functional P&amp;L - Monthly Trend'!E16</f>
        <v>255.01</v>
      </c>
      <c r="F45" s="4">
        <f>'Functional P&amp;L - Monthly Trend'!F16</f>
        <v>256.38</v>
      </c>
      <c r="G45" s="4">
        <f>'Functional P&amp;L - Monthly Trend'!G16</f>
        <v>274.14</v>
      </c>
      <c r="H45" s="4">
        <f>'Functional P&amp;L - Monthly Trend'!H16</f>
        <v>263.38</v>
      </c>
      <c r="I45" s="4">
        <f>'Functional P&amp;L - Monthly Trend'!I16</f>
        <v>271.55</v>
      </c>
      <c r="J45" s="4">
        <f>'Functional P&amp;L - Monthly Trend'!J16</f>
        <v>281.27</v>
      </c>
      <c r="K45" s="4">
        <f>'Functional P&amp;L - Monthly Trend'!K16</f>
        <v>286.31</v>
      </c>
      <c r="L45" s="4">
        <f>'Functional P&amp;L - Monthly Trend'!L16</f>
        <v>310.5</v>
      </c>
      <c r="M45" s="4">
        <f>'Functional P&amp;L - Monthly Trend'!M16</f>
        <v>303.8</v>
      </c>
      <c r="N45" s="4">
        <f>'Functional P&amp;L - Monthly Trend'!N16</f>
        <v>750.42</v>
      </c>
      <c r="O45" s="4">
        <f>'Functional P&amp;L - Monthly Trend'!O16</f>
        <v>785.53</v>
      </c>
      <c r="P45" s="4">
        <f>'Functional P&amp;L - Monthly Trend'!P16</f>
        <v>816.2</v>
      </c>
      <c r="Q45" s="4">
        <f>'Functional P&amp;L - Monthly Trend'!Q16</f>
        <v>900.6099999999999</v>
      </c>
      <c r="R45" s="4">
        <f>'Functional P&amp;L - Monthly Trend'!R16</f>
        <v>3252.76</v>
      </c>
    </row>
    <row r="46" spans="1:18" x14ac:dyDescent="0.25">
      <c r="A46" s="5" t="s">
        <v>15</v>
      </c>
      <c r="B46" s="6">
        <f>'Functional P&amp;L - Monthly Trend'!B17</f>
        <v>120.24</v>
      </c>
      <c r="C46" s="6">
        <f>'Functional P&amp;L - Monthly Trend'!C17</f>
        <v>128.41999999999999</v>
      </c>
      <c r="D46" s="6">
        <f>'Functional P&amp;L - Monthly Trend'!D17</f>
        <v>130.69</v>
      </c>
      <c r="E46" s="6">
        <f>'Functional P&amp;L - Monthly Trend'!E17</f>
        <v>137.36000000000001</v>
      </c>
      <c r="F46" s="6">
        <f>'Functional P&amp;L - Monthly Trend'!F17</f>
        <v>123.23</v>
      </c>
      <c r="G46" s="6">
        <f>'Functional P&amp;L - Monthly Trend'!G17</f>
        <v>137.62</v>
      </c>
      <c r="H46" s="6">
        <f>'Functional P&amp;L - Monthly Trend'!H17</f>
        <v>131.74</v>
      </c>
      <c r="I46" s="6">
        <f>'Functional P&amp;L - Monthly Trend'!I17</f>
        <v>139.66999999999999</v>
      </c>
      <c r="J46" s="6">
        <f>'Functional P&amp;L - Monthly Trend'!J17</f>
        <v>137.66999999999999</v>
      </c>
      <c r="K46" s="6">
        <f>'Functional P&amp;L - Monthly Trend'!K17</f>
        <v>143.94</v>
      </c>
      <c r="L46" s="6">
        <f>'Functional P&amp;L - Monthly Trend'!L17</f>
        <v>150.97</v>
      </c>
      <c r="M46" s="6">
        <f>'Functional P&amp;L - Monthly Trend'!M17</f>
        <v>153.88999999999999</v>
      </c>
      <c r="N46" s="6">
        <f>'Functional P&amp;L - Monthly Trend'!N17</f>
        <v>379.34999999999997</v>
      </c>
      <c r="O46" s="6">
        <f>'Functional P&amp;L - Monthly Trend'!O17</f>
        <v>398.21000000000004</v>
      </c>
      <c r="P46" s="6">
        <f>'Functional P&amp;L - Monthly Trend'!P17</f>
        <v>409.07999999999993</v>
      </c>
      <c r="Q46" s="6">
        <f>'Functional P&amp;L - Monthly Trend'!Q17</f>
        <v>448.79999999999995</v>
      </c>
      <c r="R46" s="6">
        <f>'Functional P&amp;L - Monthly Trend'!R17</f>
        <v>1635.44</v>
      </c>
    </row>
    <row r="47" spans="1:18" x14ac:dyDescent="0.25">
      <c r="A47" s="3" t="s">
        <v>40</v>
      </c>
      <c r="B47" s="4">
        <f>'Functional P&amp;L - Monthly Trend'!B18</f>
        <v>19.34</v>
      </c>
      <c r="C47" s="4">
        <f>'Functional P&amp;L - Monthly Trend'!C18</f>
        <v>21.14</v>
      </c>
      <c r="D47" s="4">
        <f>'Functional P&amp;L - Monthly Trend'!D18</f>
        <v>22.82</v>
      </c>
      <c r="E47" s="4">
        <f>'Functional P&amp;L - Monthly Trend'!E18</f>
        <v>23.03</v>
      </c>
      <c r="F47" s="4">
        <f>'Functional P&amp;L - Monthly Trend'!F18</f>
        <v>20.260000000000002</v>
      </c>
      <c r="G47" s="4">
        <f>'Functional P&amp;L - Monthly Trend'!G18</f>
        <v>21.81</v>
      </c>
      <c r="H47" s="4">
        <f>'Functional P&amp;L - Monthly Trend'!H18</f>
        <v>22.02</v>
      </c>
      <c r="I47" s="4">
        <f>'Functional P&amp;L - Monthly Trend'!I18</f>
        <v>24.54</v>
      </c>
      <c r="J47" s="4">
        <f>'Functional P&amp;L - Monthly Trend'!J18</f>
        <v>23.42</v>
      </c>
      <c r="K47" s="4">
        <f>'Functional P&amp;L - Monthly Trend'!K18</f>
        <v>25.41</v>
      </c>
      <c r="L47" s="4">
        <f>'Functional P&amp;L - Monthly Trend'!L18</f>
        <v>25.3</v>
      </c>
      <c r="M47" s="4">
        <f>'Functional P&amp;L - Monthly Trend'!M18</f>
        <v>24.16</v>
      </c>
      <c r="N47" s="4">
        <f>'Functional P&amp;L - Monthly Trend'!N18</f>
        <v>63.300000000000004</v>
      </c>
      <c r="O47" s="4">
        <f>'Functional P&amp;L - Monthly Trend'!O18</f>
        <v>65.100000000000009</v>
      </c>
      <c r="P47" s="4">
        <f>'Functional P&amp;L - Monthly Trend'!P18</f>
        <v>69.98</v>
      </c>
      <c r="Q47" s="4">
        <f>'Functional P&amp;L - Monthly Trend'!Q18</f>
        <v>74.87</v>
      </c>
      <c r="R47" s="4">
        <f>'Functional P&amp;L - Monthly Trend'!R18</f>
        <v>273.25</v>
      </c>
    </row>
    <row r="48" spans="1:18" x14ac:dyDescent="0.25">
      <c r="A48" s="5" t="s">
        <v>757</v>
      </c>
      <c r="B48" s="6">
        <f>'Functional P&amp;L - Monthly Trend'!B33</f>
        <v>443.47</v>
      </c>
      <c r="C48" s="6">
        <f>'Functional P&amp;L - Monthly Trend'!C33</f>
        <v>404.34</v>
      </c>
      <c r="D48" s="6">
        <f>'Functional P&amp;L - Monthly Trend'!D33</f>
        <v>492.87</v>
      </c>
      <c r="E48" s="6">
        <f>'Functional P&amp;L - Monthly Trend'!E33</f>
        <v>456.44</v>
      </c>
      <c r="F48" s="6">
        <f>'Functional P&amp;L - Monthly Trend'!F33</f>
        <v>433.01</v>
      </c>
      <c r="G48" s="6">
        <f>'Functional P&amp;L - Monthly Trend'!G33</f>
        <v>503.02</v>
      </c>
      <c r="H48" s="6">
        <f>'Functional P&amp;L - Monthly Trend'!H33</f>
        <v>452.84</v>
      </c>
      <c r="I48" s="6">
        <f>'Functional P&amp;L - Monthly Trend'!I33</f>
        <v>470.83</v>
      </c>
      <c r="J48" s="6">
        <f>'Functional P&amp;L - Monthly Trend'!J33</f>
        <v>455.62</v>
      </c>
      <c r="K48" s="6">
        <f>'Functional P&amp;L - Monthly Trend'!K33</f>
        <v>539.75</v>
      </c>
      <c r="L48" s="6">
        <f>'Functional P&amp;L - Monthly Trend'!L33</f>
        <v>498.33</v>
      </c>
      <c r="M48" s="6">
        <f>'Functional P&amp;L - Monthly Trend'!M33</f>
        <v>568.01</v>
      </c>
      <c r="N48" s="6">
        <f>'Functional P&amp;L - Monthly Trend'!N33</f>
        <v>1340.6799999999998</v>
      </c>
      <c r="O48" s="6">
        <f>'Functional P&amp;L - Monthly Trend'!O33</f>
        <v>1392.47</v>
      </c>
      <c r="P48" s="6">
        <f>'Functional P&amp;L - Monthly Trend'!P33</f>
        <v>1379.29</v>
      </c>
      <c r="Q48" s="6">
        <f>'Functional P&amp;L - Monthly Trend'!Q33</f>
        <v>1606.09</v>
      </c>
      <c r="R48" s="6">
        <f>'Functional P&amp;L - Monthly Trend'!R33</f>
        <v>5718.5300000000007</v>
      </c>
    </row>
    <row r="49" spans="1:18" x14ac:dyDescent="0.25">
      <c r="A49" s="3" t="s">
        <v>43</v>
      </c>
      <c r="B49" s="4">
        <f>'Functional P&amp;L - Monthly Trend'!B36</f>
        <v>176.75</v>
      </c>
      <c r="C49" s="4">
        <f>'Functional P&amp;L - Monthly Trend'!C36</f>
        <v>157.99</v>
      </c>
      <c r="D49" s="4">
        <f>'Functional P&amp;L - Monthly Trend'!D36</f>
        <v>159.41</v>
      </c>
      <c r="E49" s="4">
        <f>'Functional P&amp;L - Monthly Trend'!E36</f>
        <v>173.28</v>
      </c>
      <c r="F49" s="4">
        <f>'Functional P&amp;L - Monthly Trend'!F36</f>
        <v>162.41999999999999</v>
      </c>
      <c r="G49" s="4">
        <f>'Functional P&amp;L - Monthly Trend'!G36</f>
        <v>162.69999999999999</v>
      </c>
      <c r="H49" s="4">
        <f>'Functional P&amp;L - Monthly Trend'!H36</f>
        <v>185.66</v>
      </c>
      <c r="I49" s="4">
        <f>'Functional P&amp;L - Monthly Trend'!I36</f>
        <v>185.45</v>
      </c>
      <c r="J49" s="4">
        <f>'Functional P&amp;L - Monthly Trend'!J36</f>
        <v>199.61</v>
      </c>
      <c r="K49" s="4">
        <f>'Functional P&amp;L - Monthly Trend'!K36</f>
        <v>204.26</v>
      </c>
      <c r="L49" s="4">
        <f>'Functional P&amp;L - Monthly Trend'!L36</f>
        <v>214.58</v>
      </c>
      <c r="M49" s="4">
        <f>'Functional P&amp;L - Monthly Trend'!M36</f>
        <v>189.71</v>
      </c>
      <c r="N49" s="4">
        <f>'Functional P&amp;L - Monthly Trend'!N36</f>
        <v>494.15</v>
      </c>
      <c r="O49" s="4">
        <f>'Functional P&amp;L - Monthly Trend'!O36</f>
        <v>498.4</v>
      </c>
      <c r="P49" s="4">
        <f>'Functional P&amp;L - Monthly Trend'!P36</f>
        <v>570.72</v>
      </c>
      <c r="Q49" s="4">
        <f>'Functional P&amp;L - Monthly Trend'!Q36</f>
        <v>608.55000000000007</v>
      </c>
      <c r="R49" s="4">
        <f>'Functional P&amp;L - Monthly Trend'!R36</f>
        <v>2171.8199999999997</v>
      </c>
    </row>
    <row r="50" spans="1:18" x14ac:dyDescent="0.25">
      <c r="A50" s="21" t="s">
        <v>758</v>
      </c>
      <c r="B50" s="25">
        <f t="shared" ref="B50:R50" si="0">SUM(B43:B49)</f>
        <v>1882.7699999999998</v>
      </c>
      <c r="C50" s="25">
        <f t="shared" si="0"/>
        <v>1894.14</v>
      </c>
      <c r="D50" s="25">
        <f t="shared" si="0"/>
        <v>1998.0800000000002</v>
      </c>
      <c r="E50" s="25">
        <f t="shared" si="0"/>
        <v>1972.04</v>
      </c>
      <c r="F50" s="25">
        <f t="shared" si="0"/>
        <v>1925.22</v>
      </c>
      <c r="G50" s="25">
        <f t="shared" si="0"/>
        <v>2127.7999999999997</v>
      </c>
      <c r="H50" s="25">
        <f t="shared" si="0"/>
        <v>2029.36</v>
      </c>
      <c r="I50" s="25">
        <f t="shared" si="0"/>
        <v>2155.79</v>
      </c>
      <c r="J50" s="25">
        <f t="shared" si="0"/>
        <v>2078.5200000000004</v>
      </c>
      <c r="K50" s="25">
        <f t="shared" si="0"/>
        <v>2271.67</v>
      </c>
      <c r="L50" s="25">
        <f t="shared" si="0"/>
        <v>2369.7799999999997</v>
      </c>
      <c r="M50" s="25">
        <f t="shared" si="0"/>
        <v>2392.02</v>
      </c>
      <c r="N50" s="25">
        <f t="shared" si="0"/>
        <v>5774.99</v>
      </c>
      <c r="O50" s="25">
        <f t="shared" si="0"/>
        <v>6025.06</v>
      </c>
      <c r="P50" s="25">
        <f t="shared" si="0"/>
        <v>6263.67</v>
      </c>
      <c r="Q50" s="25">
        <f t="shared" si="0"/>
        <v>7033.47</v>
      </c>
      <c r="R50" s="25">
        <f t="shared" si="0"/>
        <v>25097.190000000002</v>
      </c>
    </row>
    <row r="51" spans="1:18" x14ac:dyDescent="0.25">
      <c r="A51" s="18"/>
      <c r="B51" s="18"/>
      <c r="C51" s="18"/>
      <c r="D51" s="18"/>
      <c r="E51" s="18"/>
      <c r="F51" s="18"/>
      <c r="G51" s="18"/>
      <c r="H51" s="18"/>
      <c r="I51" s="18"/>
      <c r="J51" s="18"/>
      <c r="K51" s="18"/>
      <c r="L51" s="18"/>
      <c r="M51" s="18"/>
      <c r="N51" s="18"/>
      <c r="O51" s="18"/>
      <c r="P51" s="18"/>
      <c r="Q51" s="18"/>
      <c r="R51" s="18"/>
    </row>
    <row r="52" spans="1:18" x14ac:dyDescent="0.25">
      <c r="A52" s="12" t="s">
        <v>36</v>
      </c>
      <c r="B52" s="12"/>
      <c r="C52" s="12"/>
      <c r="D52" s="12"/>
      <c r="E52" s="12"/>
      <c r="F52" s="12"/>
      <c r="G52" s="12"/>
      <c r="H52" s="12"/>
      <c r="I52" s="12"/>
      <c r="J52" s="12"/>
      <c r="K52" s="12"/>
      <c r="L52" s="12"/>
      <c r="M52" s="12"/>
      <c r="N52" s="12"/>
      <c r="O52" s="12"/>
      <c r="P52" s="12"/>
      <c r="Q52" s="12"/>
      <c r="R52" s="12"/>
    </row>
    <row r="53" spans="1:18" x14ac:dyDescent="0.25">
      <c r="A53" s="5" t="s">
        <v>21</v>
      </c>
      <c r="B53" s="6">
        <f>'Functional P&amp;L - Monthly Trend'!B50</f>
        <v>119.74</v>
      </c>
      <c r="C53" s="6">
        <f>'Functional P&amp;L - Monthly Trend'!C50</f>
        <v>114.12</v>
      </c>
      <c r="D53" s="6">
        <f>'Functional P&amp;L - Monthly Trend'!D50</f>
        <v>122.11</v>
      </c>
      <c r="E53" s="6">
        <f>'Functional P&amp;L - Monthly Trend'!E50</f>
        <v>130.35</v>
      </c>
      <c r="F53" s="6">
        <f>'Functional P&amp;L - Monthly Trend'!F50</f>
        <v>126.16</v>
      </c>
      <c r="G53" s="6">
        <f>'Functional P&amp;L - Monthly Trend'!G50</f>
        <v>129.19999999999999</v>
      </c>
      <c r="H53" s="6">
        <f>'Functional P&amp;L - Monthly Trend'!H50</f>
        <v>125.12</v>
      </c>
      <c r="I53" s="6">
        <f>'Functional P&amp;L - Monthly Trend'!I50</f>
        <v>133.55000000000001</v>
      </c>
      <c r="J53" s="6">
        <f>'Functional P&amp;L - Monthly Trend'!J50</f>
        <v>130.91999999999999</v>
      </c>
      <c r="K53" s="6">
        <f>'Functional P&amp;L - Monthly Trend'!K50</f>
        <v>150.41</v>
      </c>
      <c r="L53" s="6">
        <f>'Functional P&amp;L - Monthly Trend'!L50</f>
        <v>147.19999999999999</v>
      </c>
      <c r="M53" s="6">
        <f>'Functional P&amp;L - Monthly Trend'!M50</f>
        <v>149.82</v>
      </c>
      <c r="N53" s="6">
        <f>'Functional P&amp;L - Monthly Trend'!N50</f>
        <v>355.97</v>
      </c>
      <c r="O53" s="6">
        <f>'Functional P&amp;L - Monthly Trend'!O50</f>
        <v>385.71</v>
      </c>
      <c r="P53" s="6">
        <f>'Functional P&amp;L - Monthly Trend'!P50</f>
        <v>389.59000000000003</v>
      </c>
      <c r="Q53" s="6">
        <f>'Functional P&amp;L - Monthly Trend'!Q50</f>
        <v>447.43</v>
      </c>
      <c r="R53" s="6">
        <f>'Functional P&amp;L - Monthly Trend'!R50</f>
        <v>1578.7000000000003</v>
      </c>
    </row>
    <row r="54" spans="1:18" x14ac:dyDescent="0.25">
      <c r="A54" s="3" t="s">
        <v>56</v>
      </c>
      <c r="B54" s="4">
        <f>'Functional P&amp;L - Monthly Trend'!B51</f>
        <v>38.99</v>
      </c>
      <c r="C54" s="4">
        <f>'Functional P&amp;L - Monthly Trend'!C51</f>
        <v>40.549999999999997</v>
      </c>
      <c r="D54" s="4">
        <f>'Functional P&amp;L - Monthly Trend'!D51</f>
        <v>38.93</v>
      </c>
      <c r="E54" s="4">
        <f>'Functional P&amp;L - Monthly Trend'!E51</f>
        <v>43.64</v>
      </c>
      <c r="F54" s="4">
        <f>'Functional P&amp;L - Monthly Trend'!F51</f>
        <v>43.73</v>
      </c>
      <c r="G54" s="4">
        <f>'Functional P&amp;L - Monthly Trend'!G51</f>
        <v>44.1</v>
      </c>
      <c r="H54" s="4">
        <f>'Functional P&amp;L - Monthly Trend'!H51</f>
        <v>44.54</v>
      </c>
      <c r="I54" s="4">
        <f>'Functional P&amp;L - Monthly Trend'!I51</f>
        <v>41.69</v>
      </c>
      <c r="J54" s="4">
        <f>'Functional P&amp;L - Monthly Trend'!J51</f>
        <v>43.32</v>
      </c>
      <c r="K54" s="4">
        <f>'Functional P&amp;L - Monthly Trend'!K51</f>
        <v>45.98</v>
      </c>
      <c r="L54" s="4">
        <f>'Functional P&amp;L - Monthly Trend'!L51</f>
        <v>49.36</v>
      </c>
      <c r="M54" s="4">
        <f>'Functional P&amp;L - Monthly Trend'!M51</f>
        <v>49.83</v>
      </c>
      <c r="N54" s="4">
        <f>'Functional P&amp;L - Monthly Trend'!N51</f>
        <v>118.47</v>
      </c>
      <c r="O54" s="4">
        <f>'Functional P&amp;L - Monthly Trend'!O51</f>
        <v>131.47</v>
      </c>
      <c r="P54" s="4">
        <f>'Functional P&amp;L - Monthly Trend'!P51</f>
        <v>129.54999999999998</v>
      </c>
      <c r="Q54" s="4">
        <f>'Functional P&amp;L - Monthly Trend'!Q51</f>
        <v>145.17000000000002</v>
      </c>
      <c r="R54" s="4">
        <f>'Functional P&amp;L - Monthly Trend'!R51</f>
        <v>524.66000000000008</v>
      </c>
    </row>
    <row r="55" spans="1:18" x14ac:dyDescent="0.25">
      <c r="A55" s="5" t="s">
        <v>54</v>
      </c>
      <c r="B55" s="6">
        <f>'Functional P&amp;L - Monthly Trend'!B52</f>
        <v>59.7</v>
      </c>
      <c r="C55" s="6">
        <f>'Functional P&amp;L - Monthly Trend'!C52</f>
        <v>61.3</v>
      </c>
      <c r="D55" s="6">
        <f>'Functional P&amp;L - Monthly Trend'!D52</f>
        <v>59.15</v>
      </c>
      <c r="E55" s="6">
        <f>'Functional P&amp;L - Monthly Trend'!E52</f>
        <v>61.54</v>
      </c>
      <c r="F55" s="6">
        <f>'Functional P&amp;L - Monthly Trend'!F52</f>
        <v>65.56</v>
      </c>
      <c r="G55" s="6">
        <f>'Functional P&amp;L - Monthly Trend'!G52</f>
        <v>62.09</v>
      </c>
      <c r="H55" s="6">
        <f>'Functional P&amp;L - Monthly Trend'!H52</f>
        <v>61.71</v>
      </c>
      <c r="I55" s="6">
        <f>'Functional P&amp;L - Monthly Trend'!I52</f>
        <v>62.06</v>
      </c>
      <c r="J55" s="6">
        <f>'Functional P&amp;L - Monthly Trend'!J52</f>
        <v>62.07</v>
      </c>
      <c r="K55" s="6">
        <f>'Functional P&amp;L - Monthly Trend'!K52</f>
        <v>74.400000000000006</v>
      </c>
      <c r="L55" s="6">
        <f>'Functional P&amp;L - Monthly Trend'!L52</f>
        <v>74.709999999999994</v>
      </c>
      <c r="M55" s="6">
        <f>'Functional P&amp;L - Monthly Trend'!M52</f>
        <v>70.56</v>
      </c>
      <c r="N55" s="6">
        <f>'Functional P&amp;L - Monthly Trend'!N52</f>
        <v>180.15</v>
      </c>
      <c r="O55" s="6">
        <f>'Functional P&amp;L - Monthly Trend'!O52</f>
        <v>189.19</v>
      </c>
      <c r="P55" s="6">
        <f>'Functional P&amp;L - Monthly Trend'!P52</f>
        <v>185.84</v>
      </c>
      <c r="Q55" s="6">
        <f>'Functional P&amp;L - Monthly Trend'!Q52</f>
        <v>219.67000000000002</v>
      </c>
      <c r="R55" s="6">
        <f>'Functional P&amp;L - Monthly Trend'!R52</f>
        <v>774.85000000000014</v>
      </c>
    </row>
    <row r="56" spans="1:18" x14ac:dyDescent="0.25">
      <c r="A56" s="3" t="s">
        <v>15</v>
      </c>
      <c r="B56" s="4">
        <f>'Functional P&amp;L - Monthly Trend'!B53</f>
        <v>41.52</v>
      </c>
      <c r="C56" s="4">
        <f>'Functional P&amp;L - Monthly Trend'!C53</f>
        <v>39.22</v>
      </c>
      <c r="D56" s="4">
        <f>'Functional P&amp;L - Monthly Trend'!D53</f>
        <v>41.5</v>
      </c>
      <c r="E56" s="4">
        <f>'Functional P&amp;L - Monthly Trend'!E53</f>
        <v>41.99</v>
      </c>
      <c r="F56" s="4">
        <f>'Functional P&amp;L - Monthly Trend'!F53</f>
        <v>44.32</v>
      </c>
      <c r="G56" s="4">
        <f>'Functional P&amp;L - Monthly Trend'!G53</f>
        <v>40.92</v>
      </c>
      <c r="H56" s="4">
        <f>'Functional P&amp;L - Monthly Trend'!H53</f>
        <v>45.23</v>
      </c>
      <c r="I56" s="4">
        <f>'Functional P&amp;L - Monthly Trend'!I53</f>
        <v>41.31</v>
      </c>
      <c r="J56" s="4">
        <f>'Functional P&amp;L - Monthly Trend'!J53</f>
        <v>44.05</v>
      </c>
      <c r="K56" s="4">
        <f>'Functional P&amp;L - Monthly Trend'!K53</f>
        <v>46.73</v>
      </c>
      <c r="L56" s="4">
        <f>'Functional P&amp;L - Monthly Trend'!L53</f>
        <v>45.72</v>
      </c>
      <c r="M56" s="4">
        <f>'Functional P&amp;L - Monthly Trend'!M53</f>
        <v>47.79</v>
      </c>
      <c r="N56" s="4">
        <f>'Functional P&amp;L - Monthly Trend'!N53</f>
        <v>122.24000000000001</v>
      </c>
      <c r="O56" s="4">
        <f>'Functional P&amp;L - Monthly Trend'!O53</f>
        <v>127.23</v>
      </c>
      <c r="P56" s="4">
        <f>'Functional P&amp;L - Monthly Trend'!P53</f>
        <v>130.58999999999997</v>
      </c>
      <c r="Q56" s="4">
        <f>'Functional P&amp;L - Monthly Trend'!Q53</f>
        <v>140.23999999999998</v>
      </c>
      <c r="R56" s="4">
        <f>'Functional P&amp;L - Monthly Trend'!R53</f>
        <v>520.30000000000007</v>
      </c>
    </row>
    <row r="57" spans="1:18" x14ac:dyDescent="0.25">
      <c r="A57" s="5" t="s">
        <v>40</v>
      </c>
      <c r="B57" s="6">
        <f>'Functional P&amp;L - Monthly Trend'!B54</f>
        <v>6.28</v>
      </c>
      <c r="C57" s="6">
        <f>'Functional P&amp;L - Monthly Trend'!C54</f>
        <v>5.83</v>
      </c>
      <c r="D57" s="6">
        <f>'Functional P&amp;L - Monthly Trend'!D54</f>
        <v>6</v>
      </c>
      <c r="E57" s="6">
        <f>'Functional P&amp;L - Monthly Trend'!E54</f>
        <v>6.28</v>
      </c>
      <c r="F57" s="6">
        <f>'Functional P&amp;L - Monthly Trend'!F54</f>
        <v>6.29</v>
      </c>
      <c r="G57" s="6">
        <f>'Functional P&amp;L - Monthly Trend'!G54</f>
        <v>6.43</v>
      </c>
      <c r="H57" s="6">
        <f>'Functional P&amp;L - Monthly Trend'!H54</f>
        <v>6.32</v>
      </c>
      <c r="I57" s="6">
        <f>'Functional P&amp;L - Monthly Trend'!I54</f>
        <v>6.54</v>
      </c>
      <c r="J57" s="6">
        <f>'Functional P&amp;L - Monthly Trend'!J54</f>
        <v>6</v>
      </c>
      <c r="K57" s="6">
        <f>'Functional P&amp;L - Monthly Trend'!K54</f>
        <v>7.48</v>
      </c>
      <c r="L57" s="6">
        <f>'Functional P&amp;L - Monthly Trend'!L54</f>
        <v>7.17</v>
      </c>
      <c r="M57" s="6">
        <f>'Functional P&amp;L - Monthly Trend'!M54</f>
        <v>7.37</v>
      </c>
      <c r="N57" s="6">
        <f>'Functional P&amp;L - Monthly Trend'!N54</f>
        <v>18.11</v>
      </c>
      <c r="O57" s="6">
        <f>'Functional P&amp;L - Monthly Trend'!O54</f>
        <v>19</v>
      </c>
      <c r="P57" s="6">
        <f>'Functional P&amp;L - Monthly Trend'!P54</f>
        <v>18.86</v>
      </c>
      <c r="Q57" s="6">
        <f>'Functional P&amp;L - Monthly Trend'!Q54</f>
        <v>22.02</v>
      </c>
      <c r="R57" s="6">
        <f>'Functional P&amp;L - Monthly Trend'!R54</f>
        <v>77.990000000000009</v>
      </c>
    </row>
    <row r="58" spans="1:18" x14ac:dyDescent="0.25">
      <c r="A58" s="3" t="s">
        <v>757</v>
      </c>
      <c r="B58" s="4">
        <f>'Functional P&amp;L - Monthly Trend'!B69</f>
        <v>135.86000000000001</v>
      </c>
      <c r="C58" s="4">
        <f>'Functional P&amp;L - Monthly Trend'!C69</f>
        <v>131.21</v>
      </c>
      <c r="D58" s="4">
        <f>'Functional P&amp;L - Monthly Trend'!D69</f>
        <v>130.63999999999999</v>
      </c>
      <c r="E58" s="4">
        <f>'Functional P&amp;L - Monthly Trend'!E69</f>
        <v>131.69999999999999</v>
      </c>
      <c r="F58" s="4">
        <f>'Functional P&amp;L - Monthly Trend'!F69</f>
        <v>144.79</v>
      </c>
      <c r="G58" s="4">
        <f>'Functional P&amp;L - Monthly Trend'!G69</f>
        <v>144.22999999999999</v>
      </c>
      <c r="H58" s="4">
        <f>'Functional P&amp;L - Monthly Trend'!H69</f>
        <v>145.61000000000001</v>
      </c>
      <c r="I58" s="4">
        <f>'Functional P&amp;L - Monthly Trend'!I69</f>
        <v>134.51</v>
      </c>
      <c r="J58" s="4">
        <f>'Functional P&amp;L - Monthly Trend'!J69</f>
        <v>134.72</v>
      </c>
      <c r="K58" s="4">
        <f>'Functional P&amp;L - Monthly Trend'!K69</f>
        <v>149.38999999999999</v>
      </c>
      <c r="L58" s="4">
        <f>'Functional P&amp;L - Monthly Trend'!L69</f>
        <v>151.25</v>
      </c>
      <c r="M58" s="4">
        <f>'Functional P&amp;L - Monthly Trend'!M69</f>
        <v>162.74</v>
      </c>
      <c r="N58" s="4">
        <f>'Functional P&amp;L - Monthly Trend'!N69</f>
        <v>397.71000000000004</v>
      </c>
      <c r="O58" s="4">
        <f>'Functional P&amp;L - Monthly Trend'!O69</f>
        <v>420.72</v>
      </c>
      <c r="P58" s="4">
        <f>'Functional P&amp;L - Monthly Trend'!P69</f>
        <v>414.84000000000003</v>
      </c>
      <c r="Q58" s="4">
        <f>'Functional P&amp;L - Monthly Trend'!Q69</f>
        <v>463.38</v>
      </c>
      <c r="R58" s="4">
        <f>'Functional P&amp;L - Monthly Trend'!R69</f>
        <v>1696.6500000000003</v>
      </c>
    </row>
    <row r="59" spans="1:18" x14ac:dyDescent="0.25">
      <c r="A59" s="5" t="s">
        <v>43</v>
      </c>
      <c r="B59" s="6">
        <f>'Functional P&amp;L - Monthly Trend'!B72</f>
        <v>48.35</v>
      </c>
      <c r="C59" s="6">
        <f>'Functional P&amp;L - Monthly Trend'!C72</f>
        <v>57.7</v>
      </c>
      <c r="D59" s="6">
        <f>'Functional P&amp;L - Monthly Trend'!D72</f>
        <v>52.99</v>
      </c>
      <c r="E59" s="6">
        <f>'Functional P&amp;L - Monthly Trend'!E72</f>
        <v>53.59</v>
      </c>
      <c r="F59" s="6">
        <f>'Functional P&amp;L - Monthly Trend'!F72</f>
        <v>57.62</v>
      </c>
      <c r="G59" s="6">
        <f>'Functional P&amp;L - Monthly Trend'!G72</f>
        <v>54.81</v>
      </c>
      <c r="H59" s="6">
        <f>'Functional P&amp;L - Monthly Trend'!H72</f>
        <v>57.11</v>
      </c>
      <c r="I59" s="6">
        <f>'Functional P&amp;L - Monthly Trend'!I72</f>
        <v>60.91</v>
      </c>
      <c r="J59" s="6">
        <f>'Functional P&amp;L - Monthly Trend'!J72</f>
        <v>57.07</v>
      </c>
      <c r="K59" s="6">
        <f>'Functional P&amp;L - Monthly Trend'!K72</f>
        <v>64.459999999999994</v>
      </c>
      <c r="L59" s="6">
        <f>'Functional P&amp;L - Monthly Trend'!L72</f>
        <v>57.27</v>
      </c>
      <c r="M59" s="6">
        <f>'Functional P&amp;L - Monthly Trend'!M72</f>
        <v>59.77</v>
      </c>
      <c r="N59" s="6">
        <f>'Functional P&amp;L - Monthly Trend'!N72</f>
        <v>159.04000000000002</v>
      </c>
      <c r="O59" s="6">
        <f>'Functional P&amp;L - Monthly Trend'!O72</f>
        <v>166.02</v>
      </c>
      <c r="P59" s="6">
        <f>'Functional P&amp;L - Monthly Trend'!P72</f>
        <v>175.09</v>
      </c>
      <c r="Q59" s="6">
        <f>'Functional P&amp;L - Monthly Trend'!Q72</f>
        <v>181.5</v>
      </c>
      <c r="R59" s="6">
        <f>'Functional P&amp;L - Monthly Trend'!R72</f>
        <v>681.65</v>
      </c>
    </row>
    <row r="60" spans="1:18" x14ac:dyDescent="0.25">
      <c r="A60" s="21" t="s">
        <v>758</v>
      </c>
      <c r="B60" s="25">
        <f t="shared" ref="B60:R60" si="1">SUM(B53:B59)</f>
        <v>450.44</v>
      </c>
      <c r="C60" s="25">
        <f t="shared" si="1"/>
        <v>449.93</v>
      </c>
      <c r="D60" s="25">
        <f t="shared" si="1"/>
        <v>451.32</v>
      </c>
      <c r="E60" s="25">
        <f t="shared" si="1"/>
        <v>469.08999999999992</v>
      </c>
      <c r="F60" s="25">
        <f t="shared" si="1"/>
        <v>488.47</v>
      </c>
      <c r="G60" s="25">
        <f t="shared" si="1"/>
        <v>481.78000000000003</v>
      </c>
      <c r="H60" s="25">
        <f t="shared" si="1"/>
        <v>485.64000000000004</v>
      </c>
      <c r="I60" s="25">
        <f t="shared" si="1"/>
        <v>480.57000000000005</v>
      </c>
      <c r="J60" s="25">
        <f t="shared" si="1"/>
        <v>478.14999999999992</v>
      </c>
      <c r="K60" s="25">
        <f t="shared" si="1"/>
        <v>538.85</v>
      </c>
      <c r="L60" s="25">
        <f t="shared" si="1"/>
        <v>532.68000000000006</v>
      </c>
      <c r="M60" s="25">
        <f t="shared" si="1"/>
        <v>547.88</v>
      </c>
      <c r="N60" s="25">
        <f t="shared" si="1"/>
        <v>1351.69</v>
      </c>
      <c r="O60" s="25">
        <f t="shared" si="1"/>
        <v>1439.34</v>
      </c>
      <c r="P60" s="25">
        <f t="shared" si="1"/>
        <v>1444.36</v>
      </c>
      <c r="Q60" s="25">
        <f t="shared" si="1"/>
        <v>1619.4099999999999</v>
      </c>
      <c r="R60" s="25">
        <f t="shared" si="1"/>
        <v>5854.8000000000011</v>
      </c>
    </row>
    <row r="61" spans="1:18" x14ac:dyDescent="0.25">
      <c r="A61" s="18"/>
      <c r="B61" s="18"/>
      <c r="C61" s="18"/>
      <c r="D61" s="18"/>
      <c r="E61" s="18"/>
      <c r="F61" s="18"/>
      <c r="G61" s="18"/>
      <c r="H61" s="18"/>
      <c r="I61" s="18"/>
      <c r="J61" s="18"/>
      <c r="K61" s="18"/>
      <c r="L61" s="18"/>
      <c r="M61" s="18"/>
      <c r="N61" s="18"/>
      <c r="O61" s="18"/>
      <c r="P61" s="18"/>
      <c r="Q61" s="18"/>
      <c r="R61" s="18"/>
    </row>
    <row r="62" spans="1:18" x14ac:dyDescent="0.25">
      <c r="A62" s="12" t="s">
        <v>16</v>
      </c>
      <c r="B62" s="12"/>
      <c r="C62" s="12"/>
      <c r="D62" s="12"/>
      <c r="E62" s="12"/>
      <c r="F62" s="12"/>
      <c r="G62" s="12"/>
      <c r="H62" s="12"/>
      <c r="I62" s="12"/>
      <c r="J62" s="12"/>
      <c r="K62" s="12"/>
      <c r="L62" s="12"/>
      <c r="M62" s="12"/>
      <c r="N62" s="12"/>
      <c r="O62" s="12"/>
      <c r="P62" s="12"/>
      <c r="Q62" s="12"/>
      <c r="R62" s="12"/>
    </row>
    <row r="63" spans="1:18" x14ac:dyDescent="0.25">
      <c r="A63" s="3" t="s">
        <v>21</v>
      </c>
      <c r="B63" s="4">
        <f>'Functional P&amp;L - Monthly Trend'!B86</f>
        <v>140.04</v>
      </c>
      <c r="C63" s="4">
        <f>'Functional P&amp;L - Monthly Trend'!C86</f>
        <v>144.16</v>
      </c>
      <c r="D63" s="4">
        <f>'Functional P&amp;L - Monthly Trend'!D86</f>
        <v>135.66999999999999</v>
      </c>
      <c r="E63" s="4">
        <f>'Functional P&amp;L - Monthly Trend'!E86</f>
        <v>150.31</v>
      </c>
      <c r="F63" s="4">
        <f>'Functional P&amp;L - Monthly Trend'!F86</f>
        <v>155.22</v>
      </c>
      <c r="G63" s="4">
        <f>'Functional P&amp;L - Monthly Trend'!G86</f>
        <v>148.59</v>
      </c>
      <c r="H63" s="4">
        <f>'Functional P&amp;L - Monthly Trend'!H86</f>
        <v>149.16999999999999</v>
      </c>
      <c r="I63" s="4">
        <f>'Functional P&amp;L - Monthly Trend'!I86</f>
        <v>150.61000000000001</v>
      </c>
      <c r="J63" s="4">
        <f>'Functional P&amp;L - Monthly Trend'!J86</f>
        <v>165.38</v>
      </c>
      <c r="K63" s="4">
        <f>'Functional P&amp;L - Monthly Trend'!K86</f>
        <v>180.56</v>
      </c>
      <c r="L63" s="4">
        <f>'Functional P&amp;L - Monthly Trend'!L86</f>
        <v>163.37</v>
      </c>
      <c r="M63" s="4">
        <f>'Functional P&amp;L - Monthly Trend'!M86</f>
        <v>172.11</v>
      </c>
      <c r="N63" s="4">
        <f>'Functional P&amp;L - Monthly Trend'!N86</f>
        <v>419.87</v>
      </c>
      <c r="O63" s="4">
        <f>'Functional P&amp;L - Monthly Trend'!O86</f>
        <v>454.12</v>
      </c>
      <c r="P63" s="4">
        <f>'Functional P&amp;L - Monthly Trend'!P86</f>
        <v>465.15999999999997</v>
      </c>
      <c r="Q63" s="4">
        <f>'Functional P&amp;L - Monthly Trend'!Q86</f>
        <v>516.04</v>
      </c>
      <c r="R63" s="4">
        <f>'Functional P&amp;L - Monthly Trend'!R86</f>
        <v>1855.19</v>
      </c>
    </row>
    <row r="64" spans="1:18" x14ac:dyDescent="0.25">
      <c r="A64" s="5" t="s">
        <v>56</v>
      </c>
      <c r="B64" s="6">
        <f>'Functional P&amp;L - Monthly Trend'!B87</f>
        <v>31.06</v>
      </c>
      <c r="C64" s="6">
        <f>'Functional P&amp;L - Monthly Trend'!C87</f>
        <v>33.82</v>
      </c>
      <c r="D64" s="6">
        <f>'Functional P&amp;L - Monthly Trend'!D87</f>
        <v>31.86</v>
      </c>
      <c r="E64" s="6">
        <f>'Functional P&amp;L - Monthly Trend'!E87</f>
        <v>32</v>
      </c>
      <c r="F64" s="6">
        <f>'Functional P&amp;L - Monthly Trend'!F87</f>
        <v>34.409999999999997</v>
      </c>
      <c r="G64" s="6">
        <f>'Functional P&amp;L - Monthly Trend'!G87</f>
        <v>35.869999999999997</v>
      </c>
      <c r="H64" s="6">
        <f>'Functional P&amp;L - Monthly Trend'!H87</f>
        <v>33.24</v>
      </c>
      <c r="I64" s="6">
        <f>'Functional P&amp;L - Monthly Trend'!I87</f>
        <v>37.1</v>
      </c>
      <c r="J64" s="6">
        <f>'Functional P&amp;L - Monthly Trend'!J87</f>
        <v>37.28</v>
      </c>
      <c r="K64" s="6">
        <f>'Functional P&amp;L - Monthly Trend'!K87</f>
        <v>41.91</v>
      </c>
      <c r="L64" s="6">
        <f>'Functional P&amp;L - Monthly Trend'!L87</f>
        <v>39.020000000000003</v>
      </c>
      <c r="M64" s="6">
        <f>'Functional P&amp;L - Monthly Trend'!M87</f>
        <v>41.18</v>
      </c>
      <c r="N64" s="6">
        <f>'Functional P&amp;L - Monthly Trend'!N87</f>
        <v>96.74</v>
      </c>
      <c r="O64" s="6">
        <f>'Functional P&amp;L - Monthly Trend'!O87</f>
        <v>102.28</v>
      </c>
      <c r="P64" s="6">
        <f>'Functional P&amp;L - Monthly Trend'!P87</f>
        <v>107.62</v>
      </c>
      <c r="Q64" s="6">
        <f>'Functional P&amp;L - Monthly Trend'!Q87</f>
        <v>122.11000000000001</v>
      </c>
      <c r="R64" s="6">
        <f>'Functional P&amp;L - Monthly Trend'!R87</f>
        <v>428.74999999999994</v>
      </c>
    </row>
    <row r="65" spans="1:18" x14ac:dyDescent="0.25">
      <c r="A65" s="3" t="s">
        <v>54</v>
      </c>
      <c r="B65" s="4">
        <f>'Functional P&amp;L - Monthly Trend'!B88</f>
        <v>53.37</v>
      </c>
      <c r="C65" s="4">
        <f>'Functional P&amp;L - Monthly Trend'!C88</f>
        <v>52.33</v>
      </c>
      <c r="D65" s="4">
        <f>'Functional P&amp;L - Monthly Trend'!D88</f>
        <v>52.01</v>
      </c>
      <c r="E65" s="4">
        <f>'Functional P&amp;L - Monthly Trend'!E88</f>
        <v>53.63</v>
      </c>
      <c r="F65" s="4">
        <f>'Functional P&amp;L - Monthly Trend'!F88</f>
        <v>58.34</v>
      </c>
      <c r="G65" s="4">
        <f>'Functional P&amp;L - Monthly Trend'!G88</f>
        <v>55.72</v>
      </c>
      <c r="H65" s="4">
        <f>'Functional P&amp;L - Monthly Trend'!H88</f>
        <v>55.53</v>
      </c>
      <c r="I65" s="4">
        <f>'Functional P&amp;L - Monthly Trend'!I88</f>
        <v>59.02</v>
      </c>
      <c r="J65" s="4">
        <f>'Functional P&amp;L - Monthly Trend'!J88</f>
        <v>58.52</v>
      </c>
      <c r="K65" s="4">
        <f>'Functional P&amp;L - Monthly Trend'!K88</f>
        <v>62.39</v>
      </c>
      <c r="L65" s="4">
        <f>'Functional P&amp;L - Monthly Trend'!L88</f>
        <v>60.28</v>
      </c>
      <c r="M65" s="4">
        <f>'Functional P&amp;L - Monthly Trend'!M88</f>
        <v>63.92</v>
      </c>
      <c r="N65" s="4">
        <f>'Functional P&amp;L - Monthly Trend'!N88</f>
        <v>157.70999999999998</v>
      </c>
      <c r="O65" s="4">
        <f>'Functional P&amp;L - Monthly Trend'!O88</f>
        <v>167.69</v>
      </c>
      <c r="P65" s="4">
        <f>'Functional P&amp;L - Monthly Trend'!P88</f>
        <v>173.07000000000002</v>
      </c>
      <c r="Q65" s="4">
        <f>'Functional P&amp;L - Monthly Trend'!Q88</f>
        <v>186.59</v>
      </c>
      <c r="R65" s="4">
        <f>'Functional P&amp;L - Monthly Trend'!R88</f>
        <v>685.05999999999983</v>
      </c>
    </row>
    <row r="66" spans="1:18" x14ac:dyDescent="0.25">
      <c r="A66" s="5" t="s">
        <v>15</v>
      </c>
      <c r="B66" s="6">
        <f>'Functional P&amp;L - Monthly Trend'!B89</f>
        <v>39.549999999999997</v>
      </c>
      <c r="C66" s="6">
        <f>'Functional P&amp;L - Monthly Trend'!C89</f>
        <v>38.89</v>
      </c>
      <c r="D66" s="6">
        <f>'Functional P&amp;L - Monthly Trend'!D89</f>
        <v>38.65</v>
      </c>
      <c r="E66" s="6">
        <f>'Functional P&amp;L - Monthly Trend'!E89</f>
        <v>39.299999999999997</v>
      </c>
      <c r="F66" s="6">
        <f>'Functional P&amp;L - Monthly Trend'!F89</f>
        <v>40.57</v>
      </c>
      <c r="G66" s="6">
        <f>'Functional P&amp;L - Monthly Trend'!G89</f>
        <v>40.700000000000003</v>
      </c>
      <c r="H66" s="6">
        <f>'Functional P&amp;L - Monthly Trend'!H89</f>
        <v>39.14</v>
      </c>
      <c r="I66" s="6">
        <f>'Functional P&amp;L - Monthly Trend'!I89</f>
        <v>42.43</v>
      </c>
      <c r="J66" s="6">
        <f>'Functional P&amp;L - Monthly Trend'!J89</f>
        <v>44.18</v>
      </c>
      <c r="K66" s="6">
        <f>'Functional P&amp;L - Monthly Trend'!K89</f>
        <v>46.22</v>
      </c>
      <c r="L66" s="6">
        <f>'Functional P&amp;L - Monthly Trend'!L89</f>
        <v>45.13</v>
      </c>
      <c r="M66" s="6">
        <f>'Functional P&amp;L - Monthly Trend'!M89</f>
        <v>48.21</v>
      </c>
      <c r="N66" s="6">
        <f>'Functional P&amp;L - Monthly Trend'!N89</f>
        <v>117.09</v>
      </c>
      <c r="O66" s="6">
        <f>'Functional P&amp;L - Monthly Trend'!O89</f>
        <v>120.57000000000001</v>
      </c>
      <c r="P66" s="6">
        <f>'Functional P&amp;L - Monthly Trend'!P89</f>
        <v>125.75</v>
      </c>
      <c r="Q66" s="6">
        <f>'Functional P&amp;L - Monthly Trend'!Q89</f>
        <v>139.56</v>
      </c>
      <c r="R66" s="6">
        <f>'Functional P&amp;L - Monthly Trend'!R89</f>
        <v>502.96999999999997</v>
      </c>
    </row>
    <row r="67" spans="1:18" x14ac:dyDescent="0.25">
      <c r="A67" s="3" t="s">
        <v>40</v>
      </c>
      <c r="B67" s="4">
        <f>'Functional P&amp;L - Monthly Trend'!B90</f>
        <v>6.55</v>
      </c>
      <c r="C67" s="4">
        <f>'Functional P&amp;L - Monthly Trend'!C90</f>
        <v>6.19</v>
      </c>
      <c r="D67" s="4">
        <f>'Functional P&amp;L - Monthly Trend'!D90</f>
        <v>6.3</v>
      </c>
      <c r="E67" s="4">
        <f>'Functional P&amp;L - Monthly Trend'!E90</f>
        <v>6.73</v>
      </c>
      <c r="F67" s="4">
        <f>'Functional P&amp;L - Monthly Trend'!F90</f>
        <v>7</v>
      </c>
      <c r="G67" s="4">
        <f>'Functional P&amp;L - Monthly Trend'!G90</f>
        <v>6.73</v>
      </c>
      <c r="H67" s="4">
        <f>'Functional P&amp;L - Monthly Trend'!H90</f>
        <v>6.62</v>
      </c>
      <c r="I67" s="4">
        <f>'Functional P&amp;L - Monthly Trend'!I90</f>
        <v>7.49</v>
      </c>
      <c r="J67" s="4">
        <f>'Functional P&amp;L - Monthly Trend'!J90</f>
        <v>7.39</v>
      </c>
      <c r="K67" s="4">
        <f>'Functional P&amp;L - Monthly Trend'!K90</f>
        <v>8.15</v>
      </c>
      <c r="L67" s="4">
        <f>'Functional P&amp;L - Monthly Trend'!L90</f>
        <v>8.01</v>
      </c>
      <c r="M67" s="4">
        <f>'Functional P&amp;L - Monthly Trend'!M90</f>
        <v>8.09</v>
      </c>
      <c r="N67" s="4">
        <f>'Functional P&amp;L - Monthly Trend'!N90</f>
        <v>19.04</v>
      </c>
      <c r="O67" s="4">
        <f>'Functional P&amp;L - Monthly Trend'!O90</f>
        <v>20.46</v>
      </c>
      <c r="P67" s="4">
        <f>'Functional P&amp;L - Monthly Trend'!P90</f>
        <v>21.5</v>
      </c>
      <c r="Q67" s="4">
        <f>'Functional P&amp;L - Monthly Trend'!Q90</f>
        <v>24.25</v>
      </c>
      <c r="R67" s="4">
        <f>'Functional P&amp;L - Monthly Trend'!R90</f>
        <v>85.250000000000014</v>
      </c>
    </row>
    <row r="68" spans="1:18" x14ac:dyDescent="0.25">
      <c r="A68" s="5" t="s">
        <v>757</v>
      </c>
      <c r="B68" s="6">
        <f>'Functional P&amp;L - Monthly Trend'!B105</f>
        <v>94.99</v>
      </c>
      <c r="C68" s="6">
        <f>'Functional P&amp;L - Monthly Trend'!C105</f>
        <v>112.28</v>
      </c>
      <c r="D68" s="6">
        <f>'Functional P&amp;L - Monthly Trend'!D105</f>
        <v>105.78</v>
      </c>
      <c r="E68" s="6">
        <f>'Functional P&amp;L - Monthly Trend'!E105</f>
        <v>100.28</v>
      </c>
      <c r="F68" s="6">
        <f>'Functional P&amp;L - Monthly Trend'!F105</f>
        <v>103.72</v>
      </c>
      <c r="G68" s="6">
        <f>'Functional P&amp;L - Monthly Trend'!G105</f>
        <v>103.63</v>
      </c>
      <c r="H68" s="6">
        <f>'Functional P&amp;L - Monthly Trend'!H105</f>
        <v>110.63</v>
      </c>
      <c r="I68" s="6">
        <f>'Functional P&amp;L - Monthly Trend'!I105</f>
        <v>109.11</v>
      </c>
      <c r="J68" s="6">
        <f>'Functional P&amp;L - Monthly Trend'!J105</f>
        <v>114.51</v>
      </c>
      <c r="K68" s="6">
        <f>'Functional P&amp;L - Monthly Trend'!K105</f>
        <v>116.16</v>
      </c>
      <c r="L68" s="6">
        <f>'Functional P&amp;L - Monthly Trend'!L105</f>
        <v>123.2</v>
      </c>
      <c r="M68" s="6">
        <f>'Functional P&amp;L - Monthly Trend'!M105</f>
        <v>131.04</v>
      </c>
      <c r="N68" s="6">
        <f>'Functional P&amp;L - Monthly Trend'!N105</f>
        <v>313.04999999999995</v>
      </c>
      <c r="O68" s="6">
        <f>'Functional P&amp;L - Monthly Trend'!O105</f>
        <v>307.63</v>
      </c>
      <c r="P68" s="6">
        <f>'Functional P&amp;L - Monthly Trend'!P105</f>
        <v>334.25</v>
      </c>
      <c r="Q68" s="6">
        <f>'Functional P&amp;L - Monthly Trend'!Q105</f>
        <v>370.4</v>
      </c>
      <c r="R68" s="6">
        <f>'Functional P&amp;L - Monthly Trend'!R105</f>
        <v>1325.33</v>
      </c>
    </row>
    <row r="69" spans="1:18" x14ac:dyDescent="0.25">
      <c r="A69" s="3" t="s">
        <v>43</v>
      </c>
      <c r="B69" s="4">
        <f>'Functional P&amp;L - Monthly Trend'!B108</f>
        <v>36.130000000000003</v>
      </c>
      <c r="C69" s="4">
        <f>'Functional P&amp;L - Monthly Trend'!C108</f>
        <v>36.619999999999997</v>
      </c>
      <c r="D69" s="4">
        <f>'Functional P&amp;L - Monthly Trend'!D108</f>
        <v>32.74</v>
      </c>
      <c r="E69" s="4">
        <f>'Functional P&amp;L - Monthly Trend'!E108</f>
        <v>37.450000000000003</v>
      </c>
      <c r="F69" s="4">
        <f>'Functional P&amp;L - Monthly Trend'!F108</f>
        <v>33.81</v>
      </c>
      <c r="G69" s="4">
        <f>'Functional P&amp;L - Monthly Trend'!G108</f>
        <v>37.85</v>
      </c>
      <c r="H69" s="4">
        <f>'Functional P&amp;L - Monthly Trend'!H108</f>
        <v>35.78</v>
      </c>
      <c r="I69" s="4">
        <f>'Functional P&amp;L - Monthly Trend'!I108</f>
        <v>35.799999999999997</v>
      </c>
      <c r="J69" s="4">
        <f>'Functional P&amp;L - Monthly Trend'!J108</f>
        <v>41.5</v>
      </c>
      <c r="K69" s="4">
        <f>'Functional P&amp;L - Monthly Trend'!K108</f>
        <v>41.82</v>
      </c>
      <c r="L69" s="4">
        <f>'Functional P&amp;L - Monthly Trend'!L108</f>
        <v>44.44</v>
      </c>
      <c r="M69" s="4">
        <f>'Functional P&amp;L - Monthly Trend'!M108</f>
        <v>39.450000000000003</v>
      </c>
      <c r="N69" s="4">
        <f>'Functional P&amp;L - Monthly Trend'!N108</f>
        <v>105.49000000000001</v>
      </c>
      <c r="O69" s="4">
        <f>'Functional P&amp;L - Monthly Trend'!O108</f>
        <v>109.11000000000001</v>
      </c>
      <c r="P69" s="4">
        <f>'Functional P&amp;L - Monthly Trend'!P108</f>
        <v>113.08</v>
      </c>
      <c r="Q69" s="4">
        <f>'Functional P&amp;L - Monthly Trend'!Q108</f>
        <v>125.71</v>
      </c>
      <c r="R69" s="4">
        <f>'Functional P&amp;L - Monthly Trend'!R108</f>
        <v>453.39</v>
      </c>
    </row>
    <row r="70" spans="1:18" x14ac:dyDescent="0.25">
      <c r="A70" s="21" t="s">
        <v>758</v>
      </c>
      <c r="B70" s="25">
        <f t="shared" ref="B70:R70" si="2">SUM(B63:B69)</f>
        <v>401.69</v>
      </c>
      <c r="C70" s="25">
        <f t="shared" si="2"/>
        <v>424.28999999999996</v>
      </c>
      <c r="D70" s="25">
        <f t="shared" si="2"/>
        <v>403.01</v>
      </c>
      <c r="E70" s="25">
        <f t="shared" si="2"/>
        <v>419.7</v>
      </c>
      <c r="F70" s="25">
        <f t="shared" si="2"/>
        <v>433.07</v>
      </c>
      <c r="G70" s="25">
        <f t="shared" si="2"/>
        <v>429.09000000000003</v>
      </c>
      <c r="H70" s="25">
        <f t="shared" si="2"/>
        <v>430.11</v>
      </c>
      <c r="I70" s="25">
        <f t="shared" si="2"/>
        <v>441.56000000000006</v>
      </c>
      <c r="J70" s="25">
        <f t="shared" si="2"/>
        <v>468.76</v>
      </c>
      <c r="K70" s="25">
        <f t="shared" si="2"/>
        <v>497.21</v>
      </c>
      <c r="L70" s="25">
        <f t="shared" si="2"/>
        <v>483.45</v>
      </c>
      <c r="M70" s="25">
        <f t="shared" si="2"/>
        <v>503.99999999999994</v>
      </c>
      <c r="N70" s="25">
        <f t="shared" si="2"/>
        <v>1228.99</v>
      </c>
      <c r="O70" s="25">
        <f t="shared" si="2"/>
        <v>1281.8600000000001</v>
      </c>
      <c r="P70" s="25">
        <f t="shared" si="2"/>
        <v>1340.4299999999998</v>
      </c>
      <c r="Q70" s="25">
        <f t="shared" si="2"/>
        <v>1484.6599999999999</v>
      </c>
      <c r="R70" s="25">
        <f t="shared" si="2"/>
        <v>5335.94</v>
      </c>
    </row>
    <row r="71" spans="1:18" x14ac:dyDescent="0.25">
      <c r="A71" s="18"/>
      <c r="B71" s="18"/>
      <c r="C71" s="18"/>
      <c r="D71" s="18"/>
      <c r="E71" s="18"/>
      <c r="F71" s="18"/>
      <c r="G71" s="18"/>
      <c r="H71" s="18"/>
      <c r="I71" s="18"/>
      <c r="J71" s="18"/>
      <c r="K71" s="18"/>
      <c r="L71" s="18"/>
      <c r="M71" s="18"/>
      <c r="N71" s="18"/>
      <c r="O71" s="18"/>
      <c r="P71" s="18"/>
      <c r="Q71" s="18"/>
      <c r="R71" s="18"/>
    </row>
    <row r="72" spans="1:18" x14ac:dyDescent="0.25">
      <c r="A72" s="12" t="s">
        <v>10</v>
      </c>
      <c r="B72" s="12"/>
      <c r="C72" s="12"/>
      <c r="D72" s="12"/>
      <c r="E72" s="12"/>
      <c r="F72" s="12"/>
      <c r="G72" s="12"/>
      <c r="H72" s="12"/>
      <c r="I72" s="12"/>
      <c r="J72" s="12"/>
      <c r="K72" s="12"/>
      <c r="L72" s="12"/>
      <c r="M72" s="12"/>
      <c r="N72" s="12"/>
      <c r="O72" s="12"/>
      <c r="P72" s="12"/>
      <c r="Q72" s="12"/>
      <c r="R72" s="12"/>
    </row>
    <row r="73" spans="1:18" x14ac:dyDescent="0.25">
      <c r="A73" s="5" t="s">
        <v>21</v>
      </c>
      <c r="B73" s="6">
        <f>'Functional P&amp;L - Monthly Trend'!B122</f>
        <v>64.11</v>
      </c>
      <c r="C73" s="6">
        <f>'Functional P&amp;L - Monthly Trend'!C122</f>
        <v>66.959999999999994</v>
      </c>
      <c r="D73" s="6">
        <f>'Functional P&amp;L - Monthly Trend'!D122</f>
        <v>66.86</v>
      </c>
      <c r="E73" s="6">
        <f>'Functional P&amp;L - Monthly Trend'!E122</f>
        <v>70.38</v>
      </c>
      <c r="F73" s="6">
        <f>'Functional P&amp;L - Monthly Trend'!F122</f>
        <v>67.22</v>
      </c>
      <c r="G73" s="6">
        <f>'Functional P&amp;L - Monthly Trend'!G122</f>
        <v>70.06</v>
      </c>
      <c r="H73" s="6">
        <f>'Functional P&amp;L - Monthly Trend'!H122</f>
        <v>70.58</v>
      </c>
      <c r="I73" s="6">
        <f>'Functional P&amp;L - Monthly Trend'!I122</f>
        <v>76.72</v>
      </c>
      <c r="J73" s="6">
        <f>'Functional P&amp;L - Monthly Trend'!J122</f>
        <v>73.77</v>
      </c>
      <c r="K73" s="6">
        <f>'Functional P&amp;L - Monthly Trend'!K122</f>
        <v>83.72</v>
      </c>
      <c r="L73" s="6">
        <f>'Functional P&amp;L - Monthly Trend'!L122</f>
        <v>84.99</v>
      </c>
      <c r="M73" s="6">
        <f>'Functional P&amp;L - Monthly Trend'!M122</f>
        <v>79.81</v>
      </c>
      <c r="N73" s="6">
        <f>'Functional P&amp;L - Monthly Trend'!N122</f>
        <v>197.93</v>
      </c>
      <c r="O73" s="6">
        <f>'Functional P&amp;L - Monthly Trend'!O122</f>
        <v>207.66</v>
      </c>
      <c r="P73" s="6">
        <f>'Functional P&amp;L - Monthly Trend'!P122</f>
        <v>221.07</v>
      </c>
      <c r="Q73" s="6">
        <f>'Functional P&amp;L - Monthly Trend'!Q122</f>
        <v>248.51999999999998</v>
      </c>
      <c r="R73" s="6">
        <f>'Functional P&amp;L - Monthly Trend'!R122</f>
        <v>875.18000000000006</v>
      </c>
    </row>
    <row r="74" spans="1:18" x14ac:dyDescent="0.25">
      <c r="A74" s="3" t="s">
        <v>56</v>
      </c>
      <c r="B74" s="4">
        <f>'Functional P&amp;L - Monthly Trend'!B123</f>
        <v>16.68</v>
      </c>
      <c r="C74" s="4">
        <f>'Functional P&amp;L - Monthly Trend'!C123</f>
        <v>17.420000000000002</v>
      </c>
      <c r="D74" s="4">
        <f>'Functional P&amp;L - Monthly Trend'!D123</f>
        <v>16.02</v>
      </c>
      <c r="E74" s="4">
        <f>'Functional P&amp;L - Monthly Trend'!E123</f>
        <v>15.82</v>
      </c>
      <c r="F74" s="4">
        <f>'Functional P&amp;L - Monthly Trend'!F123</f>
        <v>15.73</v>
      </c>
      <c r="G74" s="4">
        <f>'Functional P&amp;L - Monthly Trend'!G123</f>
        <v>17.61</v>
      </c>
      <c r="H74" s="4">
        <f>'Functional P&amp;L - Monthly Trend'!H123</f>
        <v>17.37</v>
      </c>
      <c r="I74" s="4">
        <f>'Functional P&amp;L - Monthly Trend'!I123</f>
        <v>17.75</v>
      </c>
      <c r="J74" s="4">
        <f>'Functional P&amp;L - Monthly Trend'!J123</f>
        <v>18.71</v>
      </c>
      <c r="K74" s="4">
        <f>'Functional P&amp;L - Monthly Trend'!K123</f>
        <v>19.04</v>
      </c>
      <c r="L74" s="4">
        <f>'Functional P&amp;L - Monthly Trend'!L123</f>
        <v>20.28</v>
      </c>
      <c r="M74" s="4">
        <f>'Functional P&amp;L - Monthly Trend'!M123</f>
        <v>20.170000000000002</v>
      </c>
      <c r="N74" s="4">
        <f>'Functional P&amp;L - Monthly Trend'!N123</f>
        <v>50.120000000000005</v>
      </c>
      <c r="O74" s="4">
        <f>'Functional P&amp;L - Monthly Trend'!O123</f>
        <v>49.16</v>
      </c>
      <c r="P74" s="4">
        <f>'Functional P&amp;L - Monthly Trend'!P123</f>
        <v>53.830000000000005</v>
      </c>
      <c r="Q74" s="4">
        <f>'Functional P&amp;L - Monthly Trend'!Q123</f>
        <v>59.49</v>
      </c>
      <c r="R74" s="4">
        <f>'Functional P&amp;L - Monthly Trend'!R123</f>
        <v>212.60000000000002</v>
      </c>
    </row>
    <row r="75" spans="1:18" x14ac:dyDescent="0.25">
      <c r="A75" s="5" t="s">
        <v>54</v>
      </c>
      <c r="B75" s="6">
        <f>'Functional P&amp;L - Monthly Trend'!B124</f>
        <v>25.86</v>
      </c>
      <c r="C75" s="6">
        <f>'Functional P&amp;L - Monthly Trend'!C124</f>
        <v>28.5</v>
      </c>
      <c r="D75" s="6">
        <f>'Functional P&amp;L - Monthly Trend'!D124</f>
        <v>28.75</v>
      </c>
      <c r="E75" s="6">
        <f>'Functional P&amp;L - Monthly Trend'!E124</f>
        <v>27.96</v>
      </c>
      <c r="F75" s="6">
        <f>'Functional P&amp;L - Monthly Trend'!F124</f>
        <v>25.71</v>
      </c>
      <c r="G75" s="6">
        <f>'Functional P&amp;L - Monthly Trend'!G124</f>
        <v>30.23</v>
      </c>
      <c r="H75" s="6">
        <f>'Functional P&amp;L - Monthly Trend'!H124</f>
        <v>28.46</v>
      </c>
      <c r="I75" s="6">
        <f>'Functional P&amp;L - Monthly Trend'!I124</f>
        <v>29.44</v>
      </c>
      <c r="J75" s="6">
        <f>'Functional P&amp;L - Monthly Trend'!J124</f>
        <v>30.3</v>
      </c>
      <c r="K75" s="6">
        <f>'Functional P&amp;L - Monthly Trend'!K124</f>
        <v>32.700000000000003</v>
      </c>
      <c r="L75" s="6">
        <f>'Functional P&amp;L - Monthly Trend'!L124</f>
        <v>33.19</v>
      </c>
      <c r="M75" s="6">
        <f>'Functional P&amp;L - Monthly Trend'!M124</f>
        <v>32.67</v>
      </c>
      <c r="N75" s="6">
        <f>'Functional P&amp;L - Monthly Trend'!N124</f>
        <v>83.11</v>
      </c>
      <c r="O75" s="6">
        <f>'Functional P&amp;L - Monthly Trend'!O124</f>
        <v>83.9</v>
      </c>
      <c r="P75" s="6">
        <f>'Functional P&amp;L - Monthly Trend'!P124</f>
        <v>88.2</v>
      </c>
      <c r="Q75" s="6">
        <f>'Functional P&amp;L - Monthly Trend'!Q124</f>
        <v>98.56</v>
      </c>
      <c r="R75" s="6">
        <f>'Functional P&amp;L - Monthly Trend'!R124</f>
        <v>353.77000000000004</v>
      </c>
    </row>
    <row r="76" spans="1:18" x14ac:dyDescent="0.25">
      <c r="A76" s="3" t="s">
        <v>15</v>
      </c>
      <c r="B76" s="4">
        <f>'Functional P&amp;L - Monthly Trend'!B125</f>
        <v>11.15</v>
      </c>
      <c r="C76" s="4">
        <f>'Functional P&amp;L - Monthly Trend'!C125</f>
        <v>11.46</v>
      </c>
      <c r="D76" s="4">
        <f>'Functional P&amp;L - Monthly Trend'!D125</f>
        <v>10.67</v>
      </c>
      <c r="E76" s="4">
        <f>'Functional P&amp;L - Monthly Trend'!E125</f>
        <v>11.58</v>
      </c>
      <c r="F76" s="4">
        <f>'Functional P&amp;L - Monthly Trend'!F125</f>
        <v>10.83</v>
      </c>
      <c r="G76" s="4">
        <f>'Functional P&amp;L - Monthly Trend'!G125</f>
        <v>11.91</v>
      </c>
      <c r="H76" s="4">
        <f>'Functional P&amp;L - Monthly Trend'!H125</f>
        <v>11.3</v>
      </c>
      <c r="I76" s="4">
        <f>'Functional P&amp;L - Monthly Trend'!I125</f>
        <v>11.88</v>
      </c>
      <c r="J76" s="4">
        <f>'Functional P&amp;L - Monthly Trend'!J125</f>
        <v>12.49</v>
      </c>
      <c r="K76" s="4">
        <f>'Functional P&amp;L - Monthly Trend'!K125</f>
        <v>13.87</v>
      </c>
      <c r="L76" s="4">
        <f>'Functional P&amp;L - Monthly Trend'!L125</f>
        <v>12.96</v>
      </c>
      <c r="M76" s="4">
        <f>'Functional P&amp;L - Monthly Trend'!M125</f>
        <v>13.69</v>
      </c>
      <c r="N76" s="4">
        <f>'Functional P&amp;L - Monthly Trend'!N125</f>
        <v>33.28</v>
      </c>
      <c r="O76" s="4">
        <f>'Functional P&amp;L - Monthly Trend'!O125</f>
        <v>34.32</v>
      </c>
      <c r="P76" s="4">
        <f>'Functional P&amp;L - Monthly Trend'!P125</f>
        <v>35.67</v>
      </c>
      <c r="Q76" s="4">
        <f>'Functional P&amp;L - Monthly Trend'!Q125</f>
        <v>40.519999999999996</v>
      </c>
      <c r="R76" s="4">
        <f>'Functional P&amp;L - Monthly Trend'!R125</f>
        <v>143.79</v>
      </c>
    </row>
    <row r="77" spans="1:18" x14ac:dyDescent="0.25">
      <c r="A77" s="5" t="s">
        <v>40</v>
      </c>
      <c r="B77" s="6">
        <f>'Functional P&amp;L - Monthly Trend'!B126</f>
        <v>2.16</v>
      </c>
      <c r="C77" s="6">
        <f>'Functional P&amp;L - Monthly Trend'!C126</f>
        <v>2.2200000000000002</v>
      </c>
      <c r="D77" s="6">
        <f>'Functional P&amp;L - Monthly Trend'!D126</f>
        <v>2.21</v>
      </c>
      <c r="E77" s="6">
        <f>'Functional P&amp;L - Monthly Trend'!E126</f>
        <v>2.27</v>
      </c>
      <c r="F77" s="6">
        <f>'Functional P&amp;L - Monthly Trend'!F126</f>
        <v>2.09</v>
      </c>
      <c r="G77" s="6">
        <f>'Functional P&amp;L - Monthly Trend'!G126</f>
        <v>2.39</v>
      </c>
      <c r="H77" s="6">
        <f>'Functional P&amp;L - Monthly Trend'!H126</f>
        <v>2.29</v>
      </c>
      <c r="I77" s="6">
        <f>'Functional P&amp;L - Monthly Trend'!I126</f>
        <v>2.29</v>
      </c>
      <c r="J77" s="6">
        <f>'Functional P&amp;L - Monthly Trend'!J126</f>
        <v>2.5299999999999998</v>
      </c>
      <c r="K77" s="6">
        <f>'Functional P&amp;L - Monthly Trend'!K126</f>
        <v>2.58</v>
      </c>
      <c r="L77" s="6">
        <f>'Functional P&amp;L - Monthly Trend'!L126</f>
        <v>2.64</v>
      </c>
      <c r="M77" s="6">
        <f>'Functional P&amp;L - Monthly Trend'!M126</f>
        <v>2.69</v>
      </c>
      <c r="N77" s="6">
        <f>'Functional P&amp;L - Monthly Trend'!N126</f>
        <v>6.5900000000000007</v>
      </c>
      <c r="O77" s="6">
        <f>'Functional P&amp;L - Monthly Trend'!O126</f>
        <v>6.75</v>
      </c>
      <c r="P77" s="6">
        <f>'Functional P&amp;L - Monthly Trend'!P126</f>
        <v>7.1099999999999994</v>
      </c>
      <c r="Q77" s="6">
        <f>'Functional P&amp;L - Monthly Trend'!Q126</f>
        <v>7.91</v>
      </c>
      <c r="R77" s="6">
        <f>'Functional P&amp;L - Monthly Trend'!R126</f>
        <v>28.360000000000003</v>
      </c>
    </row>
    <row r="78" spans="1:18" x14ac:dyDescent="0.25">
      <c r="A78" s="3" t="s">
        <v>757</v>
      </c>
      <c r="B78" s="4">
        <f>'Functional P&amp;L - Monthly Trend'!B141</f>
        <v>48.74</v>
      </c>
      <c r="C78" s="4">
        <f>'Functional P&amp;L - Monthly Trend'!C141</f>
        <v>55.96</v>
      </c>
      <c r="D78" s="4">
        <f>'Functional P&amp;L - Monthly Trend'!D141</f>
        <v>53.56</v>
      </c>
      <c r="E78" s="4">
        <f>'Functional P&amp;L - Monthly Trend'!E141</f>
        <v>55.6</v>
      </c>
      <c r="F78" s="4">
        <f>'Functional P&amp;L - Monthly Trend'!F141</f>
        <v>55.46</v>
      </c>
      <c r="G78" s="4">
        <f>'Functional P&amp;L - Monthly Trend'!G141</f>
        <v>55.02</v>
      </c>
      <c r="H78" s="4">
        <f>'Functional P&amp;L - Monthly Trend'!H141</f>
        <v>55.68</v>
      </c>
      <c r="I78" s="4">
        <f>'Functional P&amp;L - Monthly Trend'!I141</f>
        <v>58</v>
      </c>
      <c r="J78" s="4">
        <f>'Functional P&amp;L - Monthly Trend'!J141</f>
        <v>56.77</v>
      </c>
      <c r="K78" s="4">
        <f>'Functional P&amp;L - Monthly Trend'!K141</f>
        <v>66.39</v>
      </c>
      <c r="L78" s="4">
        <f>'Functional P&amp;L - Monthly Trend'!L141</f>
        <v>66.22</v>
      </c>
      <c r="M78" s="4">
        <f>'Functional P&amp;L - Monthly Trend'!M141</f>
        <v>60.35</v>
      </c>
      <c r="N78" s="4">
        <f>'Functional P&amp;L - Monthly Trend'!N141</f>
        <v>158.26</v>
      </c>
      <c r="O78" s="4">
        <f>'Functional P&amp;L - Monthly Trend'!O141</f>
        <v>166.08</v>
      </c>
      <c r="P78" s="4">
        <f>'Functional P&amp;L - Monthly Trend'!P141</f>
        <v>170.45000000000002</v>
      </c>
      <c r="Q78" s="4">
        <f>'Functional P&amp;L - Monthly Trend'!Q141</f>
        <v>192.96</v>
      </c>
      <c r="R78" s="4">
        <f>'Functional P&amp;L - Monthly Trend'!R141</f>
        <v>687.75</v>
      </c>
    </row>
    <row r="79" spans="1:18" x14ac:dyDescent="0.25">
      <c r="A79" s="5" t="s">
        <v>43</v>
      </c>
      <c r="B79" s="6">
        <f>'Functional P&amp;L - Monthly Trend'!B144</f>
        <v>16.45</v>
      </c>
      <c r="C79" s="6">
        <f>'Functional P&amp;L - Monthly Trend'!C144</f>
        <v>19.16</v>
      </c>
      <c r="D79" s="6">
        <f>'Functional P&amp;L - Monthly Trend'!D144</f>
        <v>20.18</v>
      </c>
      <c r="E79" s="6">
        <f>'Functional P&amp;L - Monthly Trend'!E144</f>
        <v>18.829999999999998</v>
      </c>
      <c r="F79" s="6">
        <f>'Functional P&amp;L - Monthly Trend'!F144</f>
        <v>19.12</v>
      </c>
      <c r="G79" s="6">
        <f>'Functional P&amp;L - Monthly Trend'!G144</f>
        <v>18.45</v>
      </c>
      <c r="H79" s="6">
        <f>'Functional P&amp;L - Monthly Trend'!H144</f>
        <v>18.36</v>
      </c>
      <c r="I79" s="6">
        <f>'Functional P&amp;L - Monthly Trend'!I144</f>
        <v>18.96</v>
      </c>
      <c r="J79" s="6">
        <f>'Functional P&amp;L - Monthly Trend'!J144</f>
        <v>18.61</v>
      </c>
      <c r="K79" s="6">
        <f>'Functional P&amp;L - Monthly Trend'!K144</f>
        <v>20.03</v>
      </c>
      <c r="L79" s="6">
        <f>'Functional P&amp;L - Monthly Trend'!L144</f>
        <v>21.41</v>
      </c>
      <c r="M79" s="6">
        <f>'Functional P&amp;L - Monthly Trend'!M144</f>
        <v>20.32</v>
      </c>
      <c r="N79" s="6">
        <f>'Functional P&amp;L - Monthly Trend'!N144</f>
        <v>55.79</v>
      </c>
      <c r="O79" s="6">
        <f>'Functional P&amp;L - Monthly Trend'!O144</f>
        <v>56.400000000000006</v>
      </c>
      <c r="P79" s="6">
        <f>'Functional P&amp;L - Monthly Trend'!P144</f>
        <v>55.93</v>
      </c>
      <c r="Q79" s="6">
        <f>'Functional P&amp;L - Monthly Trend'!Q144</f>
        <v>61.76</v>
      </c>
      <c r="R79" s="6">
        <f>'Functional P&amp;L - Monthly Trend'!R144</f>
        <v>229.88</v>
      </c>
    </row>
    <row r="80" spans="1:18" x14ac:dyDescent="0.25">
      <c r="A80" s="21" t="s">
        <v>758</v>
      </c>
      <c r="B80" s="25">
        <f t="shared" ref="B80:R80" si="3">SUM(B73:B79)</f>
        <v>185.14999999999998</v>
      </c>
      <c r="C80" s="25">
        <f t="shared" si="3"/>
        <v>201.68</v>
      </c>
      <c r="D80" s="25">
        <f t="shared" si="3"/>
        <v>198.25</v>
      </c>
      <c r="E80" s="25">
        <f t="shared" si="3"/>
        <v>202.44</v>
      </c>
      <c r="F80" s="25">
        <f t="shared" si="3"/>
        <v>196.16</v>
      </c>
      <c r="G80" s="25">
        <f t="shared" si="3"/>
        <v>205.67</v>
      </c>
      <c r="H80" s="25">
        <f t="shared" si="3"/>
        <v>204.04000000000002</v>
      </c>
      <c r="I80" s="25">
        <f t="shared" si="3"/>
        <v>215.04</v>
      </c>
      <c r="J80" s="25">
        <f t="shared" si="3"/>
        <v>213.18</v>
      </c>
      <c r="K80" s="25">
        <f t="shared" si="3"/>
        <v>238.33</v>
      </c>
      <c r="L80" s="25">
        <f t="shared" si="3"/>
        <v>241.68999999999997</v>
      </c>
      <c r="M80" s="25">
        <f t="shared" si="3"/>
        <v>229.7</v>
      </c>
      <c r="N80" s="25">
        <f t="shared" si="3"/>
        <v>585.07999999999993</v>
      </c>
      <c r="O80" s="25">
        <f t="shared" si="3"/>
        <v>604.27</v>
      </c>
      <c r="P80" s="25">
        <f t="shared" si="3"/>
        <v>632.26</v>
      </c>
      <c r="Q80" s="25">
        <f t="shared" si="3"/>
        <v>709.72</v>
      </c>
      <c r="R80" s="25">
        <f t="shared" si="3"/>
        <v>2531.33</v>
      </c>
    </row>
  </sheetData>
  <pageMargins left="0.75" right="0.75" top="1" bottom="1" header="0.511811023622047" footer="0.511811023622047"/>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1F4E79"/>
  </sheetPr>
  <dimension ref="A1:R147"/>
  <sheetViews>
    <sheetView showGridLines="0" zoomScaleNormal="100" workbookViewId="0">
      <pane ySplit="4" topLeftCell="A5" activePane="bottomLeft" state="frozen"/>
      <selection pane="bottomLeft"/>
    </sheetView>
  </sheetViews>
  <sheetFormatPr defaultColWidth="8.5703125" defaultRowHeight="15" x14ac:dyDescent="0.25"/>
  <cols>
    <col min="1" max="1" width="38" customWidth="1"/>
    <col min="2" max="17" width="21" customWidth="1"/>
    <col min="18" max="18" width="22" customWidth="1"/>
  </cols>
  <sheetData>
    <row r="1" spans="1:18" ht="15.6" customHeight="1" x14ac:dyDescent="0.25">
      <c r="A1" s="9" t="s">
        <v>561</v>
      </c>
      <c r="R1" s="10" t="s">
        <v>562</v>
      </c>
    </row>
    <row r="2" spans="1:18" ht="15.75" customHeight="1" x14ac:dyDescent="0.25">
      <c r="A2" s="11" t="s">
        <v>759</v>
      </c>
    </row>
    <row r="4" spans="1:18" x14ac:dyDescent="0.25">
      <c r="A4" s="1" t="s">
        <v>734</v>
      </c>
      <c r="B4" s="2" t="s">
        <v>699</v>
      </c>
      <c r="C4" s="2" t="s">
        <v>700</v>
      </c>
      <c r="D4" s="2" t="s">
        <v>701</v>
      </c>
      <c r="E4" s="2" t="s">
        <v>702</v>
      </c>
      <c r="F4" s="2" t="s">
        <v>703</v>
      </c>
      <c r="G4" s="2" t="s">
        <v>704</v>
      </c>
      <c r="H4" s="2" t="s">
        <v>705</v>
      </c>
      <c r="I4" s="2" t="s">
        <v>706</v>
      </c>
      <c r="J4" s="2" t="s">
        <v>707</v>
      </c>
      <c r="K4" s="2" t="s">
        <v>708</v>
      </c>
      <c r="L4" s="2" t="s">
        <v>709</v>
      </c>
      <c r="M4" s="2" t="s">
        <v>710</v>
      </c>
      <c r="N4" s="2" t="s">
        <v>735</v>
      </c>
      <c r="O4" s="2" t="s">
        <v>736</v>
      </c>
      <c r="P4" s="2" t="s">
        <v>737</v>
      </c>
      <c r="Q4" s="2" t="s">
        <v>738</v>
      </c>
      <c r="R4" s="2" t="s">
        <v>739</v>
      </c>
    </row>
    <row r="5" spans="1:18" x14ac:dyDescent="0.25">
      <c r="A5" s="18"/>
      <c r="B5" s="18"/>
      <c r="C5" s="18"/>
      <c r="D5" s="18"/>
      <c r="E5" s="18"/>
      <c r="F5" s="18"/>
      <c r="G5" s="18"/>
      <c r="H5" s="18"/>
      <c r="I5" s="18"/>
      <c r="J5" s="18"/>
      <c r="K5" s="18"/>
      <c r="L5" s="18"/>
      <c r="M5" s="18"/>
      <c r="N5" s="18"/>
      <c r="O5" s="18"/>
      <c r="P5" s="18"/>
      <c r="Q5" s="18"/>
      <c r="R5" s="18"/>
    </row>
    <row r="6" spans="1:18" ht="15.6" customHeight="1" x14ac:dyDescent="0.25">
      <c r="A6" s="12" t="s">
        <v>25</v>
      </c>
      <c r="B6" s="12"/>
      <c r="C6" s="12"/>
      <c r="D6" s="12"/>
      <c r="E6" s="12"/>
      <c r="F6" s="12"/>
      <c r="G6" s="12"/>
      <c r="H6" s="12"/>
      <c r="I6" s="12"/>
      <c r="J6" s="12"/>
      <c r="K6" s="12"/>
      <c r="L6" s="12"/>
      <c r="M6" s="12"/>
      <c r="N6" s="12"/>
      <c r="O6" s="12"/>
      <c r="P6" s="12"/>
      <c r="Q6" s="12"/>
      <c r="R6" s="12"/>
    </row>
    <row r="7" spans="1:18" x14ac:dyDescent="0.25">
      <c r="A7" s="12" t="s">
        <v>602</v>
      </c>
      <c r="B7" s="12"/>
      <c r="C7" s="12"/>
      <c r="D7" s="12"/>
      <c r="E7" s="12"/>
      <c r="F7" s="12"/>
      <c r="G7" s="12"/>
      <c r="H7" s="12"/>
      <c r="I7" s="12"/>
      <c r="J7" s="12"/>
      <c r="K7" s="12"/>
      <c r="L7" s="12"/>
      <c r="M7" s="12"/>
      <c r="N7" s="12"/>
      <c r="O7" s="12"/>
      <c r="P7" s="12"/>
      <c r="Q7" s="12"/>
      <c r="R7" s="12"/>
    </row>
    <row r="8" spans="1:18" x14ac:dyDescent="0.25">
      <c r="A8" s="3" t="s">
        <v>619</v>
      </c>
      <c r="B8" s="4">
        <v>4040.8</v>
      </c>
      <c r="C8" s="4">
        <v>4245.3</v>
      </c>
      <c r="D8" s="4">
        <v>4346.38</v>
      </c>
      <c r="E8" s="4">
        <v>4387.97</v>
      </c>
      <c r="F8" s="4">
        <v>4232.75</v>
      </c>
      <c r="G8" s="4">
        <v>4490.3</v>
      </c>
      <c r="H8" s="4">
        <v>4509.1400000000003</v>
      </c>
      <c r="I8" s="4">
        <v>4704.67</v>
      </c>
      <c r="J8" s="4">
        <v>4511.68</v>
      </c>
      <c r="K8" s="4">
        <v>4896.07</v>
      </c>
      <c r="L8" s="4">
        <v>5126.58</v>
      </c>
      <c r="M8" s="4">
        <v>5003.5200000000004</v>
      </c>
      <c r="N8" s="4">
        <f>SUM(B8:D8)</f>
        <v>12632.48</v>
      </c>
      <c r="O8" s="4">
        <f>SUM(E8:G8)</f>
        <v>13111.02</v>
      </c>
      <c r="P8" s="4">
        <f>SUM(H8:J8)</f>
        <v>13725.490000000002</v>
      </c>
      <c r="Q8" s="4">
        <f>SUM(K8:M8)</f>
        <v>15026.17</v>
      </c>
      <c r="R8" s="4">
        <f>SUM(B8:M8)</f>
        <v>54495.16</v>
      </c>
    </row>
    <row r="9" spans="1:18" x14ac:dyDescent="0.25">
      <c r="A9" s="5" t="s">
        <v>760</v>
      </c>
      <c r="B9" s="6">
        <v>1010.1</v>
      </c>
      <c r="C9" s="6">
        <v>880.75</v>
      </c>
      <c r="D9" s="6">
        <v>904.62</v>
      </c>
      <c r="E9" s="6">
        <v>1045.58</v>
      </c>
      <c r="F9" s="6">
        <v>997.55</v>
      </c>
      <c r="G9" s="6">
        <v>921.82</v>
      </c>
      <c r="H9" s="6">
        <v>1007.2</v>
      </c>
      <c r="I9" s="6">
        <v>1047.57</v>
      </c>
      <c r="J9" s="6">
        <v>1007.15</v>
      </c>
      <c r="K9" s="6">
        <v>1253.6300000000001</v>
      </c>
      <c r="L9" s="6">
        <v>1213.96</v>
      </c>
      <c r="M9" s="6">
        <v>1022.47</v>
      </c>
      <c r="N9" s="6">
        <f>SUM(B9:D9)</f>
        <v>2795.47</v>
      </c>
      <c r="O9" s="6">
        <f>SUM(E9:G9)</f>
        <v>2964.95</v>
      </c>
      <c r="P9" s="6">
        <f>SUM(H9:J9)</f>
        <v>3061.92</v>
      </c>
      <c r="Q9" s="6">
        <f>SUM(K9:M9)</f>
        <v>3490.0600000000004</v>
      </c>
      <c r="R9" s="6">
        <f>SUM(B9:M9)</f>
        <v>12312.399999999996</v>
      </c>
    </row>
    <row r="10" spans="1:18" x14ac:dyDescent="0.25">
      <c r="A10" s="3" t="s">
        <v>625</v>
      </c>
      <c r="B10" s="4">
        <v>317.61</v>
      </c>
      <c r="C10" s="4">
        <v>360.3</v>
      </c>
      <c r="D10" s="4">
        <v>505.57</v>
      </c>
      <c r="E10" s="4">
        <v>223.73</v>
      </c>
      <c r="F10" s="4">
        <v>451.84</v>
      </c>
      <c r="G10" s="4">
        <v>492.68</v>
      </c>
      <c r="H10" s="4">
        <v>353.98</v>
      </c>
      <c r="I10" s="4">
        <v>366.22</v>
      </c>
      <c r="J10" s="4">
        <v>661.31</v>
      </c>
      <c r="K10" s="4">
        <v>548.30999999999995</v>
      </c>
      <c r="L10" s="4">
        <v>283.49</v>
      </c>
      <c r="M10" s="4">
        <v>686.76</v>
      </c>
      <c r="N10" s="4">
        <f>SUM(B10:D10)</f>
        <v>1183.48</v>
      </c>
      <c r="O10" s="4">
        <f>SUM(E10:G10)</f>
        <v>1168.25</v>
      </c>
      <c r="P10" s="4">
        <f>SUM(H10:J10)</f>
        <v>1381.51</v>
      </c>
      <c r="Q10" s="4">
        <f>SUM(K10:M10)</f>
        <v>1518.56</v>
      </c>
      <c r="R10" s="4">
        <f>SUM(B10:M10)</f>
        <v>5251.8</v>
      </c>
    </row>
    <row r="11" spans="1:18" x14ac:dyDescent="0.25">
      <c r="A11" s="21" t="s">
        <v>602</v>
      </c>
      <c r="B11" s="25">
        <f t="shared" ref="B11:M11" si="0">B8+B9+B10</f>
        <v>5368.51</v>
      </c>
      <c r="C11" s="25">
        <f t="shared" si="0"/>
        <v>5486.35</v>
      </c>
      <c r="D11" s="25">
        <f t="shared" si="0"/>
        <v>5756.57</v>
      </c>
      <c r="E11" s="25">
        <f t="shared" si="0"/>
        <v>5657.28</v>
      </c>
      <c r="F11" s="25">
        <f t="shared" si="0"/>
        <v>5682.14</v>
      </c>
      <c r="G11" s="25">
        <f t="shared" si="0"/>
        <v>5904.8</v>
      </c>
      <c r="H11" s="25">
        <f t="shared" si="0"/>
        <v>5870.32</v>
      </c>
      <c r="I11" s="25">
        <f t="shared" si="0"/>
        <v>6118.46</v>
      </c>
      <c r="J11" s="25">
        <f t="shared" si="0"/>
        <v>6180.1399999999994</v>
      </c>
      <c r="K11" s="25">
        <f t="shared" si="0"/>
        <v>6698.01</v>
      </c>
      <c r="L11" s="25">
        <f t="shared" si="0"/>
        <v>6624.03</v>
      </c>
      <c r="M11" s="25">
        <f t="shared" si="0"/>
        <v>6712.7500000000009</v>
      </c>
      <c r="N11" s="25">
        <f>SUM(B11:D11)</f>
        <v>16611.43</v>
      </c>
      <c r="O11" s="25">
        <f>SUM(E11:G11)</f>
        <v>17244.22</v>
      </c>
      <c r="P11" s="25">
        <f>SUM(H11:J11)</f>
        <v>18168.919999999998</v>
      </c>
      <c r="Q11" s="25">
        <f>SUM(K11:M11)</f>
        <v>20034.79</v>
      </c>
      <c r="R11" s="25">
        <f>SUM(B11:M11)</f>
        <v>72059.360000000001</v>
      </c>
    </row>
    <row r="12" spans="1:18" x14ac:dyDescent="0.25">
      <c r="A12" s="18"/>
      <c r="B12" s="18"/>
      <c r="C12" s="18"/>
      <c r="D12" s="18"/>
      <c r="E12" s="18"/>
      <c r="F12" s="18"/>
      <c r="G12" s="18"/>
      <c r="H12" s="18"/>
      <c r="I12" s="18"/>
      <c r="J12" s="18"/>
      <c r="K12" s="18"/>
      <c r="L12" s="18"/>
      <c r="M12" s="18"/>
      <c r="N12" s="18"/>
      <c r="O12" s="18"/>
      <c r="P12" s="18"/>
      <c r="Q12" s="18"/>
      <c r="R12" s="18"/>
    </row>
    <row r="13" spans="1:18" x14ac:dyDescent="0.25">
      <c r="A13" s="12" t="s">
        <v>742</v>
      </c>
      <c r="B13" s="12"/>
      <c r="C13" s="12"/>
      <c r="D13" s="12"/>
      <c r="E13" s="12"/>
      <c r="F13" s="12"/>
      <c r="G13" s="12"/>
      <c r="H13" s="12"/>
      <c r="I13" s="12"/>
      <c r="J13" s="12"/>
      <c r="K13" s="12"/>
      <c r="L13" s="12"/>
      <c r="M13" s="12"/>
      <c r="N13" s="12"/>
      <c r="O13" s="12"/>
      <c r="P13" s="12"/>
      <c r="Q13" s="12"/>
      <c r="R13" s="12"/>
    </row>
    <row r="14" spans="1:18" x14ac:dyDescent="0.25">
      <c r="A14" s="5" t="s">
        <v>21</v>
      </c>
      <c r="B14" s="6">
        <v>726.3</v>
      </c>
      <c r="C14" s="6">
        <v>742.28</v>
      </c>
      <c r="D14" s="6">
        <v>774.61</v>
      </c>
      <c r="E14" s="6">
        <v>754.97</v>
      </c>
      <c r="F14" s="6">
        <v>752.67</v>
      </c>
      <c r="G14" s="6">
        <v>847.48</v>
      </c>
      <c r="H14" s="6">
        <v>792.59</v>
      </c>
      <c r="I14" s="6">
        <v>870.9</v>
      </c>
      <c r="J14" s="6">
        <v>808.45</v>
      </c>
      <c r="K14" s="6">
        <v>874.51</v>
      </c>
      <c r="L14" s="6">
        <v>964.98</v>
      </c>
      <c r="M14" s="6">
        <v>945.25</v>
      </c>
      <c r="N14" s="6">
        <f t="shared" ref="N14:N21" si="1">SUM(B14:D14)</f>
        <v>2243.19</v>
      </c>
      <c r="O14" s="6">
        <f t="shared" ref="O14:O21" si="2">SUM(E14:G14)</f>
        <v>2355.12</v>
      </c>
      <c r="P14" s="6">
        <f t="shared" ref="P14:P21" si="3">SUM(H14:J14)</f>
        <v>2471.94</v>
      </c>
      <c r="Q14" s="6">
        <f t="shared" ref="Q14:Q21" si="4">SUM(K14:M14)</f>
        <v>2784.74</v>
      </c>
      <c r="R14" s="6">
        <f t="shared" ref="R14:R21" si="5">SUM(B14:M14)</f>
        <v>9854.99</v>
      </c>
    </row>
    <row r="15" spans="1:18" x14ac:dyDescent="0.25">
      <c r="A15" s="3" t="s">
        <v>56</v>
      </c>
      <c r="B15" s="4">
        <v>162.53</v>
      </c>
      <c r="C15" s="4">
        <v>173.52</v>
      </c>
      <c r="D15" s="4">
        <v>167.85</v>
      </c>
      <c r="E15" s="4">
        <v>171.95</v>
      </c>
      <c r="F15" s="4">
        <v>177.25</v>
      </c>
      <c r="G15" s="4">
        <v>181.03</v>
      </c>
      <c r="H15" s="4">
        <v>181.13</v>
      </c>
      <c r="I15" s="4">
        <v>192.85</v>
      </c>
      <c r="J15" s="4">
        <v>172.48</v>
      </c>
      <c r="K15" s="4">
        <v>197.49</v>
      </c>
      <c r="L15" s="4">
        <v>205.12</v>
      </c>
      <c r="M15" s="4">
        <v>207.2</v>
      </c>
      <c r="N15" s="4">
        <f t="shared" si="1"/>
        <v>503.9</v>
      </c>
      <c r="O15" s="4">
        <f t="shared" si="2"/>
        <v>530.23</v>
      </c>
      <c r="P15" s="4">
        <f t="shared" si="3"/>
        <v>546.46</v>
      </c>
      <c r="Q15" s="4">
        <f t="shared" si="4"/>
        <v>609.80999999999995</v>
      </c>
      <c r="R15" s="4">
        <f t="shared" si="5"/>
        <v>2190.3999999999996</v>
      </c>
    </row>
    <row r="16" spans="1:18" x14ac:dyDescent="0.25">
      <c r="A16" s="5" t="s">
        <v>54</v>
      </c>
      <c r="B16" s="6">
        <v>234.14</v>
      </c>
      <c r="C16" s="6">
        <v>266.45</v>
      </c>
      <c r="D16" s="6">
        <v>249.83</v>
      </c>
      <c r="E16" s="6">
        <v>255.01</v>
      </c>
      <c r="F16" s="6">
        <v>256.38</v>
      </c>
      <c r="G16" s="6">
        <v>274.14</v>
      </c>
      <c r="H16" s="6">
        <v>263.38</v>
      </c>
      <c r="I16" s="6">
        <v>271.55</v>
      </c>
      <c r="J16" s="6">
        <v>281.27</v>
      </c>
      <c r="K16" s="6">
        <v>286.31</v>
      </c>
      <c r="L16" s="6">
        <v>310.5</v>
      </c>
      <c r="M16" s="6">
        <v>303.8</v>
      </c>
      <c r="N16" s="6">
        <f t="shared" si="1"/>
        <v>750.42</v>
      </c>
      <c r="O16" s="6">
        <f t="shared" si="2"/>
        <v>785.53</v>
      </c>
      <c r="P16" s="6">
        <f t="shared" si="3"/>
        <v>816.2</v>
      </c>
      <c r="Q16" s="6">
        <f t="shared" si="4"/>
        <v>900.6099999999999</v>
      </c>
      <c r="R16" s="6">
        <f t="shared" si="5"/>
        <v>3252.76</v>
      </c>
    </row>
    <row r="17" spans="1:18" x14ac:dyDescent="0.25">
      <c r="A17" s="3" t="s">
        <v>15</v>
      </c>
      <c r="B17" s="4">
        <v>120.24</v>
      </c>
      <c r="C17" s="4">
        <v>128.41999999999999</v>
      </c>
      <c r="D17" s="4">
        <v>130.69</v>
      </c>
      <c r="E17" s="4">
        <v>137.36000000000001</v>
      </c>
      <c r="F17" s="4">
        <v>123.23</v>
      </c>
      <c r="G17" s="4">
        <v>137.62</v>
      </c>
      <c r="H17" s="4">
        <v>131.74</v>
      </c>
      <c r="I17" s="4">
        <v>139.66999999999999</v>
      </c>
      <c r="J17" s="4">
        <v>137.66999999999999</v>
      </c>
      <c r="K17" s="4">
        <v>143.94</v>
      </c>
      <c r="L17" s="4">
        <v>150.97</v>
      </c>
      <c r="M17" s="4">
        <v>153.88999999999999</v>
      </c>
      <c r="N17" s="4">
        <f t="shared" si="1"/>
        <v>379.34999999999997</v>
      </c>
      <c r="O17" s="4">
        <f t="shared" si="2"/>
        <v>398.21000000000004</v>
      </c>
      <c r="P17" s="4">
        <f t="shared" si="3"/>
        <v>409.07999999999993</v>
      </c>
      <c r="Q17" s="4">
        <f t="shared" si="4"/>
        <v>448.79999999999995</v>
      </c>
      <c r="R17" s="4">
        <f t="shared" si="5"/>
        <v>1635.44</v>
      </c>
    </row>
    <row r="18" spans="1:18" x14ac:dyDescent="0.25">
      <c r="A18" s="5" t="s">
        <v>40</v>
      </c>
      <c r="B18" s="6">
        <v>19.34</v>
      </c>
      <c r="C18" s="6">
        <v>21.14</v>
      </c>
      <c r="D18" s="6">
        <v>22.82</v>
      </c>
      <c r="E18" s="6">
        <v>23.03</v>
      </c>
      <c r="F18" s="6">
        <v>20.260000000000002</v>
      </c>
      <c r="G18" s="6">
        <v>21.81</v>
      </c>
      <c r="H18" s="6">
        <v>22.02</v>
      </c>
      <c r="I18" s="6">
        <v>24.54</v>
      </c>
      <c r="J18" s="6">
        <v>23.42</v>
      </c>
      <c r="K18" s="6">
        <v>25.41</v>
      </c>
      <c r="L18" s="6">
        <v>25.3</v>
      </c>
      <c r="M18" s="6">
        <v>24.16</v>
      </c>
      <c r="N18" s="6">
        <f t="shared" si="1"/>
        <v>63.300000000000004</v>
      </c>
      <c r="O18" s="6">
        <f t="shared" si="2"/>
        <v>65.100000000000009</v>
      </c>
      <c r="P18" s="6">
        <f t="shared" si="3"/>
        <v>69.98</v>
      </c>
      <c r="Q18" s="6">
        <f t="shared" si="4"/>
        <v>74.87</v>
      </c>
      <c r="R18" s="6">
        <f t="shared" si="5"/>
        <v>273.25</v>
      </c>
    </row>
    <row r="19" spans="1:18" x14ac:dyDescent="0.25">
      <c r="A19" s="21" t="s">
        <v>761</v>
      </c>
      <c r="B19" s="25">
        <f t="shared" ref="B19:M19" si="6">SUM(B14:B18)</f>
        <v>1262.5499999999997</v>
      </c>
      <c r="C19" s="25">
        <f t="shared" si="6"/>
        <v>1331.8100000000002</v>
      </c>
      <c r="D19" s="25">
        <f t="shared" si="6"/>
        <v>1345.8</v>
      </c>
      <c r="E19" s="25">
        <f t="shared" si="6"/>
        <v>1342.32</v>
      </c>
      <c r="F19" s="25">
        <f t="shared" si="6"/>
        <v>1329.79</v>
      </c>
      <c r="G19" s="25">
        <f t="shared" si="6"/>
        <v>1462.08</v>
      </c>
      <c r="H19" s="25">
        <f t="shared" si="6"/>
        <v>1390.86</v>
      </c>
      <c r="I19" s="25">
        <f t="shared" si="6"/>
        <v>1499.51</v>
      </c>
      <c r="J19" s="25">
        <f t="shared" si="6"/>
        <v>1423.2900000000002</v>
      </c>
      <c r="K19" s="25">
        <f t="shared" si="6"/>
        <v>1527.66</v>
      </c>
      <c r="L19" s="25">
        <f t="shared" si="6"/>
        <v>1656.87</v>
      </c>
      <c r="M19" s="25">
        <f t="shared" si="6"/>
        <v>1634.3</v>
      </c>
      <c r="N19" s="25">
        <f t="shared" si="1"/>
        <v>3940.16</v>
      </c>
      <c r="O19" s="25">
        <f t="shared" si="2"/>
        <v>4134.1899999999996</v>
      </c>
      <c r="P19" s="25">
        <f t="shared" si="3"/>
        <v>4313.66</v>
      </c>
      <c r="Q19" s="25">
        <f t="shared" si="4"/>
        <v>4818.83</v>
      </c>
      <c r="R19" s="25">
        <f t="shared" si="5"/>
        <v>17206.84</v>
      </c>
    </row>
    <row r="20" spans="1:18" x14ac:dyDescent="0.25">
      <c r="A20" s="3" t="s">
        <v>762</v>
      </c>
      <c r="B20" s="4">
        <v>186.35</v>
      </c>
      <c r="C20" s="4">
        <v>204.27</v>
      </c>
      <c r="D20" s="4">
        <v>287.14999999999998</v>
      </c>
      <c r="E20" s="4">
        <v>113.38</v>
      </c>
      <c r="F20" s="4">
        <v>259.33</v>
      </c>
      <c r="G20" s="4">
        <v>270.35000000000002</v>
      </c>
      <c r="H20" s="4">
        <v>191.71</v>
      </c>
      <c r="I20" s="4">
        <v>206.94</v>
      </c>
      <c r="J20" s="4">
        <v>358.46</v>
      </c>
      <c r="K20" s="4">
        <v>325.93</v>
      </c>
      <c r="L20" s="4">
        <v>144.94999999999999</v>
      </c>
      <c r="M20" s="4">
        <v>400.09</v>
      </c>
      <c r="N20" s="4">
        <f t="shared" si="1"/>
        <v>677.77</v>
      </c>
      <c r="O20" s="4">
        <f t="shared" si="2"/>
        <v>643.05999999999995</v>
      </c>
      <c r="P20" s="4">
        <f t="shared" si="3"/>
        <v>757.1099999999999</v>
      </c>
      <c r="Q20" s="4">
        <f t="shared" si="4"/>
        <v>870.97</v>
      </c>
      <c r="R20" s="4">
        <f t="shared" si="5"/>
        <v>2948.91</v>
      </c>
    </row>
    <row r="21" spans="1:18" x14ac:dyDescent="0.25">
      <c r="A21" s="21" t="s">
        <v>742</v>
      </c>
      <c r="B21" s="25">
        <f t="shared" ref="B21:M21" si="7">B19+B20</f>
        <v>1448.8999999999996</v>
      </c>
      <c r="C21" s="25">
        <f t="shared" si="7"/>
        <v>1536.0800000000002</v>
      </c>
      <c r="D21" s="25">
        <f t="shared" si="7"/>
        <v>1632.9499999999998</v>
      </c>
      <c r="E21" s="25">
        <f t="shared" si="7"/>
        <v>1455.6999999999998</v>
      </c>
      <c r="F21" s="25">
        <f t="shared" si="7"/>
        <v>1589.12</v>
      </c>
      <c r="G21" s="25">
        <f t="shared" si="7"/>
        <v>1732.4299999999998</v>
      </c>
      <c r="H21" s="25">
        <f t="shared" si="7"/>
        <v>1582.57</v>
      </c>
      <c r="I21" s="25">
        <f t="shared" si="7"/>
        <v>1706.45</v>
      </c>
      <c r="J21" s="25">
        <f t="shared" si="7"/>
        <v>1781.7500000000002</v>
      </c>
      <c r="K21" s="25">
        <f t="shared" si="7"/>
        <v>1853.5900000000001</v>
      </c>
      <c r="L21" s="25">
        <f t="shared" si="7"/>
        <v>1801.82</v>
      </c>
      <c r="M21" s="25">
        <f t="shared" si="7"/>
        <v>2034.3899999999999</v>
      </c>
      <c r="N21" s="25">
        <f t="shared" si="1"/>
        <v>4617.9299999999994</v>
      </c>
      <c r="O21" s="25">
        <f t="shared" si="2"/>
        <v>4777.25</v>
      </c>
      <c r="P21" s="25">
        <f t="shared" si="3"/>
        <v>5070.7700000000004</v>
      </c>
      <c r="Q21" s="25">
        <f t="shared" si="4"/>
        <v>5689.7999999999993</v>
      </c>
      <c r="R21" s="25">
        <f t="shared" si="5"/>
        <v>20155.75</v>
      </c>
    </row>
    <row r="22" spans="1:18" x14ac:dyDescent="0.25">
      <c r="A22" s="18"/>
      <c r="B22" s="18"/>
      <c r="C22" s="18"/>
      <c r="D22" s="18"/>
      <c r="E22" s="18"/>
      <c r="F22" s="18"/>
      <c r="G22" s="18"/>
      <c r="H22" s="18"/>
      <c r="I22" s="18"/>
      <c r="J22" s="18"/>
      <c r="K22" s="18"/>
      <c r="L22" s="18"/>
      <c r="M22" s="18"/>
      <c r="N22" s="18"/>
      <c r="O22" s="18"/>
      <c r="P22" s="18"/>
      <c r="Q22" s="18"/>
      <c r="R22" s="18"/>
    </row>
    <row r="23" spans="1:18" x14ac:dyDescent="0.25">
      <c r="A23" s="5" t="s">
        <v>763</v>
      </c>
      <c r="B23" s="6">
        <f t="shared" ref="B23:M23" si="8">B8-B19</f>
        <v>2778.2500000000005</v>
      </c>
      <c r="C23" s="6">
        <f t="shared" si="8"/>
        <v>2913.49</v>
      </c>
      <c r="D23" s="6">
        <f t="shared" si="8"/>
        <v>3000.58</v>
      </c>
      <c r="E23" s="6">
        <f t="shared" si="8"/>
        <v>3045.6500000000005</v>
      </c>
      <c r="F23" s="6">
        <f t="shared" si="8"/>
        <v>2902.96</v>
      </c>
      <c r="G23" s="6">
        <f t="shared" si="8"/>
        <v>3028.2200000000003</v>
      </c>
      <c r="H23" s="6">
        <f t="shared" si="8"/>
        <v>3118.2800000000007</v>
      </c>
      <c r="I23" s="6">
        <f t="shared" si="8"/>
        <v>3205.16</v>
      </c>
      <c r="J23" s="6">
        <f t="shared" si="8"/>
        <v>3088.3900000000003</v>
      </c>
      <c r="K23" s="6">
        <f t="shared" si="8"/>
        <v>3368.41</v>
      </c>
      <c r="L23" s="6">
        <f t="shared" si="8"/>
        <v>3469.71</v>
      </c>
      <c r="M23" s="6">
        <f t="shared" si="8"/>
        <v>3369.2200000000003</v>
      </c>
      <c r="N23" s="6">
        <f>SUM(B23:D23)</f>
        <v>8692.32</v>
      </c>
      <c r="O23" s="6">
        <f>SUM(E23:G23)</f>
        <v>8976.8300000000017</v>
      </c>
      <c r="P23" s="6">
        <f>SUM(H23:J23)</f>
        <v>9411.8300000000017</v>
      </c>
      <c r="Q23" s="6">
        <f>SUM(K23:M23)</f>
        <v>10207.34</v>
      </c>
      <c r="R23" s="6">
        <f>SUM(B23:M23)</f>
        <v>37288.32</v>
      </c>
    </row>
    <row r="24" spans="1:18" x14ac:dyDescent="0.25">
      <c r="A24" s="3" t="s">
        <v>764</v>
      </c>
      <c r="B24" s="4">
        <f t="shared" ref="B24:M24" si="9">B10-B20</f>
        <v>131.26000000000002</v>
      </c>
      <c r="C24" s="4">
        <f t="shared" si="9"/>
        <v>156.03</v>
      </c>
      <c r="D24" s="4">
        <f t="shared" si="9"/>
        <v>218.42000000000002</v>
      </c>
      <c r="E24" s="4">
        <f t="shared" si="9"/>
        <v>110.35</v>
      </c>
      <c r="F24" s="4">
        <f t="shared" si="9"/>
        <v>192.51</v>
      </c>
      <c r="G24" s="4">
        <f t="shared" si="9"/>
        <v>222.32999999999998</v>
      </c>
      <c r="H24" s="4">
        <f t="shared" si="9"/>
        <v>162.27000000000001</v>
      </c>
      <c r="I24" s="4">
        <f t="shared" si="9"/>
        <v>159.28000000000003</v>
      </c>
      <c r="J24" s="4">
        <f t="shared" si="9"/>
        <v>302.84999999999997</v>
      </c>
      <c r="K24" s="4">
        <f t="shared" si="9"/>
        <v>222.37999999999994</v>
      </c>
      <c r="L24" s="4">
        <f t="shared" si="9"/>
        <v>138.54000000000002</v>
      </c>
      <c r="M24" s="4">
        <f t="shared" si="9"/>
        <v>286.67</v>
      </c>
      <c r="N24" s="4">
        <f>SUM(B24:D24)</f>
        <v>505.71000000000004</v>
      </c>
      <c r="O24" s="4">
        <f>SUM(E24:G24)</f>
        <v>525.19000000000005</v>
      </c>
      <c r="P24" s="4">
        <f>SUM(H24:J24)</f>
        <v>624.40000000000009</v>
      </c>
      <c r="Q24" s="4">
        <f>SUM(K24:M24)</f>
        <v>647.58999999999992</v>
      </c>
      <c r="R24" s="4">
        <f>SUM(B24:M24)</f>
        <v>2302.89</v>
      </c>
    </row>
    <row r="25" spans="1:18" x14ac:dyDescent="0.25">
      <c r="A25" s="21" t="s">
        <v>765</v>
      </c>
      <c r="B25" s="25">
        <f t="shared" ref="B25:M25" si="10">B23+B24</f>
        <v>2909.5100000000007</v>
      </c>
      <c r="C25" s="25">
        <f t="shared" si="10"/>
        <v>3069.52</v>
      </c>
      <c r="D25" s="25">
        <f t="shared" si="10"/>
        <v>3219</v>
      </c>
      <c r="E25" s="25">
        <f t="shared" si="10"/>
        <v>3156.0000000000005</v>
      </c>
      <c r="F25" s="25">
        <f t="shared" si="10"/>
        <v>3095.4700000000003</v>
      </c>
      <c r="G25" s="25">
        <f t="shared" si="10"/>
        <v>3250.55</v>
      </c>
      <c r="H25" s="25">
        <f t="shared" si="10"/>
        <v>3280.5500000000006</v>
      </c>
      <c r="I25" s="25">
        <f t="shared" si="10"/>
        <v>3364.44</v>
      </c>
      <c r="J25" s="25">
        <f t="shared" si="10"/>
        <v>3391.2400000000002</v>
      </c>
      <c r="K25" s="25">
        <f t="shared" si="10"/>
        <v>3590.79</v>
      </c>
      <c r="L25" s="25">
        <f t="shared" si="10"/>
        <v>3608.25</v>
      </c>
      <c r="M25" s="25">
        <f t="shared" si="10"/>
        <v>3655.8900000000003</v>
      </c>
      <c r="N25" s="25">
        <f>SUM(B25:D25)</f>
        <v>9198.0300000000007</v>
      </c>
      <c r="O25" s="25">
        <f>SUM(E25:G25)</f>
        <v>9502.02</v>
      </c>
      <c r="P25" s="25">
        <f>SUM(H25:J25)</f>
        <v>10036.230000000001</v>
      </c>
      <c r="Q25" s="25">
        <f>SUM(K25:M25)</f>
        <v>10854.93</v>
      </c>
      <c r="R25" s="25">
        <f>SUM(B25:M25)</f>
        <v>39591.21</v>
      </c>
    </row>
    <row r="26" spans="1:18" x14ac:dyDescent="0.25">
      <c r="A26" s="5" t="s">
        <v>766</v>
      </c>
      <c r="B26" s="6">
        <v>53.69</v>
      </c>
      <c r="C26" s="6">
        <v>54.86</v>
      </c>
      <c r="D26" s="6">
        <v>57.57</v>
      </c>
      <c r="E26" s="6">
        <v>56.57</v>
      </c>
      <c r="F26" s="6">
        <v>56.82</v>
      </c>
      <c r="G26" s="6">
        <v>59.05</v>
      </c>
      <c r="H26" s="6">
        <v>58.7</v>
      </c>
      <c r="I26" s="6">
        <v>61.18</v>
      </c>
      <c r="J26" s="6">
        <v>61.8</v>
      </c>
      <c r="K26" s="6">
        <v>66.98</v>
      </c>
      <c r="L26" s="6">
        <v>66.239999999999995</v>
      </c>
      <c r="M26" s="6">
        <v>67.13</v>
      </c>
      <c r="N26" s="6">
        <f>SUM(B26:D26)</f>
        <v>166.12</v>
      </c>
      <c r="O26" s="6">
        <f>SUM(E26:G26)</f>
        <v>172.44</v>
      </c>
      <c r="P26" s="6">
        <f>SUM(H26:J26)</f>
        <v>181.68</v>
      </c>
      <c r="Q26" s="6">
        <f>SUM(K26:M26)</f>
        <v>200.35</v>
      </c>
      <c r="R26" s="6">
        <f>SUM(B26:M26)</f>
        <v>720.59</v>
      </c>
    </row>
    <row r="27" spans="1:18" x14ac:dyDescent="0.25">
      <c r="A27" s="21" t="s">
        <v>767</v>
      </c>
      <c r="B27" s="25">
        <f t="shared" ref="B27:M27" si="11">B25-B26</f>
        <v>2855.8200000000006</v>
      </c>
      <c r="C27" s="25">
        <f t="shared" si="11"/>
        <v>3014.66</v>
      </c>
      <c r="D27" s="25">
        <f t="shared" si="11"/>
        <v>3161.43</v>
      </c>
      <c r="E27" s="25">
        <f t="shared" si="11"/>
        <v>3099.4300000000003</v>
      </c>
      <c r="F27" s="25">
        <f t="shared" si="11"/>
        <v>3038.65</v>
      </c>
      <c r="G27" s="25">
        <f t="shared" si="11"/>
        <v>3191.5</v>
      </c>
      <c r="H27" s="25">
        <f t="shared" si="11"/>
        <v>3221.8500000000008</v>
      </c>
      <c r="I27" s="25">
        <f t="shared" si="11"/>
        <v>3303.26</v>
      </c>
      <c r="J27" s="25">
        <f t="shared" si="11"/>
        <v>3329.44</v>
      </c>
      <c r="K27" s="25">
        <f t="shared" si="11"/>
        <v>3523.81</v>
      </c>
      <c r="L27" s="25">
        <f t="shared" si="11"/>
        <v>3542.01</v>
      </c>
      <c r="M27" s="25">
        <f t="shared" si="11"/>
        <v>3588.76</v>
      </c>
      <c r="N27" s="25">
        <f>SUM(B27:D27)</f>
        <v>9031.91</v>
      </c>
      <c r="O27" s="25">
        <f>SUM(E27:G27)</f>
        <v>9329.58</v>
      </c>
      <c r="P27" s="25">
        <f>SUM(H27:J27)</f>
        <v>9854.5500000000011</v>
      </c>
      <c r="Q27" s="25">
        <f>SUM(K27:M27)</f>
        <v>10654.58</v>
      </c>
      <c r="R27" s="25">
        <f>SUM(B27:M27)</f>
        <v>38870.620000000003</v>
      </c>
    </row>
    <row r="28" spans="1:18" x14ac:dyDescent="0.25">
      <c r="A28" s="3" t="s">
        <v>768</v>
      </c>
      <c r="B28" s="16">
        <f t="shared" ref="B28:R28" si="12">IFERROR(B23/B8,0)</f>
        <v>0.68754949514947539</v>
      </c>
      <c r="C28" s="16">
        <f t="shared" si="12"/>
        <v>0.68628601041151382</v>
      </c>
      <c r="D28" s="16">
        <f t="shared" si="12"/>
        <v>0.6903630147387021</v>
      </c>
      <c r="E28" s="16">
        <f t="shared" si="12"/>
        <v>0.69409088940899788</v>
      </c>
      <c r="F28" s="16">
        <f t="shared" si="12"/>
        <v>0.68583308723643022</v>
      </c>
      <c r="G28" s="16">
        <f t="shared" si="12"/>
        <v>0.6743914660490391</v>
      </c>
      <c r="H28" s="16">
        <f t="shared" si="12"/>
        <v>0.69154650332435907</v>
      </c>
      <c r="I28" s="16">
        <f t="shared" si="12"/>
        <v>0.68127201270227233</v>
      </c>
      <c r="J28" s="16">
        <f t="shared" si="12"/>
        <v>0.68453214767004755</v>
      </c>
      <c r="K28" s="16">
        <f t="shared" si="12"/>
        <v>0.68798240221238671</v>
      </c>
      <c r="L28" s="16">
        <f t="shared" si="12"/>
        <v>0.67680793043315424</v>
      </c>
      <c r="M28" s="16">
        <f t="shared" si="12"/>
        <v>0.67336994755691992</v>
      </c>
      <c r="N28" s="16">
        <f t="shared" si="12"/>
        <v>0.68809291603865586</v>
      </c>
      <c r="O28" s="16">
        <f t="shared" si="12"/>
        <v>0.68467823250975146</v>
      </c>
      <c r="P28" s="16">
        <f t="shared" si="12"/>
        <v>0.68571905265312938</v>
      </c>
      <c r="Q28" s="16">
        <f t="shared" si="12"/>
        <v>0.67930417398445508</v>
      </c>
      <c r="R28" s="16">
        <f t="shared" si="12"/>
        <v>0.68425012423121612</v>
      </c>
    </row>
    <row r="29" spans="1:18" x14ac:dyDescent="0.25">
      <c r="A29" s="5" t="s">
        <v>769</v>
      </c>
      <c r="B29" s="14">
        <f t="shared" ref="B29:R29" si="13">IFERROR(B24/B10,0)</f>
        <v>0.41327414124240425</v>
      </c>
      <c r="C29" s="14">
        <f t="shared" si="13"/>
        <v>0.43305578684429641</v>
      </c>
      <c r="D29" s="14">
        <f t="shared" si="13"/>
        <v>0.43202721680479461</v>
      </c>
      <c r="E29" s="14">
        <f t="shared" si="13"/>
        <v>0.49322844500067042</v>
      </c>
      <c r="F29" s="14">
        <f t="shared" si="13"/>
        <v>0.42605789660056659</v>
      </c>
      <c r="G29" s="14">
        <f t="shared" si="13"/>
        <v>0.45126654217747825</v>
      </c>
      <c r="H29" s="14">
        <f t="shared" si="13"/>
        <v>0.45841572970224309</v>
      </c>
      <c r="I29" s="14">
        <f t="shared" si="13"/>
        <v>0.43492982360329863</v>
      </c>
      <c r="J29" s="14">
        <f t="shared" si="13"/>
        <v>0.45795466573921456</v>
      </c>
      <c r="K29" s="14">
        <f t="shared" si="13"/>
        <v>0.40557348944939897</v>
      </c>
      <c r="L29" s="14">
        <f t="shared" si="13"/>
        <v>0.48869448657800985</v>
      </c>
      <c r="M29" s="14">
        <f t="shared" si="13"/>
        <v>0.41742384530258025</v>
      </c>
      <c r="N29" s="14">
        <f t="shared" si="13"/>
        <v>0.42730760131138679</v>
      </c>
      <c r="O29" s="14">
        <f t="shared" si="13"/>
        <v>0.44955274983950355</v>
      </c>
      <c r="P29" s="14">
        <f t="shared" si="13"/>
        <v>0.4519692220830831</v>
      </c>
      <c r="Q29" s="14">
        <f t="shared" si="13"/>
        <v>0.42645005794963647</v>
      </c>
      <c r="R29" s="14">
        <f t="shared" si="13"/>
        <v>0.43849537301496627</v>
      </c>
    </row>
    <row r="30" spans="1:18" x14ac:dyDescent="0.25">
      <c r="A30" s="3" t="s">
        <v>770</v>
      </c>
      <c r="B30" s="16">
        <f t="shared" ref="B30:R30" si="14">IFERROR(B25/B11,0)</f>
        <v>0.5419585695099759</v>
      </c>
      <c r="C30" s="16">
        <f t="shared" si="14"/>
        <v>0.55948308073673747</v>
      </c>
      <c r="D30" s="16">
        <f t="shared" si="14"/>
        <v>0.5591871548508921</v>
      </c>
      <c r="E30" s="16">
        <f t="shared" si="14"/>
        <v>0.5578652638723911</v>
      </c>
      <c r="F30" s="16">
        <f t="shared" si="14"/>
        <v>0.54477186412161616</v>
      </c>
      <c r="G30" s="16">
        <f t="shared" si="14"/>
        <v>0.55049281940116512</v>
      </c>
      <c r="H30" s="16">
        <f t="shared" si="14"/>
        <v>0.55883665626405388</v>
      </c>
      <c r="I30" s="16">
        <f t="shared" si="14"/>
        <v>0.5498834674084655</v>
      </c>
      <c r="J30" s="16">
        <f t="shared" si="14"/>
        <v>0.54873190574970798</v>
      </c>
      <c r="K30" s="16">
        <f t="shared" si="14"/>
        <v>0.53609803508803355</v>
      </c>
      <c r="L30" s="16">
        <f t="shared" si="14"/>
        <v>0.54472126484934402</v>
      </c>
      <c r="M30" s="16">
        <f t="shared" si="14"/>
        <v>0.54461882239022752</v>
      </c>
      <c r="N30" s="16">
        <f t="shared" si="14"/>
        <v>0.55371692864491495</v>
      </c>
      <c r="O30" s="16">
        <f t="shared" si="14"/>
        <v>0.55102637289480183</v>
      </c>
      <c r="P30" s="16">
        <f t="shared" si="14"/>
        <v>0.55238451157250967</v>
      </c>
      <c r="Q30" s="16">
        <f t="shared" si="14"/>
        <v>0.54180403188653337</v>
      </c>
      <c r="R30" s="16">
        <f t="shared" si="14"/>
        <v>0.54942494632203231</v>
      </c>
    </row>
    <row r="31" spans="1:18" x14ac:dyDescent="0.25">
      <c r="A31" s="18"/>
      <c r="B31" s="18"/>
      <c r="C31" s="18"/>
      <c r="D31" s="18"/>
      <c r="E31" s="18"/>
      <c r="F31" s="18"/>
      <c r="G31" s="18"/>
      <c r="H31" s="18"/>
      <c r="I31" s="18"/>
      <c r="J31" s="18"/>
      <c r="K31" s="18"/>
      <c r="L31" s="18"/>
      <c r="M31" s="18"/>
      <c r="N31" s="18"/>
      <c r="O31" s="18"/>
      <c r="P31" s="18"/>
      <c r="Q31" s="18"/>
      <c r="R31" s="18"/>
    </row>
    <row r="32" spans="1:18" x14ac:dyDescent="0.25">
      <c r="A32" s="12" t="s">
        <v>9</v>
      </c>
      <c r="B32" s="12"/>
      <c r="C32" s="12"/>
      <c r="D32" s="12"/>
      <c r="E32" s="12"/>
      <c r="F32" s="12"/>
      <c r="G32" s="12"/>
      <c r="H32" s="12"/>
      <c r="I32" s="12"/>
      <c r="J32" s="12"/>
      <c r="K32" s="12"/>
      <c r="L32" s="12"/>
      <c r="M32" s="12"/>
      <c r="N32" s="12"/>
      <c r="O32" s="12"/>
      <c r="P32" s="12"/>
      <c r="Q32" s="12"/>
      <c r="R32" s="12"/>
    </row>
    <row r="33" spans="1:18" x14ac:dyDescent="0.25">
      <c r="A33" s="5" t="s">
        <v>771</v>
      </c>
      <c r="B33" s="6">
        <v>443.47</v>
      </c>
      <c r="C33" s="6">
        <v>404.34</v>
      </c>
      <c r="D33" s="6">
        <v>492.87</v>
      </c>
      <c r="E33" s="6">
        <v>456.44</v>
      </c>
      <c r="F33" s="6">
        <v>433.01</v>
      </c>
      <c r="G33" s="6">
        <v>503.02</v>
      </c>
      <c r="H33" s="6">
        <v>452.84</v>
      </c>
      <c r="I33" s="6">
        <v>470.83</v>
      </c>
      <c r="J33" s="6">
        <v>455.62</v>
      </c>
      <c r="K33" s="6">
        <v>539.75</v>
      </c>
      <c r="L33" s="6">
        <v>498.33</v>
      </c>
      <c r="M33" s="6">
        <v>568.01</v>
      </c>
      <c r="N33" s="6">
        <f>SUM(B33:D33)</f>
        <v>1340.6799999999998</v>
      </c>
      <c r="O33" s="6">
        <f>SUM(E33:G33)</f>
        <v>1392.47</v>
      </c>
      <c r="P33" s="6">
        <f>SUM(H33:J33)</f>
        <v>1379.29</v>
      </c>
      <c r="Q33" s="6">
        <f>SUM(K33:M33)</f>
        <v>1606.09</v>
      </c>
      <c r="R33" s="6">
        <f>SUM(B33:M33)</f>
        <v>5718.5300000000007</v>
      </c>
    </row>
    <row r="34" spans="1:18" x14ac:dyDescent="0.25">
      <c r="A34" s="3" t="s">
        <v>757</v>
      </c>
      <c r="B34" s="4">
        <v>305.48</v>
      </c>
      <c r="C34" s="4">
        <v>270.22000000000003</v>
      </c>
      <c r="D34" s="4">
        <v>363.03</v>
      </c>
      <c r="E34" s="4">
        <v>329.9</v>
      </c>
      <c r="F34" s="4">
        <v>297.29000000000002</v>
      </c>
      <c r="G34" s="4">
        <v>334.7</v>
      </c>
      <c r="H34" s="4">
        <v>339.47</v>
      </c>
      <c r="I34" s="4">
        <v>318.22000000000003</v>
      </c>
      <c r="J34" s="4">
        <v>338.29</v>
      </c>
      <c r="K34" s="4">
        <v>359.77</v>
      </c>
      <c r="L34" s="4">
        <v>358.39</v>
      </c>
      <c r="M34" s="4">
        <v>374.95</v>
      </c>
      <c r="N34" s="4">
        <f>SUM(B34:D34)</f>
        <v>938.73</v>
      </c>
      <c r="O34" s="4">
        <f>SUM(E34:G34)</f>
        <v>961.8900000000001</v>
      </c>
      <c r="P34" s="4">
        <f>SUM(H34:J34)</f>
        <v>995.98</v>
      </c>
      <c r="Q34" s="4">
        <f>SUM(K34:M34)</f>
        <v>1093.1099999999999</v>
      </c>
      <c r="R34" s="4">
        <f>SUM(B34:M34)</f>
        <v>3989.71</v>
      </c>
    </row>
    <row r="35" spans="1:18" x14ac:dyDescent="0.25">
      <c r="A35" s="5" t="s">
        <v>772</v>
      </c>
      <c r="B35" s="6">
        <v>-137.99</v>
      </c>
      <c r="C35" s="6">
        <v>-134.12</v>
      </c>
      <c r="D35" s="6">
        <v>-129.84</v>
      </c>
      <c r="E35" s="6">
        <v>-126.54</v>
      </c>
      <c r="F35" s="6">
        <v>-135.72</v>
      </c>
      <c r="G35" s="6">
        <v>-168.32</v>
      </c>
      <c r="H35" s="6">
        <v>-113.37</v>
      </c>
      <c r="I35" s="6">
        <v>-152.61000000000001</v>
      </c>
      <c r="J35" s="6">
        <v>-117.33</v>
      </c>
      <c r="K35" s="6">
        <v>-179.98</v>
      </c>
      <c r="L35" s="6">
        <v>-139.94</v>
      </c>
      <c r="M35" s="6">
        <v>-193.06</v>
      </c>
      <c r="N35" s="6">
        <f>SUM(B35:D35)</f>
        <v>-401.95000000000005</v>
      </c>
      <c r="O35" s="6">
        <f>SUM(E35:G35)</f>
        <v>-430.58</v>
      </c>
      <c r="P35" s="6">
        <f>SUM(H35:J35)</f>
        <v>-383.31</v>
      </c>
      <c r="Q35" s="6">
        <f>SUM(K35:M35)</f>
        <v>-512.98</v>
      </c>
      <c r="R35" s="6">
        <f>SUM(B35:M35)</f>
        <v>-1728.82</v>
      </c>
    </row>
    <row r="36" spans="1:18" x14ac:dyDescent="0.25">
      <c r="A36" s="3" t="s">
        <v>43</v>
      </c>
      <c r="B36" s="4">
        <v>176.75</v>
      </c>
      <c r="C36" s="4">
        <v>157.99</v>
      </c>
      <c r="D36" s="4">
        <v>159.41</v>
      </c>
      <c r="E36" s="4">
        <v>173.28</v>
      </c>
      <c r="F36" s="4">
        <v>162.41999999999999</v>
      </c>
      <c r="G36" s="4">
        <v>162.69999999999999</v>
      </c>
      <c r="H36" s="4">
        <v>185.66</v>
      </c>
      <c r="I36" s="4">
        <v>185.45</v>
      </c>
      <c r="J36" s="4">
        <v>199.61</v>
      </c>
      <c r="K36" s="4">
        <v>204.26</v>
      </c>
      <c r="L36" s="4">
        <v>214.58</v>
      </c>
      <c r="M36" s="4">
        <v>189.71</v>
      </c>
      <c r="N36" s="4">
        <f>SUM(B36:D36)</f>
        <v>494.15</v>
      </c>
      <c r="O36" s="4">
        <f>SUM(E36:G36)</f>
        <v>498.4</v>
      </c>
      <c r="P36" s="4">
        <f>SUM(H36:J36)</f>
        <v>570.72</v>
      </c>
      <c r="Q36" s="4">
        <f>SUM(K36:M36)</f>
        <v>608.55000000000007</v>
      </c>
      <c r="R36" s="4">
        <f>SUM(B36:M36)</f>
        <v>2171.8199999999997</v>
      </c>
    </row>
    <row r="37" spans="1:18" x14ac:dyDescent="0.25">
      <c r="A37" s="18"/>
      <c r="B37" s="18"/>
      <c r="C37" s="18"/>
      <c r="D37" s="18"/>
      <c r="E37" s="18"/>
      <c r="F37" s="18"/>
      <c r="G37" s="18"/>
      <c r="H37" s="18"/>
      <c r="I37" s="18"/>
      <c r="J37" s="18"/>
      <c r="K37" s="18"/>
      <c r="L37" s="18"/>
      <c r="M37" s="18"/>
      <c r="N37" s="18"/>
      <c r="O37" s="18"/>
      <c r="P37" s="18"/>
      <c r="Q37" s="18"/>
      <c r="R37" s="18"/>
    </row>
    <row r="38" spans="1:18" x14ac:dyDescent="0.25">
      <c r="A38" s="21" t="s">
        <v>745</v>
      </c>
      <c r="B38" s="25">
        <f t="shared" ref="B38:M38" si="15">B25-B33-B36</f>
        <v>2289.2900000000009</v>
      </c>
      <c r="C38" s="25">
        <f t="shared" si="15"/>
        <v>2507.1899999999996</v>
      </c>
      <c r="D38" s="25">
        <f t="shared" si="15"/>
        <v>2566.7200000000003</v>
      </c>
      <c r="E38" s="25">
        <f t="shared" si="15"/>
        <v>2526.2800000000002</v>
      </c>
      <c r="F38" s="25">
        <f t="shared" si="15"/>
        <v>2500.04</v>
      </c>
      <c r="G38" s="25">
        <f t="shared" si="15"/>
        <v>2584.8300000000004</v>
      </c>
      <c r="H38" s="25">
        <f t="shared" si="15"/>
        <v>2642.0500000000006</v>
      </c>
      <c r="I38" s="25">
        <f t="shared" si="15"/>
        <v>2708.1600000000003</v>
      </c>
      <c r="J38" s="25">
        <f t="shared" si="15"/>
        <v>2736.01</v>
      </c>
      <c r="K38" s="25">
        <f t="shared" si="15"/>
        <v>2846.7799999999997</v>
      </c>
      <c r="L38" s="25">
        <f t="shared" si="15"/>
        <v>2895.34</v>
      </c>
      <c r="M38" s="25">
        <f t="shared" si="15"/>
        <v>2898.17</v>
      </c>
      <c r="N38" s="25">
        <f>SUM(B38:D38)</f>
        <v>7363.2000000000007</v>
      </c>
      <c r="O38" s="25">
        <f>SUM(E38:G38)</f>
        <v>7611.15</v>
      </c>
      <c r="P38" s="25">
        <f>SUM(H38:J38)</f>
        <v>8086.2200000000012</v>
      </c>
      <c r="Q38" s="25">
        <f>SUM(K38:M38)</f>
        <v>8640.2900000000009</v>
      </c>
      <c r="R38" s="25">
        <f>SUM(B38:M38)</f>
        <v>31700.86</v>
      </c>
    </row>
    <row r="39" spans="1:18" x14ac:dyDescent="0.25">
      <c r="A39" s="5" t="s">
        <v>746</v>
      </c>
      <c r="B39" s="14">
        <f t="shared" ref="B39:R39" si="16">IFERROR(B38/B11,0)</f>
        <v>0.42642930720069455</v>
      </c>
      <c r="C39" s="14">
        <f t="shared" si="16"/>
        <v>0.45698688563434697</v>
      </c>
      <c r="D39" s="14">
        <f t="shared" si="16"/>
        <v>0.44587662444823922</v>
      </c>
      <c r="E39" s="14">
        <f t="shared" si="16"/>
        <v>0.44655382091747275</v>
      </c>
      <c r="F39" s="14">
        <f t="shared" si="16"/>
        <v>0.43998211941275644</v>
      </c>
      <c r="G39" s="14">
        <f t="shared" si="16"/>
        <v>0.43775064354423526</v>
      </c>
      <c r="H39" s="14">
        <f t="shared" si="16"/>
        <v>0.45006916147671688</v>
      </c>
      <c r="I39" s="14">
        <f t="shared" si="16"/>
        <v>0.44262118245440851</v>
      </c>
      <c r="J39" s="14">
        <f t="shared" si="16"/>
        <v>0.44271003569498435</v>
      </c>
      <c r="K39" s="14">
        <f t="shared" si="16"/>
        <v>0.42501877423294376</v>
      </c>
      <c r="L39" s="14">
        <f t="shared" si="16"/>
        <v>0.43709645034820194</v>
      </c>
      <c r="M39" s="14">
        <f t="shared" si="16"/>
        <v>0.43174108971732894</v>
      </c>
      <c r="N39" s="14">
        <f t="shared" si="16"/>
        <v>0.44326105579110292</v>
      </c>
      <c r="O39" s="14">
        <f t="shared" si="16"/>
        <v>0.44137397922318311</v>
      </c>
      <c r="P39" s="14">
        <f t="shared" si="16"/>
        <v>0.44505782402036015</v>
      </c>
      <c r="Q39" s="14">
        <f t="shared" si="16"/>
        <v>0.43126431572280022</v>
      </c>
      <c r="R39" s="14">
        <f t="shared" si="16"/>
        <v>0.4399270268289921</v>
      </c>
    </row>
    <row r="40" spans="1:18" x14ac:dyDescent="0.25">
      <c r="A40" s="3"/>
      <c r="B40" s="13"/>
      <c r="C40" s="13"/>
      <c r="D40" s="13"/>
      <c r="E40" s="13"/>
      <c r="F40" s="13"/>
      <c r="G40" s="13"/>
      <c r="H40" s="13"/>
      <c r="I40" s="13"/>
      <c r="J40" s="13"/>
      <c r="K40" s="13"/>
      <c r="L40" s="13"/>
      <c r="M40" s="13"/>
      <c r="N40" s="13"/>
      <c r="O40" s="13"/>
      <c r="P40" s="13"/>
      <c r="Q40" s="13"/>
      <c r="R40" s="13"/>
    </row>
    <row r="41" spans="1:18" x14ac:dyDescent="0.25">
      <c r="A41" s="18"/>
      <c r="B41" s="18"/>
      <c r="C41" s="18"/>
      <c r="D41" s="18"/>
      <c r="E41" s="18"/>
      <c r="F41" s="18"/>
      <c r="G41" s="18"/>
      <c r="H41" s="18"/>
      <c r="I41" s="18"/>
      <c r="J41" s="18"/>
      <c r="K41" s="18"/>
      <c r="L41" s="18"/>
      <c r="M41" s="18"/>
      <c r="N41" s="18"/>
      <c r="O41" s="18"/>
      <c r="P41" s="18"/>
      <c r="Q41" s="18"/>
      <c r="R41" s="18"/>
    </row>
    <row r="42" spans="1:18" ht="15.6" customHeight="1" x14ac:dyDescent="0.25">
      <c r="A42" s="12" t="s">
        <v>36</v>
      </c>
      <c r="B42" s="12"/>
      <c r="C42" s="12"/>
      <c r="D42" s="12"/>
      <c r="E42" s="12"/>
      <c r="F42" s="12"/>
      <c r="G42" s="12"/>
      <c r="H42" s="12"/>
      <c r="I42" s="12"/>
      <c r="J42" s="12"/>
      <c r="K42" s="12"/>
      <c r="L42" s="12"/>
      <c r="M42" s="12"/>
      <c r="N42" s="12"/>
      <c r="O42" s="12"/>
      <c r="P42" s="12"/>
      <c r="Q42" s="12"/>
      <c r="R42" s="12"/>
    </row>
    <row r="43" spans="1:18" x14ac:dyDescent="0.25">
      <c r="A43" s="12" t="s">
        <v>602</v>
      </c>
      <c r="B43" s="12"/>
      <c r="C43" s="12"/>
      <c r="D43" s="12"/>
      <c r="E43" s="12"/>
      <c r="F43" s="12"/>
      <c r="G43" s="12"/>
      <c r="H43" s="12"/>
      <c r="I43" s="12"/>
      <c r="J43" s="12"/>
      <c r="K43" s="12"/>
      <c r="L43" s="12"/>
      <c r="M43" s="12"/>
      <c r="N43" s="12"/>
      <c r="O43" s="12"/>
      <c r="P43" s="12"/>
      <c r="Q43" s="12"/>
      <c r="R43" s="12"/>
    </row>
    <row r="44" spans="1:18" x14ac:dyDescent="0.25">
      <c r="A44" s="5" t="s">
        <v>619</v>
      </c>
      <c r="B44" s="6">
        <v>2046.95</v>
      </c>
      <c r="C44" s="6">
        <v>1980.7</v>
      </c>
      <c r="D44" s="6">
        <v>1979.69</v>
      </c>
      <c r="E44" s="6">
        <v>2092.06</v>
      </c>
      <c r="F44" s="6">
        <v>2122.54</v>
      </c>
      <c r="G44" s="6">
        <v>2127.6</v>
      </c>
      <c r="H44" s="6">
        <v>2159.9</v>
      </c>
      <c r="I44" s="6">
        <v>2134.14</v>
      </c>
      <c r="J44" s="6">
        <v>2105.2600000000002</v>
      </c>
      <c r="K44" s="6">
        <v>2392.87</v>
      </c>
      <c r="L44" s="6">
        <v>2379.39</v>
      </c>
      <c r="M44" s="6">
        <v>2405.21</v>
      </c>
      <c r="N44" s="6">
        <f>SUM(B44:D44)</f>
        <v>6007.34</v>
      </c>
      <c r="O44" s="6">
        <f>SUM(E44:G44)</f>
        <v>6342.2000000000007</v>
      </c>
      <c r="P44" s="6">
        <f>SUM(H44:J44)</f>
        <v>6399.3</v>
      </c>
      <c r="Q44" s="6">
        <f>SUM(K44:M44)</f>
        <v>7177.47</v>
      </c>
      <c r="R44" s="6">
        <f>SUM(B44:M44)</f>
        <v>25926.309999999994</v>
      </c>
    </row>
    <row r="45" spans="1:18" x14ac:dyDescent="0.25">
      <c r="A45" s="3" t="s">
        <v>760</v>
      </c>
      <c r="B45" s="4">
        <v>496.93</v>
      </c>
      <c r="C45" s="4">
        <v>457.06</v>
      </c>
      <c r="D45" s="4">
        <v>486.98</v>
      </c>
      <c r="E45" s="4">
        <v>422.43</v>
      </c>
      <c r="F45" s="4">
        <v>484.32</v>
      </c>
      <c r="G45" s="4">
        <v>529.28</v>
      </c>
      <c r="H45" s="4">
        <v>455.67</v>
      </c>
      <c r="I45" s="4">
        <v>505.22</v>
      </c>
      <c r="J45" s="4">
        <v>462.18</v>
      </c>
      <c r="K45" s="4">
        <v>540.08000000000004</v>
      </c>
      <c r="L45" s="4">
        <v>540.19000000000005</v>
      </c>
      <c r="M45" s="4">
        <v>519.53</v>
      </c>
      <c r="N45" s="4">
        <f>SUM(B45:D45)</f>
        <v>1440.97</v>
      </c>
      <c r="O45" s="4">
        <f>SUM(E45:G45)</f>
        <v>1436.03</v>
      </c>
      <c r="P45" s="4">
        <f>SUM(H45:J45)</f>
        <v>1423.0700000000002</v>
      </c>
      <c r="Q45" s="4">
        <f>SUM(K45:M45)</f>
        <v>1599.8</v>
      </c>
      <c r="R45" s="4">
        <f>SUM(B45:M45)</f>
        <v>5899.87</v>
      </c>
    </row>
    <row r="46" spans="1:18" x14ac:dyDescent="0.25">
      <c r="A46" s="5" t="s">
        <v>625</v>
      </c>
      <c r="B46" s="6">
        <v>101.1</v>
      </c>
      <c r="C46" s="6">
        <v>259.70999999999998</v>
      </c>
      <c r="D46" s="6">
        <v>232.43</v>
      </c>
      <c r="E46" s="6">
        <v>208.51</v>
      </c>
      <c r="F46" s="6">
        <v>209.06</v>
      </c>
      <c r="G46" s="6">
        <v>205.67</v>
      </c>
      <c r="H46" s="6">
        <v>259.86</v>
      </c>
      <c r="I46" s="6">
        <v>179.98</v>
      </c>
      <c r="J46" s="6">
        <v>277.29000000000002</v>
      </c>
      <c r="K46" s="6">
        <v>135.78</v>
      </c>
      <c r="L46" s="6">
        <v>244.91</v>
      </c>
      <c r="M46" s="6">
        <v>342.99</v>
      </c>
      <c r="N46" s="6">
        <f>SUM(B46:D46)</f>
        <v>593.24</v>
      </c>
      <c r="O46" s="6">
        <f>SUM(E46:G46)</f>
        <v>623.24</v>
      </c>
      <c r="P46" s="6">
        <f>SUM(H46:J46)</f>
        <v>717.13000000000011</v>
      </c>
      <c r="Q46" s="6">
        <f>SUM(K46:M46)</f>
        <v>723.68000000000006</v>
      </c>
      <c r="R46" s="6">
        <f>SUM(B46:M46)</f>
        <v>2657.29</v>
      </c>
    </row>
    <row r="47" spans="1:18" x14ac:dyDescent="0.25">
      <c r="A47" s="21" t="s">
        <v>602</v>
      </c>
      <c r="B47" s="25">
        <f t="shared" ref="B47:M47" si="17">B44+B45+B46</f>
        <v>2644.98</v>
      </c>
      <c r="C47" s="25">
        <f t="shared" si="17"/>
        <v>2697.4700000000003</v>
      </c>
      <c r="D47" s="25">
        <f t="shared" si="17"/>
        <v>2699.1</v>
      </c>
      <c r="E47" s="25">
        <f t="shared" si="17"/>
        <v>2723</v>
      </c>
      <c r="F47" s="25">
        <f t="shared" si="17"/>
        <v>2815.92</v>
      </c>
      <c r="G47" s="25">
        <f t="shared" si="17"/>
        <v>2862.55</v>
      </c>
      <c r="H47" s="25">
        <f t="shared" si="17"/>
        <v>2875.4300000000003</v>
      </c>
      <c r="I47" s="25">
        <f t="shared" si="17"/>
        <v>2819.3399999999997</v>
      </c>
      <c r="J47" s="25">
        <f t="shared" si="17"/>
        <v>2844.73</v>
      </c>
      <c r="K47" s="25">
        <f t="shared" si="17"/>
        <v>3068.73</v>
      </c>
      <c r="L47" s="25">
        <f t="shared" si="17"/>
        <v>3164.49</v>
      </c>
      <c r="M47" s="25">
        <f t="shared" si="17"/>
        <v>3267.7299999999996</v>
      </c>
      <c r="N47" s="25">
        <f>SUM(B47:D47)</f>
        <v>8041.5500000000011</v>
      </c>
      <c r="O47" s="25">
        <f>SUM(E47:G47)</f>
        <v>8401.4700000000012</v>
      </c>
      <c r="P47" s="25">
        <f>SUM(H47:J47)</f>
        <v>8539.5</v>
      </c>
      <c r="Q47" s="25">
        <f>SUM(K47:M47)</f>
        <v>9500.9499999999989</v>
      </c>
      <c r="R47" s="25">
        <f>SUM(B47:M47)</f>
        <v>34483.47</v>
      </c>
    </row>
    <row r="48" spans="1:18" x14ac:dyDescent="0.25">
      <c r="A48" s="18"/>
      <c r="B48" s="18"/>
      <c r="C48" s="18"/>
      <c r="D48" s="18"/>
      <c r="E48" s="18"/>
      <c r="F48" s="18"/>
      <c r="G48" s="18"/>
      <c r="H48" s="18"/>
      <c r="I48" s="18"/>
      <c r="J48" s="18"/>
      <c r="K48" s="18"/>
      <c r="L48" s="18"/>
      <c r="M48" s="18"/>
      <c r="N48" s="18"/>
      <c r="O48" s="18"/>
      <c r="P48" s="18"/>
      <c r="Q48" s="18"/>
      <c r="R48" s="18"/>
    </row>
    <row r="49" spans="1:18" x14ac:dyDescent="0.25">
      <c r="A49" s="12" t="s">
        <v>742</v>
      </c>
      <c r="B49" s="12"/>
      <c r="C49" s="12"/>
      <c r="D49" s="12"/>
      <c r="E49" s="12"/>
      <c r="F49" s="12"/>
      <c r="G49" s="12"/>
      <c r="H49" s="12"/>
      <c r="I49" s="12"/>
      <c r="J49" s="12"/>
      <c r="K49" s="12"/>
      <c r="L49" s="12"/>
      <c r="M49" s="12"/>
      <c r="N49" s="12"/>
      <c r="O49" s="12"/>
      <c r="P49" s="12"/>
      <c r="Q49" s="12"/>
      <c r="R49" s="12"/>
    </row>
    <row r="50" spans="1:18" x14ac:dyDescent="0.25">
      <c r="A50" s="3" t="s">
        <v>21</v>
      </c>
      <c r="B50" s="4">
        <v>119.74</v>
      </c>
      <c r="C50" s="4">
        <v>114.12</v>
      </c>
      <c r="D50" s="4">
        <v>122.11</v>
      </c>
      <c r="E50" s="4">
        <v>130.35</v>
      </c>
      <c r="F50" s="4">
        <v>126.16</v>
      </c>
      <c r="G50" s="4">
        <v>129.19999999999999</v>
      </c>
      <c r="H50" s="4">
        <v>125.12</v>
      </c>
      <c r="I50" s="4">
        <v>133.55000000000001</v>
      </c>
      <c r="J50" s="4">
        <v>130.91999999999999</v>
      </c>
      <c r="K50" s="4">
        <v>150.41</v>
      </c>
      <c r="L50" s="4">
        <v>147.19999999999999</v>
      </c>
      <c r="M50" s="4">
        <v>149.82</v>
      </c>
      <c r="N50" s="4">
        <f t="shared" ref="N50:N57" si="18">SUM(B50:D50)</f>
        <v>355.97</v>
      </c>
      <c r="O50" s="4">
        <f t="shared" ref="O50:O57" si="19">SUM(E50:G50)</f>
        <v>385.71</v>
      </c>
      <c r="P50" s="4">
        <f t="shared" ref="P50:P57" si="20">SUM(H50:J50)</f>
        <v>389.59000000000003</v>
      </c>
      <c r="Q50" s="4">
        <f t="shared" ref="Q50:Q57" si="21">SUM(K50:M50)</f>
        <v>447.43</v>
      </c>
      <c r="R50" s="4">
        <f t="shared" ref="R50:R57" si="22">SUM(B50:M50)</f>
        <v>1578.7000000000003</v>
      </c>
    </row>
    <row r="51" spans="1:18" x14ac:dyDescent="0.25">
      <c r="A51" s="5" t="s">
        <v>56</v>
      </c>
      <c r="B51" s="6">
        <v>38.99</v>
      </c>
      <c r="C51" s="6">
        <v>40.549999999999997</v>
      </c>
      <c r="D51" s="6">
        <v>38.93</v>
      </c>
      <c r="E51" s="6">
        <v>43.64</v>
      </c>
      <c r="F51" s="6">
        <v>43.73</v>
      </c>
      <c r="G51" s="6">
        <v>44.1</v>
      </c>
      <c r="H51" s="6">
        <v>44.54</v>
      </c>
      <c r="I51" s="6">
        <v>41.69</v>
      </c>
      <c r="J51" s="6">
        <v>43.32</v>
      </c>
      <c r="K51" s="6">
        <v>45.98</v>
      </c>
      <c r="L51" s="6">
        <v>49.36</v>
      </c>
      <c r="M51" s="6">
        <v>49.83</v>
      </c>
      <c r="N51" s="6">
        <f t="shared" si="18"/>
        <v>118.47</v>
      </c>
      <c r="O51" s="6">
        <f t="shared" si="19"/>
        <v>131.47</v>
      </c>
      <c r="P51" s="6">
        <f t="shared" si="20"/>
        <v>129.54999999999998</v>
      </c>
      <c r="Q51" s="6">
        <f t="shared" si="21"/>
        <v>145.17000000000002</v>
      </c>
      <c r="R51" s="6">
        <f t="shared" si="22"/>
        <v>524.66000000000008</v>
      </c>
    </row>
    <row r="52" spans="1:18" x14ac:dyDescent="0.25">
      <c r="A52" s="3" t="s">
        <v>54</v>
      </c>
      <c r="B52" s="4">
        <v>59.7</v>
      </c>
      <c r="C52" s="4">
        <v>61.3</v>
      </c>
      <c r="D52" s="4">
        <v>59.15</v>
      </c>
      <c r="E52" s="4">
        <v>61.54</v>
      </c>
      <c r="F52" s="4">
        <v>65.56</v>
      </c>
      <c r="G52" s="4">
        <v>62.09</v>
      </c>
      <c r="H52" s="4">
        <v>61.71</v>
      </c>
      <c r="I52" s="4">
        <v>62.06</v>
      </c>
      <c r="J52" s="4">
        <v>62.07</v>
      </c>
      <c r="K52" s="4">
        <v>74.400000000000006</v>
      </c>
      <c r="L52" s="4">
        <v>74.709999999999994</v>
      </c>
      <c r="M52" s="4">
        <v>70.56</v>
      </c>
      <c r="N52" s="4">
        <f t="shared" si="18"/>
        <v>180.15</v>
      </c>
      <c r="O52" s="4">
        <f t="shared" si="19"/>
        <v>189.19</v>
      </c>
      <c r="P52" s="4">
        <f t="shared" si="20"/>
        <v>185.84</v>
      </c>
      <c r="Q52" s="4">
        <f t="shared" si="21"/>
        <v>219.67000000000002</v>
      </c>
      <c r="R52" s="4">
        <f t="shared" si="22"/>
        <v>774.85000000000014</v>
      </c>
    </row>
    <row r="53" spans="1:18" x14ac:dyDescent="0.25">
      <c r="A53" s="5" t="s">
        <v>15</v>
      </c>
      <c r="B53" s="6">
        <v>41.52</v>
      </c>
      <c r="C53" s="6">
        <v>39.22</v>
      </c>
      <c r="D53" s="6">
        <v>41.5</v>
      </c>
      <c r="E53" s="6">
        <v>41.99</v>
      </c>
      <c r="F53" s="6">
        <v>44.32</v>
      </c>
      <c r="G53" s="6">
        <v>40.92</v>
      </c>
      <c r="H53" s="6">
        <v>45.23</v>
      </c>
      <c r="I53" s="6">
        <v>41.31</v>
      </c>
      <c r="J53" s="6">
        <v>44.05</v>
      </c>
      <c r="K53" s="6">
        <v>46.73</v>
      </c>
      <c r="L53" s="6">
        <v>45.72</v>
      </c>
      <c r="M53" s="6">
        <v>47.79</v>
      </c>
      <c r="N53" s="6">
        <f t="shared" si="18"/>
        <v>122.24000000000001</v>
      </c>
      <c r="O53" s="6">
        <f t="shared" si="19"/>
        <v>127.23</v>
      </c>
      <c r="P53" s="6">
        <f t="shared" si="20"/>
        <v>130.58999999999997</v>
      </c>
      <c r="Q53" s="6">
        <f t="shared" si="21"/>
        <v>140.23999999999998</v>
      </c>
      <c r="R53" s="6">
        <f t="shared" si="22"/>
        <v>520.30000000000007</v>
      </c>
    </row>
    <row r="54" spans="1:18" x14ac:dyDescent="0.25">
      <c r="A54" s="3" t="s">
        <v>40</v>
      </c>
      <c r="B54" s="4">
        <v>6.28</v>
      </c>
      <c r="C54" s="4">
        <v>5.83</v>
      </c>
      <c r="D54" s="4">
        <v>6</v>
      </c>
      <c r="E54" s="4">
        <v>6.28</v>
      </c>
      <c r="F54" s="4">
        <v>6.29</v>
      </c>
      <c r="G54" s="4">
        <v>6.43</v>
      </c>
      <c r="H54" s="4">
        <v>6.32</v>
      </c>
      <c r="I54" s="4">
        <v>6.54</v>
      </c>
      <c r="J54" s="4">
        <v>6</v>
      </c>
      <c r="K54" s="4">
        <v>7.48</v>
      </c>
      <c r="L54" s="4">
        <v>7.17</v>
      </c>
      <c r="M54" s="4">
        <v>7.37</v>
      </c>
      <c r="N54" s="4">
        <f t="shared" si="18"/>
        <v>18.11</v>
      </c>
      <c r="O54" s="4">
        <f t="shared" si="19"/>
        <v>19</v>
      </c>
      <c r="P54" s="4">
        <f t="shared" si="20"/>
        <v>18.86</v>
      </c>
      <c r="Q54" s="4">
        <f t="shared" si="21"/>
        <v>22.02</v>
      </c>
      <c r="R54" s="4">
        <f t="shared" si="22"/>
        <v>77.990000000000009</v>
      </c>
    </row>
    <row r="55" spans="1:18" x14ac:dyDescent="0.25">
      <c r="A55" s="21" t="s">
        <v>761</v>
      </c>
      <c r="B55" s="25">
        <f t="shared" ref="B55:M55" si="23">SUM(B50:B54)</f>
        <v>266.22999999999996</v>
      </c>
      <c r="C55" s="25">
        <f t="shared" si="23"/>
        <v>261.02000000000004</v>
      </c>
      <c r="D55" s="25">
        <f t="shared" si="23"/>
        <v>267.69</v>
      </c>
      <c r="E55" s="25">
        <f t="shared" si="23"/>
        <v>283.79999999999995</v>
      </c>
      <c r="F55" s="25">
        <f t="shared" si="23"/>
        <v>286.06</v>
      </c>
      <c r="G55" s="25">
        <f t="shared" si="23"/>
        <v>282.74</v>
      </c>
      <c r="H55" s="25">
        <f t="shared" si="23"/>
        <v>282.92</v>
      </c>
      <c r="I55" s="25">
        <f t="shared" si="23"/>
        <v>285.15000000000003</v>
      </c>
      <c r="J55" s="25">
        <f t="shared" si="23"/>
        <v>286.35999999999996</v>
      </c>
      <c r="K55" s="25">
        <f t="shared" si="23"/>
        <v>325</v>
      </c>
      <c r="L55" s="25">
        <f t="shared" si="23"/>
        <v>324.16000000000003</v>
      </c>
      <c r="M55" s="25">
        <f t="shared" si="23"/>
        <v>325.37</v>
      </c>
      <c r="N55" s="25">
        <f t="shared" si="18"/>
        <v>794.94</v>
      </c>
      <c r="O55" s="25">
        <f t="shared" si="19"/>
        <v>852.59999999999991</v>
      </c>
      <c r="P55" s="25">
        <f t="shared" si="20"/>
        <v>854.43000000000006</v>
      </c>
      <c r="Q55" s="25">
        <f t="shared" si="21"/>
        <v>974.53000000000009</v>
      </c>
      <c r="R55" s="25">
        <f t="shared" si="22"/>
        <v>3476.5</v>
      </c>
    </row>
    <row r="56" spans="1:18" x14ac:dyDescent="0.25">
      <c r="A56" s="5" t="s">
        <v>762</v>
      </c>
      <c r="B56" s="6">
        <v>42.4</v>
      </c>
      <c r="C56" s="6">
        <v>107.3</v>
      </c>
      <c r="D56" s="6">
        <v>97.06</v>
      </c>
      <c r="E56" s="6">
        <v>81.78</v>
      </c>
      <c r="F56" s="6">
        <v>90.99</v>
      </c>
      <c r="G56" s="6">
        <v>78.989999999999995</v>
      </c>
      <c r="H56" s="6">
        <v>102.49</v>
      </c>
      <c r="I56" s="6">
        <v>71.16</v>
      </c>
      <c r="J56" s="6">
        <v>117.48</v>
      </c>
      <c r="K56" s="6">
        <v>55.76</v>
      </c>
      <c r="L56" s="6">
        <v>101.35</v>
      </c>
      <c r="M56" s="6">
        <v>130.19</v>
      </c>
      <c r="N56" s="6">
        <f t="shared" si="18"/>
        <v>246.76</v>
      </c>
      <c r="O56" s="6">
        <f t="shared" si="19"/>
        <v>251.76</v>
      </c>
      <c r="P56" s="6">
        <f t="shared" si="20"/>
        <v>291.13</v>
      </c>
      <c r="Q56" s="6">
        <f t="shared" si="21"/>
        <v>287.29999999999995</v>
      </c>
      <c r="R56" s="6">
        <f t="shared" si="22"/>
        <v>1076.95</v>
      </c>
    </row>
    <row r="57" spans="1:18" x14ac:dyDescent="0.25">
      <c r="A57" s="21" t="s">
        <v>742</v>
      </c>
      <c r="B57" s="25">
        <f t="shared" ref="B57:M57" si="24">B55+B56</f>
        <v>308.62999999999994</v>
      </c>
      <c r="C57" s="25">
        <f t="shared" si="24"/>
        <v>368.32000000000005</v>
      </c>
      <c r="D57" s="25">
        <f t="shared" si="24"/>
        <v>364.75</v>
      </c>
      <c r="E57" s="25">
        <f t="shared" si="24"/>
        <v>365.57999999999993</v>
      </c>
      <c r="F57" s="25">
        <f t="shared" si="24"/>
        <v>377.05</v>
      </c>
      <c r="G57" s="25">
        <f t="shared" si="24"/>
        <v>361.73</v>
      </c>
      <c r="H57" s="25">
        <f t="shared" si="24"/>
        <v>385.41</v>
      </c>
      <c r="I57" s="25">
        <f t="shared" si="24"/>
        <v>356.31000000000006</v>
      </c>
      <c r="J57" s="25">
        <f t="shared" si="24"/>
        <v>403.84</v>
      </c>
      <c r="K57" s="25">
        <f t="shared" si="24"/>
        <v>380.76</v>
      </c>
      <c r="L57" s="25">
        <f t="shared" si="24"/>
        <v>425.51</v>
      </c>
      <c r="M57" s="25">
        <f t="shared" si="24"/>
        <v>455.56</v>
      </c>
      <c r="N57" s="25">
        <f t="shared" si="18"/>
        <v>1041.7</v>
      </c>
      <c r="O57" s="25">
        <f t="shared" si="19"/>
        <v>1104.3599999999999</v>
      </c>
      <c r="P57" s="25">
        <f t="shared" si="20"/>
        <v>1145.56</v>
      </c>
      <c r="Q57" s="25">
        <f t="shared" si="21"/>
        <v>1261.83</v>
      </c>
      <c r="R57" s="25">
        <f t="shared" si="22"/>
        <v>4553.4500000000007</v>
      </c>
    </row>
    <row r="58" spans="1:18" x14ac:dyDescent="0.25">
      <c r="A58" s="18"/>
      <c r="B58" s="18"/>
      <c r="C58" s="18"/>
      <c r="D58" s="18"/>
      <c r="E58" s="18"/>
      <c r="F58" s="18"/>
      <c r="G58" s="18"/>
      <c r="H58" s="18"/>
      <c r="I58" s="18"/>
      <c r="J58" s="18"/>
      <c r="K58" s="18"/>
      <c r="L58" s="18"/>
      <c r="M58" s="18"/>
      <c r="N58" s="18"/>
      <c r="O58" s="18"/>
      <c r="P58" s="18"/>
      <c r="Q58" s="18"/>
      <c r="R58" s="18"/>
    </row>
    <row r="59" spans="1:18" x14ac:dyDescent="0.25">
      <c r="A59" s="3" t="s">
        <v>763</v>
      </c>
      <c r="B59" s="4">
        <f t="shared" ref="B59:M59" si="25">B44-B55</f>
        <v>1780.72</v>
      </c>
      <c r="C59" s="4">
        <f t="shared" si="25"/>
        <v>1719.68</v>
      </c>
      <c r="D59" s="4">
        <f t="shared" si="25"/>
        <v>1712</v>
      </c>
      <c r="E59" s="4">
        <f t="shared" si="25"/>
        <v>1808.26</v>
      </c>
      <c r="F59" s="4">
        <f t="shared" si="25"/>
        <v>1836.48</v>
      </c>
      <c r="G59" s="4">
        <f t="shared" si="25"/>
        <v>1844.86</v>
      </c>
      <c r="H59" s="4">
        <f t="shared" si="25"/>
        <v>1876.98</v>
      </c>
      <c r="I59" s="4">
        <f t="shared" si="25"/>
        <v>1848.9899999999998</v>
      </c>
      <c r="J59" s="4">
        <f t="shared" si="25"/>
        <v>1818.9000000000003</v>
      </c>
      <c r="K59" s="4">
        <f t="shared" si="25"/>
        <v>2067.87</v>
      </c>
      <c r="L59" s="4">
        <f t="shared" si="25"/>
        <v>2055.23</v>
      </c>
      <c r="M59" s="4">
        <f t="shared" si="25"/>
        <v>2079.84</v>
      </c>
      <c r="N59" s="4">
        <f>SUM(B59:D59)</f>
        <v>5212.3999999999996</v>
      </c>
      <c r="O59" s="4">
        <f>SUM(E59:G59)</f>
        <v>5489.5999999999995</v>
      </c>
      <c r="P59" s="4">
        <f>SUM(H59:J59)</f>
        <v>5544.87</v>
      </c>
      <c r="Q59" s="4">
        <f>SUM(K59:M59)</f>
        <v>6202.9400000000005</v>
      </c>
      <c r="R59" s="4">
        <f>SUM(B59:M59)</f>
        <v>22449.809999999998</v>
      </c>
    </row>
    <row r="60" spans="1:18" x14ac:dyDescent="0.25">
      <c r="A60" s="5" t="s">
        <v>764</v>
      </c>
      <c r="B60" s="6">
        <f t="shared" ref="B60:M60" si="26">B46-B56</f>
        <v>58.699999999999996</v>
      </c>
      <c r="C60" s="6">
        <f t="shared" si="26"/>
        <v>152.40999999999997</v>
      </c>
      <c r="D60" s="6">
        <f t="shared" si="26"/>
        <v>135.37</v>
      </c>
      <c r="E60" s="6">
        <f t="shared" si="26"/>
        <v>126.72999999999999</v>
      </c>
      <c r="F60" s="6">
        <f t="shared" si="26"/>
        <v>118.07000000000001</v>
      </c>
      <c r="G60" s="6">
        <f t="shared" si="26"/>
        <v>126.67999999999999</v>
      </c>
      <c r="H60" s="6">
        <f t="shared" si="26"/>
        <v>157.37</v>
      </c>
      <c r="I60" s="6">
        <f t="shared" si="26"/>
        <v>108.82</v>
      </c>
      <c r="J60" s="6">
        <f t="shared" si="26"/>
        <v>159.81</v>
      </c>
      <c r="K60" s="6">
        <f t="shared" si="26"/>
        <v>80.02000000000001</v>
      </c>
      <c r="L60" s="6">
        <f t="shared" si="26"/>
        <v>143.56</v>
      </c>
      <c r="M60" s="6">
        <f t="shared" si="26"/>
        <v>212.8</v>
      </c>
      <c r="N60" s="6">
        <f>SUM(B60:D60)</f>
        <v>346.47999999999996</v>
      </c>
      <c r="O60" s="6">
        <f>SUM(E60:G60)</f>
        <v>371.48</v>
      </c>
      <c r="P60" s="6">
        <f>SUM(H60:J60)</f>
        <v>426</v>
      </c>
      <c r="Q60" s="6">
        <f>SUM(K60:M60)</f>
        <v>436.38</v>
      </c>
      <c r="R60" s="6">
        <f>SUM(B60:M60)</f>
        <v>1580.3399999999997</v>
      </c>
    </row>
    <row r="61" spans="1:18" x14ac:dyDescent="0.25">
      <c r="A61" s="21" t="s">
        <v>765</v>
      </c>
      <c r="B61" s="25">
        <f t="shared" ref="B61:M61" si="27">B59+B60</f>
        <v>1839.42</v>
      </c>
      <c r="C61" s="25">
        <f t="shared" si="27"/>
        <v>1872.0900000000001</v>
      </c>
      <c r="D61" s="25">
        <f t="shared" si="27"/>
        <v>1847.37</v>
      </c>
      <c r="E61" s="25">
        <f t="shared" si="27"/>
        <v>1934.99</v>
      </c>
      <c r="F61" s="25">
        <f t="shared" si="27"/>
        <v>1954.55</v>
      </c>
      <c r="G61" s="25">
        <f t="shared" si="27"/>
        <v>1971.54</v>
      </c>
      <c r="H61" s="25">
        <f t="shared" si="27"/>
        <v>2034.35</v>
      </c>
      <c r="I61" s="25">
        <f t="shared" si="27"/>
        <v>1957.8099999999997</v>
      </c>
      <c r="J61" s="25">
        <f t="shared" si="27"/>
        <v>1978.7100000000003</v>
      </c>
      <c r="K61" s="25">
        <f t="shared" si="27"/>
        <v>2147.89</v>
      </c>
      <c r="L61" s="25">
        <f t="shared" si="27"/>
        <v>2198.79</v>
      </c>
      <c r="M61" s="25">
        <f t="shared" si="27"/>
        <v>2292.6400000000003</v>
      </c>
      <c r="N61" s="25">
        <f>SUM(B61:D61)</f>
        <v>5558.88</v>
      </c>
      <c r="O61" s="25">
        <f>SUM(E61:G61)</f>
        <v>5861.08</v>
      </c>
      <c r="P61" s="25">
        <f>SUM(H61:J61)</f>
        <v>5970.87</v>
      </c>
      <c r="Q61" s="25">
        <f>SUM(K61:M61)</f>
        <v>6639.3200000000006</v>
      </c>
      <c r="R61" s="25">
        <f>SUM(B61:M61)</f>
        <v>24030.149999999998</v>
      </c>
    </row>
    <row r="62" spans="1:18" x14ac:dyDescent="0.25">
      <c r="A62" s="3" t="s">
        <v>766</v>
      </c>
      <c r="B62" s="4">
        <v>26.45</v>
      </c>
      <c r="C62" s="4">
        <v>26.97</v>
      </c>
      <c r="D62" s="4">
        <v>26.99</v>
      </c>
      <c r="E62" s="4">
        <v>27.23</v>
      </c>
      <c r="F62" s="4">
        <v>28.16</v>
      </c>
      <c r="G62" s="4">
        <v>28.63</v>
      </c>
      <c r="H62" s="4">
        <v>28.75</v>
      </c>
      <c r="I62" s="4">
        <v>28.19</v>
      </c>
      <c r="J62" s="4">
        <v>28.45</v>
      </c>
      <c r="K62" s="4">
        <v>30.69</v>
      </c>
      <c r="L62" s="4">
        <v>31.64</v>
      </c>
      <c r="M62" s="4">
        <v>32.68</v>
      </c>
      <c r="N62" s="4">
        <f>SUM(B62:D62)</f>
        <v>80.41</v>
      </c>
      <c r="O62" s="4">
        <f>SUM(E62:G62)</f>
        <v>84.02</v>
      </c>
      <c r="P62" s="4">
        <f>SUM(H62:J62)</f>
        <v>85.39</v>
      </c>
      <c r="Q62" s="4">
        <f>SUM(K62:M62)</f>
        <v>95.009999999999991</v>
      </c>
      <c r="R62" s="4">
        <f>SUM(B62:M62)</f>
        <v>344.83</v>
      </c>
    </row>
    <row r="63" spans="1:18" x14ac:dyDescent="0.25">
      <c r="A63" s="21" t="s">
        <v>767</v>
      </c>
      <c r="B63" s="25">
        <f t="shared" ref="B63:M63" si="28">B61-B62</f>
        <v>1812.97</v>
      </c>
      <c r="C63" s="25">
        <f t="shared" si="28"/>
        <v>1845.1200000000001</v>
      </c>
      <c r="D63" s="25">
        <f t="shared" si="28"/>
        <v>1820.3799999999999</v>
      </c>
      <c r="E63" s="25">
        <f t="shared" si="28"/>
        <v>1907.76</v>
      </c>
      <c r="F63" s="25">
        <f t="shared" si="28"/>
        <v>1926.3899999999999</v>
      </c>
      <c r="G63" s="25">
        <f t="shared" si="28"/>
        <v>1942.9099999999999</v>
      </c>
      <c r="H63" s="25">
        <f t="shared" si="28"/>
        <v>2005.6</v>
      </c>
      <c r="I63" s="25">
        <f t="shared" si="28"/>
        <v>1929.6199999999997</v>
      </c>
      <c r="J63" s="25">
        <f t="shared" si="28"/>
        <v>1950.2600000000002</v>
      </c>
      <c r="K63" s="25">
        <f t="shared" si="28"/>
        <v>2117.1999999999998</v>
      </c>
      <c r="L63" s="25">
        <f t="shared" si="28"/>
        <v>2167.15</v>
      </c>
      <c r="M63" s="25">
        <f t="shared" si="28"/>
        <v>2259.9600000000005</v>
      </c>
      <c r="N63" s="25">
        <f>SUM(B63:D63)</f>
        <v>5478.47</v>
      </c>
      <c r="O63" s="25">
        <f>SUM(E63:G63)</f>
        <v>5777.0599999999995</v>
      </c>
      <c r="P63" s="25">
        <f>SUM(H63:J63)</f>
        <v>5885.48</v>
      </c>
      <c r="Q63" s="25">
        <f>SUM(K63:M63)</f>
        <v>6544.3100000000013</v>
      </c>
      <c r="R63" s="25">
        <f>SUM(B63:M63)</f>
        <v>23685.320000000003</v>
      </c>
    </row>
    <row r="64" spans="1:18" x14ac:dyDescent="0.25">
      <c r="A64" s="5" t="s">
        <v>768</v>
      </c>
      <c r="B64" s="14">
        <f t="shared" ref="B64:R64" si="29">IFERROR(B59/B44,0)</f>
        <v>0.86993820073768291</v>
      </c>
      <c r="C64" s="14">
        <f t="shared" si="29"/>
        <v>0.86821830665926192</v>
      </c>
      <c r="D64" s="14">
        <f t="shared" si="29"/>
        <v>0.86478185978612809</v>
      </c>
      <c r="E64" s="14">
        <f t="shared" si="29"/>
        <v>0.86434423486898082</v>
      </c>
      <c r="F64" s="14">
        <f t="shared" si="29"/>
        <v>0.86522751043561019</v>
      </c>
      <c r="G64" s="14">
        <f t="shared" si="29"/>
        <v>0.86710847903741306</v>
      </c>
      <c r="H64" s="14">
        <f t="shared" si="29"/>
        <v>0.86901245428029072</v>
      </c>
      <c r="I64" s="14">
        <f t="shared" si="29"/>
        <v>0.86638646011976717</v>
      </c>
      <c r="J64" s="14">
        <f t="shared" si="29"/>
        <v>0.86397879596819405</v>
      </c>
      <c r="K64" s="14">
        <f t="shared" si="29"/>
        <v>0.86417983425760692</v>
      </c>
      <c r="L64" s="14">
        <f t="shared" si="29"/>
        <v>0.86376340154409326</v>
      </c>
      <c r="M64" s="14">
        <f t="shared" si="29"/>
        <v>0.86472283085468638</v>
      </c>
      <c r="N64" s="14">
        <f t="shared" si="29"/>
        <v>0.86767188139842255</v>
      </c>
      <c r="O64" s="14">
        <f t="shared" si="29"/>
        <v>0.86556715335372569</v>
      </c>
      <c r="P64" s="14">
        <f t="shared" si="29"/>
        <v>0.86648070882752792</v>
      </c>
      <c r="Q64" s="14">
        <f t="shared" si="29"/>
        <v>0.86422374457852147</v>
      </c>
      <c r="R64" s="14">
        <f t="shared" si="29"/>
        <v>0.86590841504248017</v>
      </c>
    </row>
    <row r="65" spans="1:18" x14ac:dyDescent="0.25">
      <c r="A65" s="3" t="s">
        <v>769</v>
      </c>
      <c r="B65" s="16">
        <f t="shared" ref="B65:R65" si="30">IFERROR(B60/B46,0)</f>
        <v>0.58061325420375864</v>
      </c>
      <c r="C65" s="16">
        <f t="shared" si="30"/>
        <v>0.58684686766008232</v>
      </c>
      <c r="D65" s="16">
        <f t="shared" si="30"/>
        <v>0.58241190896183792</v>
      </c>
      <c r="E65" s="16">
        <f t="shared" si="30"/>
        <v>0.60778859527120999</v>
      </c>
      <c r="F65" s="16">
        <f t="shared" si="30"/>
        <v>0.56476609585764859</v>
      </c>
      <c r="G65" s="16">
        <f t="shared" si="30"/>
        <v>0.61593815335245783</v>
      </c>
      <c r="H65" s="16">
        <f t="shared" si="30"/>
        <v>0.60559532055722309</v>
      </c>
      <c r="I65" s="16">
        <f t="shared" si="30"/>
        <v>0.60462273585953996</v>
      </c>
      <c r="J65" s="16">
        <f t="shared" si="30"/>
        <v>0.57632803202423455</v>
      </c>
      <c r="K65" s="16">
        <f t="shared" si="30"/>
        <v>0.58933569008690534</v>
      </c>
      <c r="L65" s="16">
        <f t="shared" si="30"/>
        <v>0.58617451308643997</v>
      </c>
      <c r="M65" s="16">
        <f t="shared" si="30"/>
        <v>0.62042625149421271</v>
      </c>
      <c r="N65" s="16">
        <f t="shared" si="30"/>
        <v>0.58404692873036201</v>
      </c>
      <c r="O65" s="16">
        <f t="shared" si="30"/>
        <v>0.59604646685065144</v>
      </c>
      <c r="P65" s="16">
        <f t="shared" si="30"/>
        <v>0.5940345544043617</v>
      </c>
      <c r="Q65" s="16">
        <f t="shared" si="30"/>
        <v>0.60300132655317262</v>
      </c>
      <c r="R65" s="16">
        <f t="shared" si="30"/>
        <v>0.5947186795569922</v>
      </c>
    </row>
    <row r="66" spans="1:18" x14ac:dyDescent="0.25">
      <c r="A66" s="5" t="s">
        <v>770</v>
      </c>
      <c r="B66" s="14">
        <f t="shared" ref="B66:R66" si="31">IFERROR(B61/B47,0)</f>
        <v>0.69543815076106441</v>
      </c>
      <c r="C66" s="14">
        <f t="shared" si="31"/>
        <v>0.69401698628715058</v>
      </c>
      <c r="D66" s="14">
        <f t="shared" si="31"/>
        <v>0.68443925753028789</v>
      </c>
      <c r="E66" s="14">
        <f t="shared" si="31"/>
        <v>0.71060962174072717</v>
      </c>
      <c r="F66" s="14">
        <f t="shared" si="31"/>
        <v>0.69410707690559392</v>
      </c>
      <c r="G66" s="14">
        <f t="shared" si="31"/>
        <v>0.68873556793767787</v>
      </c>
      <c r="H66" s="14">
        <f t="shared" si="31"/>
        <v>0.70749418347864479</v>
      </c>
      <c r="I66" s="14">
        <f t="shared" si="31"/>
        <v>0.69442138940319365</v>
      </c>
      <c r="J66" s="14">
        <f t="shared" si="31"/>
        <v>0.6955704056272477</v>
      </c>
      <c r="K66" s="14">
        <f t="shared" si="31"/>
        <v>0.69992798323736527</v>
      </c>
      <c r="L66" s="14">
        <f t="shared" si="31"/>
        <v>0.69483234265237059</v>
      </c>
      <c r="M66" s="14">
        <f t="shared" si="31"/>
        <v>0.7016001934064322</v>
      </c>
      <c r="N66" s="14">
        <f t="shared" si="31"/>
        <v>0.69126971790264302</v>
      </c>
      <c r="O66" s="14">
        <f t="shared" si="31"/>
        <v>0.69762553457906762</v>
      </c>
      <c r="P66" s="14">
        <f t="shared" si="31"/>
        <v>0.69920604250834362</v>
      </c>
      <c r="Q66" s="14">
        <f t="shared" si="31"/>
        <v>0.69880590888279603</v>
      </c>
      <c r="R66" s="14">
        <f t="shared" si="31"/>
        <v>0.69685997377874087</v>
      </c>
    </row>
    <row r="67" spans="1:18" x14ac:dyDescent="0.25">
      <c r="A67" s="18"/>
      <c r="B67" s="18"/>
      <c r="C67" s="18"/>
      <c r="D67" s="18"/>
      <c r="E67" s="18"/>
      <c r="F67" s="18"/>
      <c r="G67" s="18"/>
      <c r="H67" s="18"/>
      <c r="I67" s="18"/>
      <c r="J67" s="18"/>
      <c r="K67" s="18"/>
      <c r="L67" s="18"/>
      <c r="M67" s="18"/>
      <c r="N67" s="18"/>
      <c r="O67" s="18"/>
      <c r="P67" s="18"/>
      <c r="Q67" s="18"/>
      <c r="R67" s="18"/>
    </row>
    <row r="68" spans="1:18" x14ac:dyDescent="0.25">
      <c r="A68" s="12" t="s">
        <v>9</v>
      </c>
      <c r="B68" s="12"/>
      <c r="C68" s="12"/>
      <c r="D68" s="12"/>
      <c r="E68" s="12"/>
      <c r="F68" s="12"/>
      <c r="G68" s="12"/>
      <c r="H68" s="12"/>
      <c r="I68" s="12"/>
      <c r="J68" s="12"/>
      <c r="K68" s="12"/>
      <c r="L68" s="12"/>
      <c r="M68" s="12"/>
      <c r="N68" s="12"/>
      <c r="O68" s="12"/>
      <c r="P68" s="12"/>
      <c r="Q68" s="12"/>
      <c r="R68" s="12"/>
    </row>
    <row r="69" spans="1:18" x14ac:dyDescent="0.25">
      <c r="A69" s="3" t="s">
        <v>771</v>
      </c>
      <c r="B69" s="4">
        <v>135.86000000000001</v>
      </c>
      <c r="C69" s="4">
        <v>131.21</v>
      </c>
      <c r="D69" s="4">
        <v>130.63999999999999</v>
      </c>
      <c r="E69" s="4">
        <v>131.69999999999999</v>
      </c>
      <c r="F69" s="4">
        <v>144.79</v>
      </c>
      <c r="G69" s="4">
        <v>144.22999999999999</v>
      </c>
      <c r="H69" s="4">
        <v>145.61000000000001</v>
      </c>
      <c r="I69" s="4">
        <v>134.51</v>
      </c>
      <c r="J69" s="4">
        <v>134.72</v>
      </c>
      <c r="K69" s="4">
        <v>149.38999999999999</v>
      </c>
      <c r="L69" s="4">
        <v>151.25</v>
      </c>
      <c r="M69" s="4">
        <v>162.74</v>
      </c>
      <c r="N69" s="4">
        <f>SUM(B69:D69)</f>
        <v>397.71000000000004</v>
      </c>
      <c r="O69" s="4">
        <f>SUM(E69:G69)</f>
        <v>420.72</v>
      </c>
      <c r="P69" s="4">
        <f>SUM(H69:J69)</f>
        <v>414.84000000000003</v>
      </c>
      <c r="Q69" s="4">
        <f>SUM(K69:M69)</f>
        <v>463.38</v>
      </c>
      <c r="R69" s="4">
        <f>SUM(B69:M69)</f>
        <v>1696.6500000000003</v>
      </c>
    </row>
    <row r="70" spans="1:18" x14ac:dyDescent="0.25">
      <c r="A70" s="5" t="s">
        <v>757</v>
      </c>
      <c r="B70" s="6">
        <v>96.95</v>
      </c>
      <c r="C70" s="6">
        <v>94.29</v>
      </c>
      <c r="D70" s="6">
        <v>93.94</v>
      </c>
      <c r="E70" s="6">
        <v>97.1</v>
      </c>
      <c r="F70" s="6">
        <v>95.52</v>
      </c>
      <c r="G70" s="6">
        <v>108.17</v>
      </c>
      <c r="H70" s="6">
        <v>99.67</v>
      </c>
      <c r="I70" s="6">
        <v>94.52</v>
      </c>
      <c r="J70" s="6">
        <v>99.9</v>
      </c>
      <c r="K70" s="6">
        <v>99.82</v>
      </c>
      <c r="L70" s="6">
        <v>110.43</v>
      </c>
      <c r="M70" s="6">
        <v>108.23</v>
      </c>
      <c r="N70" s="6">
        <f>SUM(B70:D70)</f>
        <v>285.18</v>
      </c>
      <c r="O70" s="6">
        <f>SUM(E70:G70)</f>
        <v>300.79000000000002</v>
      </c>
      <c r="P70" s="6">
        <f>SUM(H70:J70)</f>
        <v>294.09000000000003</v>
      </c>
      <c r="Q70" s="6">
        <f>SUM(K70:M70)</f>
        <v>318.48</v>
      </c>
      <c r="R70" s="6">
        <f>SUM(B70:M70)</f>
        <v>1198.54</v>
      </c>
    </row>
    <row r="71" spans="1:18" x14ac:dyDescent="0.25">
      <c r="A71" s="3" t="s">
        <v>772</v>
      </c>
      <c r="B71" s="4">
        <v>-38.909999999999997</v>
      </c>
      <c r="C71" s="4">
        <v>-36.92</v>
      </c>
      <c r="D71" s="4">
        <v>-36.700000000000003</v>
      </c>
      <c r="E71" s="4">
        <v>-34.6</v>
      </c>
      <c r="F71" s="4">
        <v>-49.27</v>
      </c>
      <c r="G71" s="4">
        <v>-36.06</v>
      </c>
      <c r="H71" s="4">
        <v>-45.94</v>
      </c>
      <c r="I71" s="4">
        <v>-39.99</v>
      </c>
      <c r="J71" s="4">
        <v>-34.82</v>
      </c>
      <c r="K71" s="4">
        <v>-49.57</v>
      </c>
      <c r="L71" s="4">
        <v>-40.82</v>
      </c>
      <c r="M71" s="4">
        <v>-54.51</v>
      </c>
      <c r="N71" s="4">
        <f>SUM(B71:D71)</f>
        <v>-112.53</v>
      </c>
      <c r="O71" s="4">
        <f>SUM(E71:G71)</f>
        <v>-119.93</v>
      </c>
      <c r="P71" s="4">
        <f>SUM(H71:J71)</f>
        <v>-120.75</v>
      </c>
      <c r="Q71" s="4">
        <f>SUM(K71:M71)</f>
        <v>-144.9</v>
      </c>
      <c r="R71" s="4">
        <f>SUM(B71:M71)</f>
        <v>-498.10999999999996</v>
      </c>
    </row>
    <row r="72" spans="1:18" x14ac:dyDescent="0.25">
      <c r="A72" s="5" t="s">
        <v>43</v>
      </c>
      <c r="B72" s="6">
        <v>48.35</v>
      </c>
      <c r="C72" s="6">
        <v>57.7</v>
      </c>
      <c r="D72" s="6">
        <v>52.99</v>
      </c>
      <c r="E72" s="6">
        <v>53.59</v>
      </c>
      <c r="F72" s="6">
        <v>57.62</v>
      </c>
      <c r="G72" s="6">
        <v>54.81</v>
      </c>
      <c r="H72" s="6">
        <v>57.11</v>
      </c>
      <c r="I72" s="6">
        <v>60.91</v>
      </c>
      <c r="J72" s="6">
        <v>57.07</v>
      </c>
      <c r="K72" s="6">
        <v>64.459999999999994</v>
      </c>
      <c r="L72" s="6">
        <v>57.27</v>
      </c>
      <c r="M72" s="6">
        <v>59.77</v>
      </c>
      <c r="N72" s="6">
        <f>SUM(B72:D72)</f>
        <v>159.04000000000002</v>
      </c>
      <c r="O72" s="6">
        <f>SUM(E72:G72)</f>
        <v>166.02</v>
      </c>
      <c r="P72" s="6">
        <f>SUM(H72:J72)</f>
        <v>175.09</v>
      </c>
      <c r="Q72" s="6">
        <f>SUM(K72:M72)</f>
        <v>181.5</v>
      </c>
      <c r="R72" s="6">
        <f>SUM(B72:M72)</f>
        <v>681.65</v>
      </c>
    </row>
    <row r="73" spans="1:18" x14ac:dyDescent="0.25">
      <c r="A73" s="18"/>
      <c r="B73" s="18"/>
      <c r="C73" s="18"/>
      <c r="D73" s="18"/>
      <c r="E73" s="18"/>
      <c r="F73" s="18"/>
      <c r="G73" s="18"/>
      <c r="H73" s="18"/>
      <c r="I73" s="18"/>
      <c r="J73" s="18"/>
      <c r="K73" s="18"/>
      <c r="L73" s="18"/>
      <c r="M73" s="18"/>
      <c r="N73" s="18"/>
      <c r="O73" s="18"/>
      <c r="P73" s="18"/>
      <c r="Q73" s="18"/>
      <c r="R73" s="18"/>
    </row>
    <row r="74" spans="1:18" x14ac:dyDescent="0.25">
      <c r="A74" s="21" t="s">
        <v>745</v>
      </c>
      <c r="B74" s="25">
        <f t="shared" ref="B74:M74" si="32">B61-B69-B72</f>
        <v>1655.21</v>
      </c>
      <c r="C74" s="25">
        <f t="shared" si="32"/>
        <v>1683.18</v>
      </c>
      <c r="D74" s="25">
        <f t="shared" si="32"/>
        <v>1663.74</v>
      </c>
      <c r="E74" s="25">
        <f t="shared" si="32"/>
        <v>1749.7</v>
      </c>
      <c r="F74" s="25">
        <f t="shared" si="32"/>
        <v>1752.14</v>
      </c>
      <c r="G74" s="25">
        <f t="shared" si="32"/>
        <v>1772.5</v>
      </c>
      <c r="H74" s="25">
        <f t="shared" si="32"/>
        <v>1831.6299999999999</v>
      </c>
      <c r="I74" s="25">
        <f t="shared" si="32"/>
        <v>1762.3899999999996</v>
      </c>
      <c r="J74" s="25">
        <f t="shared" si="32"/>
        <v>1786.9200000000003</v>
      </c>
      <c r="K74" s="25">
        <f t="shared" si="32"/>
        <v>1934.04</v>
      </c>
      <c r="L74" s="25">
        <f t="shared" si="32"/>
        <v>1990.27</v>
      </c>
      <c r="M74" s="25">
        <f t="shared" si="32"/>
        <v>2070.1300000000006</v>
      </c>
      <c r="N74" s="25">
        <f>SUM(B74:D74)</f>
        <v>5002.13</v>
      </c>
      <c r="O74" s="25">
        <f>SUM(E74:G74)</f>
        <v>5274.34</v>
      </c>
      <c r="P74" s="25">
        <f>SUM(H74:J74)</f>
        <v>5380.94</v>
      </c>
      <c r="Q74" s="25">
        <f>SUM(K74:M74)</f>
        <v>5994.4400000000005</v>
      </c>
      <c r="R74" s="25">
        <f>SUM(B74:M74)</f>
        <v>21651.85</v>
      </c>
    </row>
    <row r="75" spans="1:18" x14ac:dyDescent="0.25">
      <c r="A75" s="3" t="s">
        <v>746</v>
      </c>
      <c r="B75" s="16">
        <f t="shared" ref="B75:R75" si="33">IFERROR(B74/B47,0)</f>
        <v>0.62579301166738499</v>
      </c>
      <c r="C75" s="16">
        <f t="shared" si="33"/>
        <v>0.6239846967714191</v>
      </c>
      <c r="D75" s="16">
        <f t="shared" si="33"/>
        <v>0.61640546848949651</v>
      </c>
      <c r="E75" s="16">
        <f t="shared" si="33"/>
        <v>0.64256334924715386</v>
      </c>
      <c r="F75" s="16">
        <f t="shared" si="33"/>
        <v>0.62222648370692346</v>
      </c>
      <c r="G75" s="16">
        <f t="shared" si="33"/>
        <v>0.61920315802344061</v>
      </c>
      <c r="H75" s="16">
        <f t="shared" si="33"/>
        <v>0.63699342359229738</v>
      </c>
      <c r="I75" s="16">
        <f t="shared" si="33"/>
        <v>0.62510729461505166</v>
      </c>
      <c r="J75" s="16">
        <f t="shared" si="33"/>
        <v>0.62815100202831209</v>
      </c>
      <c r="K75" s="16">
        <f t="shared" si="33"/>
        <v>0.6302411746879002</v>
      </c>
      <c r="L75" s="16">
        <f t="shared" si="33"/>
        <v>0.62893862834137571</v>
      </c>
      <c r="M75" s="16">
        <f t="shared" si="33"/>
        <v>0.6335070522962426</v>
      </c>
      <c r="N75" s="16">
        <f t="shared" si="33"/>
        <v>0.62203555284739875</v>
      </c>
      <c r="O75" s="16">
        <f t="shared" si="33"/>
        <v>0.62778775619028571</v>
      </c>
      <c r="P75" s="16">
        <f t="shared" si="33"/>
        <v>0.63012354353299371</v>
      </c>
      <c r="Q75" s="16">
        <f t="shared" si="33"/>
        <v>0.63093059115141126</v>
      </c>
      <c r="R75" s="16">
        <f t="shared" si="33"/>
        <v>0.6278906966149288</v>
      </c>
    </row>
    <row r="76" spans="1:18" x14ac:dyDescent="0.25">
      <c r="A76" s="5"/>
      <c r="B76" s="15"/>
      <c r="C76" s="15"/>
      <c r="D76" s="15"/>
      <c r="E76" s="15"/>
      <c r="F76" s="15"/>
      <c r="G76" s="15"/>
      <c r="H76" s="15"/>
      <c r="I76" s="15"/>
      <c r="J76" s="15"/>
      <c r="K76" s="15"/>
      <c r="L76" s="15"/>
      <c r="M76" s="15"/>
      <c r="N76" s="15"/>
      <c r="O76" s="15"/>
      <c r="P76" s="15"/>
      <c r="Q76" s="15"/>
      <c r="R76" s="15"/>
    </row>
    <row r="77" spans="1:18" x14ac:dyDescent="0.25">
      <c r="A77" s="18"/>
      <c r="B77" s="18"/>
      <c r="C77" s="18"/>
      <c r="D77" s="18"/>
      <c r="E77" s="18"/>
      <c r="F77" s="18"/>
      <c r="G77" s="18"/>
      <c r="H77" s="18"/>
      <c r="I77" s="18"/>
      <c r="J77" s="18"/>
      <c r="K77" s="18"/>
      <c r="L77" s="18"/>
      <c r="M77" s="18"/>
      <c r="N77" s="18"/>
      <c r="O77" s="18"/>
      <c r="P77" s="18"/>
      <c r="Q77" s="18"/>
      <c r="R77" s="18"/>
    </row>
    <row r="78" spans="1:18" ht="15.6" customHeight="1" x14ac:dyDescent="0.25">
      <c r="A78" s="12" t="s">
        <v>16</v>
      </c>
      <c r="B78" s="12"/>
      <c r="C78" s="12"/>
      <c r="D78" s="12"/>
      <c r="E78" s="12"/>
      <c r="F78" s="12"/>
      <c r="G78" s="12"/>
      <c r="H78" s="12"/>
      <c r="I78" s="12"/>
      <c r="J78" s="12"/>
      <c r="K78" s="12"/>
      <c r="L78" s="12"/>
      <c r="M78" s="12"/>
      <c r="N78" s="12"/>
      <c r="O78" s="12"/>
      <c r="P78" s="12"/>
      <c r="Q78" s="12"/>
      <c r="R78" s="12"/>
    </row>
    <row r="79" spans="1:18" x14ac:dyDescent="0.25">
      <c r="A79" s="12" t="s">
        <v>602</v>
      </c>
      <c r="B79" s="12"/>
      <c r="C79" s="12"/>
      <c r="D79" s="12"/>
      <c r="E79" s="12"/>
      <c r="F79" s="12"/>
      <c r="G79" s="12"/>
      <c r="H79" s="12"/>
      <c r="I79" s="12"/>
      <c r="J79" s="12"/>
      <c r="K79" s="12"/>
      <c r="L79" s="12"/>
      <c r="M79" s="12"/>
      <c r="N79" s="12"/>
      <c r="O79" s="12"/>
      <c r="P79" s="12"/>
      <c r="Q79" s="12"/>
      <c r="R79" s="12"/>
    </row>
    <row r="80" spans="1:18" x14ac:dyDescent="0.25">
      <c r="A80" s="3" t="s">
        <v>619</v>
      </c>
      <c r="B80" s="4">
        <v>642.02</v>
      </c>
      <c r="C80" s="4">
        <v>646.87</v>
      </c>
      <c r="D80" s="4">
        <v>636.13</v>
      </c>
      <c r="E80" s="4">
        <v>670.09</v>
      </c>
      <c r="F80" s="4">
        <v>705.94</v>
      </c>
      <c r="G80" s="4">
        <v>693.17</v>
      </c>
      <c r="H80" s="4">
        <v>667.61</v>
      </c>
      <c r="I80" s="4">
        <v>720.21</v>
      </c>
      <c r="J80" s="4">
        <v>733.31</v>
      </c>
      <c r="K80" s="4">
        <v>799.16</v>
      </c>
      <c r="L80" s="4">
        <v>773.02</v>
      </c>
      <c r="M80" s="4">
        <v>788.21</v>
      </c>
      <c r="N80" s="4">
        <f>SUM(B80:D80)</f>
        <v>1925.02</v>
      </c>
      <c r="O80" s="4">
        <f>SUM(E80:G80)</f>
        <v>2069.2000000000003</v>
      </c>
      <c r="P80" s="4">
        <f>SUM(H80:J80)</f>
        <v>2121.13</v>
      </c>
      <c r="Q80" s="4">
        <f>SUM(K80:M80)</f>
        <v>2360.39</v>
      </c>
      <c r="R80" s="4">
        <f>SUM(B80:M80)</f>
        <v>8475.7400000000016</v>
      </c>
    </row>
    <row r="81" spans="1:18" x14ac:dyDescent="0.25">
      <c r="A81" s="5" t="s">
        <v>760</v>
      </c>
      <c r="B81" s="6">
        <v>149.16</v>
      </c>
      <c r="C81" s="6">
        <v>138.54</v>
      </c>
      <c r="D81" s="6">
        <v>151.97</v>
      </c>
      <c r="E81" s="6">
        <v>168.3</v>
      </c>
      <c r="F81" s="6">
        <v>139.58000000000001</v>
      </c>
      <c r="G81" s="6">
        <v>165.15</v>
      </c>
      <c r="H81" s="6">
        <v>139.97</v>
      </c>
      <c r="I81" s="6">
        <v>160.26</v>
      </c>
      <c r="J81" s="6">
        <v>176.49</v>
      </c>
      <c r="K81" s="6">
        <v>163.5</v>
      </c>
      <c r="L81" s="6">
        <v>175.93</v>
      </c>
      <c r="M81" s="6">
        <v>177</v>
      </c>
      <c r="N81" s="6">
        <f>SUM(B81:D81)</f>
        <v>439.66999999999996</v>
      </c>
      <c r="O81" s="6">
        <f>SUM(E81:G81)</f>
        <v>473.03</v>
      </c>
      <c r="P81" s="6">
        <f>SUM(H81:J81)</f>
        <v>476.72</v>
      </c>
      <c r="Q81" s="6">
        <f>SUM(K81:M81)</f>
        <v>516.43000000000006</v>
      </c>
      <c r="R81" s="6">
        <f>SUM(B81:M81)</f>
        <v>1905.8500000000001</v>
      </c>
    </row>
    <row r="82" spans="1:18" x14ac:dyDescent="0.25">
      <c r="A82" s="3" t="s">
        <v>625</v>
      </c>
      <c r="B82" s="4">
        <v>68.39</v>
      </c>
      <c r="C82" s="4">
        <v>86.96</v>
      </c>
      <c r="D82" s="4">
        <v>79.09</v>
      </c>
      <c r="E82" s="4">
        <v>65.37</v>
      </c>
      <c r="F82" s="4">
        <v>67.75</v>
      </c>
      <c r="G82" s="4">
        <v>76</v>
      </c>
      <c r="H82" s="4">
        <v>93.73</v>
      </c>
      <c r="I82" s="4">
        <v>46.71</v>
      </c>
      <c r="J82" s="4">
        <v>63.23</v>
      </c>
      <c r="K82" s="4">
        <v>74.7</v>
      </c>
      <c r="L82" s="4">
        <v>103</v>
      </c>
      <c r="M82" s="4">
        <v>84.09</v>
      </c>
      <c r="N82" s="4">
        <f>SUM(B82:D82)</f>
        <v>234.44</v>
      </c>
      <c r="O82" s="4">
        <f>SUM(E82:G82)</f>
        <v>209.12</v>
      </c>
      <c r="P82" s="4">
        <f>SUM(H82:J82)</f>
        <v>203.67</v>
      </c>
      <c r="Q82" s="4">
        <f>SUM(K82:M82)</f>
        <v>261.78999999999996</v>
      </c>
      <c r="R82" s="4">
        <f>SUM(B82:M82)</f>
        <v>909.0200000000001</v>
      </c>
    </row>
    <row r="83" spans="1:18" x14ac:dyDescent="0.25">
      <c r="A83" s="21" t="s">
        <v>602</v>
      </c>
      <c r="B83" s="25">
        <f t="shared" ref="B83:M83" si="34">B80+B81+B82</f>
        <v>859.56999999999994</v>
      </c>
      <c r="C83" s="25">
        <f t="shared" si="34"/>
        <v>872.37</v>
      </c>
      <c r="D83" s="25">
        <f t="shared" si="34"/>
        <v>867.19</v>
      </c>
      <c r="E83" s="25">
        <f t="shared" si="34"/>
        <v>903.7600000000001</v>
      </c>
      <c r="F83" s="25">
        <f t="shared" si="34"/>
        <v>913.2700000000001</v>
      </c>
      <c r="G83" s="25">
        <f t="shared" si="34"/>
        <v>934.31999999999994</v>
      </c>
      <c r="H83" s="25">
        <f t="shared" si="34"/>
        <v>901.31000000000006</v>
      </c>
      <c r="I83" s="25">
        <f t="shared" si="34"/>
        <v>927.18000000000006</v>
      </c>
      <c r="J83" s="25">
        <f t="shared" si="34"/>
        <v>973.03</v>
      </c>
      <c r="K83" s="25">
        <f t="shared" si="34"/>
        <v>1037.3599999999999</v>
      </c>
      <c r="L83" s="25">
        <f t="shared" si="34"/>
        <v>1051.95</v>
      </c>
      <c r="M83" s="25">
        <f t="shared" si="34"/>
        <v>1049.3</v>
      </c>
      <c r="N83" s="25">
        <f>SUM(B83:D83)</f>
        <v>2599.13</v>
      </c>
      <c r="O83" s="25">
        <f>SUM(E83:G83)</f>
        <v>2751.3500000000004</v>
      </c>
      <c r="P83" s="25">
        <f>SUM(H83:J83)</f>
        <v>2801.5200000000004</v>
      </c>
      <c r="Q83" s="25">
        <f>SUM(K83:M83)</f>
        <v>3138.6099999999997</v>
      </c>
      <c r="R83" s="25">
        <f>SUM(B83:M83)</f>
        <v>11290.61</v>
      </c>
    </row>
    <row r="84" spans="1:18" x14ac:dyDescent="0.25">
      <c r="A84" s="18"/>
      <c r="B84" s="18"/>
      <c r="C84" s="18"/>
      <c r="D84" s="18"/>
      <c r="E84" s="18"/>
      <c r="F84" s="18"/>
      <c r="G84" s="18"/>
      <c r="H84" s="18"/>
      <c r="I84" s="18"/>
      <c r="J84" s="18"/>
      <c r="K84" s="18"/>
      <c r="L84" s="18"/>
      <c r="M84" s="18"/>
      <c r="N84" s="18"/>
      <c r="O84" s="18"/>
      <c r="P84" s="18"/>
      <c r="Q84" s="18"/>
      <c r="R84" s="18"/>
    </row>
    <row r="85" spans="1:18" x14ac:dyDescent="0.25">
      <c r="A85" s="12" t="s">
        <v>742</v>
      </c>
      <c r="B85" s="12"/>
      <c r="C85" s="12"/>
      <c r="D85" s="12"/>
      <c r="E85" s="12"/>
      <c r="F85" s="12"/>
      <c r="G85" s="12"/>
      <c r="H85" s="12"/>
      <c r="I85" s="12"/>
      <c r="J85" s="12"/>
      <c r="K85" s="12"/>
      <c r="L85" s="12"/>
      <c r="M85" s="12"/>
      <c r="N85" s="12"/>
      <c r="O85" s="12"/>
      <c r="P85" s="12"/>
      <c r="Q85" s="12"/>
      <c r="R85" s="12"/>
    </row>
    <row r="86" spans="1:18" x14ac:dyDescent="0.25">
      <c r="A86" s="5" t="s">
        <v>21</v>
      </c>
      <c r="B86" s="6">
        <v>140.04</v>
      </c>
      <c r="C86" s="6">
        <v>144.16</v>
      </c>
      <c r="D86" s="6">
        <v>135.66999999999999</v>
      </c>
      <c r="E86" s="6">
        <v>150.31</v>
      </c>
      <c r="F86" s="6">
        <v>155.22</v>
      </c>
      <c r="G86" s="6">
        <v>148.59</v>
      </c>
      <c r="H86" s="6">
        <v>149.16999999999999</v>
      </c>
      <c r="I86" s="6">
        <v>150.61000000000001</v>
      </c>
      <c r="J86" s="6">
        <v>165.38</v>
      </c>
      <c r="K86" s="6">
        <v>180.56</v>
      </c>
      <c r="L86" s="6">
        <v>163.37</v>
      </c>
      <c r="M86" s="6">
        <v>172.11</v>
      </c>
      <c r="N86" s="6">
        <f t="shared" ref="N86:N93" si="35">SUM(B86:D86)</f>
        <v>419.87</v>
      </c>
      <c r="O86" s="6">
        <f t="shared" ref="O86:O93" si="36">SUM(E86:G86)</f>
        <v>454.12</v>
      </c>
      <c r="P86" s="6">
        <f t="shared" ref="P86:P93" si="37">SUM(H86:J86)</f>
        <v>465.15999999999997</v>
      </c>
      <c r="Q86" s="6">
        <f t="shared" ref="Q86:Q93" si="38">SUM(K86:M86)</f>
        <v>516.04</v>
      </c>
      <c r="R86" s="6">
        <f t="shared" ref="R86:R93" si="39">SUM(B86:M86)</f>
        <v>1855.19</v>
      </c>
    </row>
    <row r="87" spans="1:18" x14ac:dyDescent="0.25">
      <c r="A87" s="3" t="s">
        <v>56</v>
      </c>
      <c r="B87" s="4">
        <v>31.06</v>
      </c>
      <c r="C87" s="4">
        <v>33.82</v>
      </c>
      <c r="D87" s="4">
        <v>31.86</v>
      </c>
      <c r="E87" s="4">
        <v>32</v>
      </c>
      <c r="F87" s="4">
        <v>34.409999999999997</v>
      </c>
      <c r="G87" s="4">
        <v>35.869999999999997</v>
      </c>
      <c r="H87" s="4">
        <v>33.24</v>
      </c>
      <c r="I87" s="4">
        <v>37.1</v>
      </c>
      <c r="J87" s="4">
        <v>37.28</v>
      </c>
      <c r="K87" s="4">
        <v>41.91</v>
      </c>
      <c r="L87" s="4">
        <v>39.020000000000003</v>
      </c>
      <c r="M87" s="4">
        <v>41.18</v>
      </c>
      <c r="N87" s="4">
        <f t="shared" si="35"/>
        <v>96.74</v>
      </c>
      <c r="O87" s="4">
        <f t="shared" si="36"/>
        <v>102.28</v>
      </c>
      <c r="P87" s="4">
        <f t="shared" si="37"/>
        <v>107.62</v>
      </c>
      <c r="Q87" s="4">
        <f t="shared" si="38"/>
        <v>122.11000000000001</v>
      </c>
      <c r="R87" s="4">
        <f t="shared" si="39"/>
        <v>428.74999999999994</v>
      </c>
    </row>
    <row r="88" spans="1:18" x14ac:dyDescent="0.25">
      <c r="A88" s="5" t="s">
        <v>54</v>
      </c>
      <c r="B88" s="6">
        <v>53.37</v>
      </c>
      <c r="C88" s="6">
        <v>52.33</v>
      </c>
      <c r="D88" s="6">
        <v>52.01</v>
      </c>
      <c r="E88" s="6">
        <v>53.63</v>
      </c>
      <c r="F88" s="6">
        <v>58.34</v>
      </c>
      <c r="G88" s="6">
        <v>55.72</v>
      </c>
      <c r="H88" s="6">
        <v>55.53</v>
      </c>
      <c r="I88" s="6">
        <v>59.02</v>
      </c>
      <c r="J88" s="6">
        <v>58.52</v>
      </c>
      <c r="K88" s="6">
        <v>62.39</v>
      </c>
      <c r="L88" s="6">
        <v>60.28</v>
      </c>
      <c r="M88" s="6">
        <v>63.92</v>
      </c>
      <c r="N88" s="6">
        <f t="shared" si="35"/>
        <v>157.70999999999998</v>
      </c>
      <c r="O88" s="6">
        <f t="shared" si="36"/>
        <v>167.69</v>
      </c>
      <c r="P88" s="6">
        <f t="shared" si="37"/>
        <v>173.07000000000002</v>
      </c>
      <c r="Q88" s="6">
        <f t="shared" si="38"/>
        <v>186.59</v>
      </c>
      <c r="R88" s="6">
        <f t="shared" si="39"/>
        <v>685.05999999999983</v>
      </c>
    </row>
    <row r="89" spans="1:18" x14ac:dyDescent="0.25">
      <c r="A89" s="3" t="s">
        <v>15</v>
      </c>
      <c r="B89" s="4">
        <v>39.549999999999997</v>
      </c>
      <c r="C89" s="4">
        <v>38.89</v>
      </c>
      <c r="D89" s="4">
        <v>38.65</v>
      </c>
      <c r="E89" s="4">
        <v>39.299999999999997</v>
      </c>
      <c r="F89" s="4">
        <v>40.57</v>
      </c>
      <c r="G89" s="4">
        <v>40.700000000000003</v>
      </c>
      <c r="H89" s="4">
        <v>39.14</v>
      </c>
      <c r="I89" s="4">
        <v>42.43</v>
      </c>
      <c r="J89" s="4">
        <v>44.18</v>
      </c>
      <c r="K89" s="4">
        <v>46.22</v>
      </c>
      <c r="L89" s="4">
        <v>45.13</v>
      </c>
      <c r="M89" s="4">
        <v>48.21</v>
      </c>
      <c r="N89" s="4">
        <f t="shared" si="35"/>
        <v>117.09</v>
      </c>
      <c r="O89" s="4">
        <f t="shared" si="36"/>
        <v>120.57000000000001</v>
      </c>
      <c r="P89" s="4">
        <f t="shared" si="37"/>
        <v>125.75</v>
      </c>
      <c r="Q89" s="4">
        <f t="shared" si="38"/>
        <v>139.56</v>
      </c>
      <c r="R89" s="4">
        <f t="shared" si="39"/>
        <v>502.96999999999997</v>
      </c>
    </row>
    <row r="90" spans="1:18" x14ac:dyDescent="0.25">
      <c r="A90" s="5" t="s">
        <v>40</v>
      </c>
      <c r="B90" s="6">
        <v>6.55</v>
      </c>
      <c r="C90" s="6">
        <v>6.19</v>
      </c>
      <c r="D90" s="6">
        <v>6.3</v>
      </c>
      <c r="E90" s="6">
        <v>6.73</v>
      </c>
      <c r="F90" s="6">
        <v>7</v>
      </c>
      <c r="G90" s="6">
        <v>6.73</v>
      </c>
      <c r="H90" s="6">
        <v>6.62</v>
      </c>
      <c r="I90" s="6">
        <v>7.49</v>
      </c>
      <c r="J90" s="6">
        <v>7.39</v>
      </c>
      <c r="K90" s="6">
        <v>8.15</v>
      </c>
      <c r="L90" s="6">
        <v>8.01</v>
      </c>
      <c r="M90" s="6">
        <v>8.09</v>
      </c>
      <c r="N90" s="6">
        <f t="shared" si="35"/>
        <v>19.04</v>
      </c>
      <c r="O90" s="6">
        <f t="shared" si="36"/>
        <v>20.46</v>
      </c>
      <c r="P90" s="6">
        <f t="shared" si="37"/>
        <v>21.5</v>
      </c>
      <c r="Q90" s="6">
        <f t="shared" si="38"/>
        <v>24.25</v>
      </c>
      <c r="R90" s="6">
        <f t="shared" si="39"/>
        <v>85.250000000000014</v>
      </c>
    </row>
    <row r="91" spans="1:18" x14ac:dyDescent="0.25">
      <c r="A91" s="21" t="s">
        <v>761</v>
      </c>
      <c r="B91" s="25">
        <f t="shared" ref="B91:M91" si="40">SUM(B86:B90)</f>
        <v>270.57</v>
      </c>
      <c r="C91" s="25">
        <f t="shared" si="40"/>
        <v>275.39</v>
      </c>
      <c r="D91" s="25">
        <f t="shared" si="40"/>
        <v>264.48999999999995</v>
      </c>
      <c r="E91" s="25">
        <f t="shared" si="40"/>
        <v>281.97000000000003</v>
      </c>
      <c r="F91" s="25">
        <f t="shared" si="40"/>
        <v>295.54000000000002</v>
      </c>
      <c r="G91" s="25">
        <f t="shared" si="40"/>
        <v>287.61</v>
      </c>
      <c r="H91" s="25">
        <f t="shared" si="40"/>
        <v>283.7</v>
      </c>
      <c r="I91" s="25">
        <f t="shared" si="40"/>
        <v>296.65000000000003</v>
      </c>
      <c r="J91" s="25">
        <f t="shared" si="40"/>
        <v>312.75</v>
      </c>
      <c r="K91" s="25">
        <f t="shared" si="40"/>
        <v>339.23</v>
      </c>
      <c r="L91" s="25">
        <f t="shared" si="40"/>
        <v>315.81</v>
      </c>
      <c r="M91" s="25">
        <f t="shared" si="40"/>
        <v>333.51</v>
      </c>
      <c r="N91" s="25">
        <f t="shared" si="35"/>
        <v>810.45</v>
      </c>
      <c r="O91" s="25">
        <f t="shared" si="36"/>
        <v>865.12</v>
      </c>
      <c r="P91" s="25">
        <f t="shared" si="37"/>
        <v>893.1</v>
      </c>
      <c r="Q91" s="25">
        <f t="shared" si="38"/>
        <v>988.55</v>
      </c>
      <c r="R91" s="25">
        <f t="shared" si="39"/>
        <v>3557.2200000000003</v>
      </c>
    </row>
    <row r="92" spans="1:18" x14ac:dyDescent="0.25">
      <c r="A92" s="3" t="s">
        <v>762</v>
      </c>
      <c r="B92" s="4">
        <v>43.39</v>
      </c>
      <c r="C92" s="4">
        <v>60.52</v>
      </c>
      <c r="D92" s="4">
        <v>51.88</v>
      </c>
      <c r="E92" s="4">
        <v>41.95</v>
      </c>
      <c r="F92" s="4">
        <v>43.19</v>
      </c>
      <c r="G92" s="4">
        <v>50.61</v>
      </c>
      <c r="H92" s="4">
        <v>55.16</v>
      </c>
      <c r="I92" s="4">
        <v>27.63</v>
      </c>
      <c r="J92" s="4">
        <v>43.25</v>
      </c>
      <c r="K92" s="4">
        <v>46.15</v>
      </c>
      <c r="L92" s="4">
        <v>73.64</v>
      </c>
      <c r="M92" s="4">
        <v>56.32</v>
      </c>
      <c r="N92" s="4">
        <f t="shared" si="35"/>
        <v>155.79</v>
      </c>
      <c r="O92" s="4">
        <f t="shared" si="36"/>
        <v>135.75</v>
      </c>
      <c r="P92" s="4">
        <f t="shared" si="37"/>
        <v>126.03999999999999</v>
      </c>
      <c r="Q92" s="4">
        <f t="shared" si="38"/>
        <v>176.10999999999999</v>
      </c>
      <c r="R92" s="4">
        <f t="shared" si="39"/>
        <v>593.69000000000005</v>
      </c>
    </row>
    <row r="93" spans="1:18" x14ac:dyDescent="0.25">
      <c r="A93" s="21" t="s">
        <v>742</v>
      </c>
      <c r="B93" s="25">
        <f t="shared" ref="B93:M93" si="41">B91+B92</f>
        <v>313.95999999999998</v>
      </c>
      <c r="C93" s="25">
        <f t="shared" si="41"/>
        <v>335.90999999999997</v>
      </c>
      <c r="D93" s="25">
        <f t="shared" si="41"/>
        <v>316.36999999999995</v>
      </c>
      <c r="E93" s="25">
        <f t="shared" si="41"/>
        <v>323.92</v>
      </c>
      <c r="F93" s="25">
        <f t="shared" si="41"/>
        <v>338.73</v>
      </c>
      <c r="G93" s="25">
        <f t="shared" si="41"/>
        <v>338.22</v>
      </c>
      <c r="H93" s="25">
        <f t="shared" si="41"/>
        <v>338.86</v>
      </c>
      <c r="I93" s="25">
        <f t="shared" si="41"/>
        <v>324.28000000000003</v>
      </c>
      <c r="J93" s="25">
        <f t="shared" si="41"/>
        <v>356</v>
      </c>
      <c r="K93" s="25">
        <f t="shared" si="41"/>
        <v>385.38</v>
      </c>
      <c r="L93" s="25">
        <f t="shared" si="41"/>
        <v>389.45</v>
      </c>
      <c r="M93" s="25">
        <f t="shared" si="41"/>
        <v>389.83</v>
      </c>
      <c r="N93" s="25">
        <f t="shared" si="35"/>
        <v>966.23999999999978</v>
      </c>
      <c r="O93" s="25">
        <f t="shared" si="36"/>
        <v>1000.8700000000001</v>
      </c>
      <c r="P93" s="25">
        <f t="shared" si="37"/>
        <v>1019.1400000000001</v>
      </c>
      <c r="Q93" s="25">
        <f t="shared" si="38"/>
        <v>1164.6599999999999</v>
      </c>
      <c r="R93" s="25">
        <f t="shared" si="39"/>
        <v>4150.91</v>
      </c>
    </row>
    <row r="94" spans="1:18" x14ac:dyDescent="0.25">
      <c r="A94" s="18"/>
      <c r="B94" s="18"/>
      <c r="C94" s="18"/>
      <c r="D94" s="18"/>
      <c r="E94" s="18"/>
      <c r="F94" s="18"/>
      <c r="G94" s="18"/>
      <c r="H94" s="18"/>
      <c r="I94" s="18"/>
      <c r="J94" s="18"/>
      <c r="K94" s="18"/>
      <c r="L94" s="18"/>
      <c r="M94" s="18"/>
      <c r="N94" s="18"/>
      <c r="O94" s="18"/>
      <c r="P94" s="18"/>
      <c r="Q94" s="18"/>
      <c r="R94" s="18"/>
    </row>
    <row r="95" spans="1:18" x14ac:dyDescent="0.25">
      <c r="A95" s="5" t="s">
        <v>763</v>
      </c>
      <c r="B95" s="6">
        <f t="shared" ref="B95:M95" si="42">B80-B91</f>
        <v>371.45</v>
      </c>
      <c r="C95" s="6">
        <f t="shared" si="42"/>
        <v>371.48</v>
      </c>
      <c r="D95" s="6">
        <f t="shared" si="42"/>
        <v>371.64000000000004</v>
      </c>
      <c r="E95" s="6">
        <f t="shared" si="42"/>
        <v>388.12</v>
      </c>
      <c r="F95" s="6">
        <f t="shared" si="42"/>
        <v>410.40000000000003</v>
      </c>
      <c r="G95" s="6">
        <f t="shared" si="42"/>
        <v>405.55999999999995</v>
      </c>
      <c r="H95" s="6">
        <f t="shared" si="42"/>
        <v>383.91</v>
      </c>
      <c r="I95" s="6">
        <f t="shared" si="42"/>
        <v>423.56</v>
      </c>
      <c r="J95" s="6">
        <f t="shared" si="42"/>
        <v>420.55999999999995</v>
      </c>
      <c r="K95" s="6">
        <f t="shared" si="42"/>
        <v>459.92999999999995</v>
      </c>
      <c r="L95" s="6">
        <f t="shared" si="42"/>
        <v>457.21</v>
      </c>
      <c r="M95" s="6">
        <f t="shared" si="42"/>
        <v>454.70000000000005</v>
      </c>
      <c r="N95" s="6">
        <f>SUM(B95:D95)</f>
        <v>1114.5700000000002</v>
      </c>
      <c r="O95" s="6">
        <f>SUM(E95:G95)</f>
        <v>1204.08</v>
      </c>
      <c r="P95" s="6">
        <f>SUM(H95:J95)</f>
        <v>1228.03</v>
      </c>
      <c r="Q95" s="6">
        <f>SUM(K95:M95)</f>
        <v>1371.84</v>
      </c>
      <c r="R95" s="6">
        <f>SUM(B95:M95)</f>
        <v>4918.5199999999995</v>
      </c>
    </row>
    <row r="96" spans="1:18" x14ac:dyDescent="0.25">
      <c r="A96" s="3" t="s">
        <v>764</v>
      </c>
      <c r="B96" s="4">
        <f t="shared" ref="B96:M96" si="43">B82-B92</f>
        <v>25</v>
      </c>
      <c r="C96" s="4">
        <f t="shared" si="43"/>
        <v>26.439999999999991</v>
      </c>
      <c r="D96" s="4">
        <f t="shared" si="43"/>
        <v>27.21</v>
      </c>
      <c r="E96" s="4">
        <f t="shared" si="43"/>
        <v>23.42</v>
      </c>
      <c r="F96" s="4">
        <f t="shared" si="43"/>
        <v>24.560000000000002</v>
      </c>
      <c r="G96" s="4">
        <f t="shared" si="43"/>
        <v>25.39</v>
      </c>
      <c r="H96" s="4">
        <f t="shared" si="43"/>
        <v>38.570000000000007</v>
      </c>
      <c r="I96" s="4">
        <f t="shared" si="43"/>
        <v>19.080000000000002</v>
      </c>
      <c r="J96" s="4">
        <f t="shared" si="43"/>
        <v>19.979999999999997</v>
      </c>
      <c r="K96" s="4">
        <f t="shared" si="43"/>
        <v>28.550000000000004</v>
      </c>
      <c r="L96" s="4">
        <f t="shared" si="43"/>
        <v>29.36</v>
      </c>
      <c r="M96" s="4">
        <f t="shared" si="43"/>
        <v>27.770000000000003</v>
      </c>
      <c r="N96" s="4">
        <f>SUM(B96:D96)</f>
        <v>78.649999999999991</v>
      </c>
      <c r="O96" s="4">
        <f>SUM(E96:G96)</f>
        <v>73.37</v>
      </c>
      <c r="P96" s="4">
        <f>SUM(H96:J96)</f>
        <v>77.63</v>
      </c>
      <c r="Q96" s="4">
        <f>SUM(K96:M96)</f>
        <v>85.68</v>
      </c>
      <c r="R96" s="4">
        <f>SUM(B96:M96)</f>
        <v>315.33</v>
      </c>
    </row>
    <row r="97" spans="1:18" x14ac:dyDescent="0.25">
      <c r="A97" s="21" t="s">
        <v>765</v>
      </c>
      <c r="B97" s="25">
        <f t="shared" ref="B97:M97" si="44">B95+B96</f>
        <v>396.45</v>
      </c>
      <c r="C97" s="25">
        <f t="shared" si="44"/>
        <v>397.92</v>
      </c>
      <c r="D97" s="25">
        <f t="shared" si="44"/>
        <v>398.85</v>
      </c>
      <c r="E97" s="25">
        <f t="shared" si="44"/>
        <v>411.54</v>
      </c>
      <c r="F97" s="25">
        <f t="shared" si="44"/>
        <v>434.96000000000004</v>
      </c>
      <c r="G97" s="25">
        <f t="shared" si="44"/>
        <v>430.94999999999993</v>
      </c>
      <c r="H97" s="25">
        <f t="shared" si="44"/>
        <v>422.48</v>
      </c>
      <c r="I97" s="25">
        <f t="shared" si="44"/>
        <v>442.64</v>
      </c>
      <c r="J97" s="25">
        <f t="shared" si="44"/>
        <v>440.53999999999996</v>
      </c>
      <c r="K97" s="25">
        <f t="shared" si="44"/>
        <v>488.47999999999996</v>
      </c>
      <c r="L97" s="25">
        <f t="shared" si="44"/>
        <v>486.57</v>
      </c>
      <c r="M97" s="25">
        <f t="shared" si="44"/>
        <v>482.47</v>
      </c>
      <c r="N97" s="25">
        <f>SUM(B97:D97)</f>
        <v>1193.22</v>
      </c>
      <c r="O97" s="25">
        <f>SUM(E97:G97)</f>
        <v>1277.4499999999998</v>
      </c>
      <c r="P97" s="25">
        <f>SUM(H97:J97)</f>
        <v>1305.6599999999999</v>
      </c>
      <c r="Q97" s="25">
        <f>SUM(K97:M97)</f>
        <v>1457.52</v>
      </c>
      <c r="R97" s="25">
        <f>SUM(B97:M97)</f>
        <v>5233.8499999999995</v>
      </c>
    </row>
    <row r="98" spans="1:18" x14ac:dyDescent="0.25">
      <c r="A98" s="5" t="s">
        <v>766</v>
      </c>
      <c r="B98" s="6">
        <v>8.6</v>
      </c>
      <c r="C98" s="6">
        <v>8.7200000000000006</v>
      </c>
      <c r="D98" s="6">
        <v>8.67</v>
      </c>
      <c r="E98" s="6">
        <v>9.0399999999999991</v>
      </c>
      <c r="F98" s="6">
        <v>9.1300000000000008</v>
      </c>
      <c r="G98" s="6">
        <v>9.34</v>
      </c>
      <c r="H98" s="6">
        <v>9.01</v>
      </c>
      <c r="I98" s="6">
        <v>9.27</v>
      </c>
      <c r="J98" s="6">
        <v>9.73</v>
      </c>
      <c r="K98" s="6">
        <v>10.37</v>
      </c>
      <c r="L98" s="6">
        <v>10.52</v>
      </c>
      <c r="M98" s="6">
        <v>10.49</v>
      </c>
      <c r="N98" s="6">
        <f>SUM(B98:D98)</f>
        <v>25.990000000000002</v>
      </c>
      <c r="O98" s="6">
        <f>SUM(E98:G98)</f>
        <v>27.51</v>
      </c>
      <c r="P98" s="6">
        <f>SUM(H98:J98)</f>
        <v>28.01</v>
      </c>
      <c r="Q98" s="6">
        <f>SUM(K98:M98)</f>
        <v>31.380000000000003</v>
      </c>
      <c r="R98" s="6">
        <f>SUM(B98:M98)</f>
        <v>112.89</v>
      </c>
    </row>
    <row r="99" spans="1:18" x14ac:dyDescent="0.25">
      <c r="A99" s="21" t="s">
        <v>767</v>
      </c>
      <c r="B99" s="25">
        <f t="shared" ref="B99:M99" si="45">B97-B98</f>
        <v>387.84999999999997</v>
      </c>
      <c r="C99" s="25">
        <f t="shared" si="45"/>
        <v>389.2</v>
      </c>
      <c r="D99" s="25">
        <f t="shared" si="45"/>
        <v>390.18</v>
      </c>
      <c r="E99" s="25">
        <f t="shared" si="45"/>
        <v>402.5</v>
      </c>
      <c r="F99" s="25">
        <f t="shared" si="45"/>
        <v>425.83000000000004</v>
      </c>
      <c r="G99" s="25">
        <f t="shared" si="45"/>
        <v>421.60999999999996</v>
      </c>
      <c r="H99" s="25">
        <f t="shared" si="45"/>
        <v>413.47</v>
      </c>
      <c r="I99" s="25">
        <f t="shared" si="45"/>
        <v>433.37</v>
      </c>
      <c r="J99" s="25">
        <f t="shared" si="45"/>
        <v>430.80999999999995</v>
      </c>
      <c r="K99" s="25">
        <f t="shared" si="45"/>
        <v>478.10999999999996</v>
      </c>
      <c r="L99" s="25">
        <f t="shared" si="45"/>
        <v>476.05</v>
      </c>
      <c r="M99" s="25">
        <f t="shared" si="45"/>
        <v>471.98</v>
      </c>
      <c r="N99" s="25">
        <f>SUM(B99:D99)</f>
        <v>1167.23</v>
      </c>
      <c r="O99" s="25">
        <f>SUM(E99:G99)</f>
        <v>1249.94</v>
      </c>
      <c r="P99" s="25">
        <f>SUM(H99:J99)</f>
        <v>1277.6500000000001</v>
      </c>
      <c r="Q99" s="25">
        <f>SUM(K99:M99)</f>
        <v>1426.1399999999999</v>
      </c>
      <c r="R99" s="25">
        <f>SUM(B99:M99)</f>
        <v>5120.9600000000009</v>
      </c>
    </row>
    <row r="100" spans="1:18" x14ac:dyDescent="0.25">
      <c r="A100" s="3" t="s">
        <v>768</v>
      </c>
      <c r="B100" s="16">
        <f t="shared" ref="B100:R100" si="46">IFERROR(B95/B80,0)</f>
        <v>0.57856453069997815</v>
      </c>
      <c r="C100" s="16">
        <f t="shared" si="46"/>
        <v>0.5742730378592299</v>
      </c>
      <c r="D100" s="16">
        <f t="shared" si="46"/>
        <v>0.58422020656155194</v>
      </c>
      <c r="E100" s="16">
        <f t="shared" si="46"/>
        <v>0.57920577832828424</v>
      </c>
      <c r="F100" s="16">
        <f t="shared" si="46"/>
        <v>0.58135252287729833</v>
      </c>
      <c r="G100" s="16">
        <f t="shared" si="46"/>
        <v>0.58508013907122347</v>
      </c>
      <c r="H100" s="16">
        <f t="shared" si="46"/>
        <v>0.57505130240709401</v>
      </c>
      <c r="I100" s="16">
        <f t="shared" si="46"/>
        <v>0.58810624678913093</v>
      </c>
      <c r="J100" s="16">
        <f t="shared" si="46"/>
        <v>0.57350915710954431</v>
      </c>
      <c r="K100" s="16">
        <f t="shared" si="46"/>
        <v>0.57551679263226385</v>
      </c>
      <c r="L100" s="16">
        <f t="shared" si="46"/>
        <v>0.59145947064758997</v>
      </c>
      <c r="M100" s="16">
        <f t="shared" si="46"/>
        <v>0.57687672067088724</v>
      </c>
      <c r="N100" s="16">
        <f t="shared" si="46"/>
        <v>0.57899138710247178</v>
      </c>
      <c r="O100" s="16">
        <f t="shared" si="46"/>
        <v>0.58190605064759315</v>
      </c>
      <c r="P100" s="16">
        <f t="shared" si="46"/>
        <v>0.57895084223974957</v>
      </c>
      <c r="Q100" s="16">
        <f t="shared" si="46"/>
        <v>0.58119209113748149</v>
      </c>
      <c r="R100" s="16">
        <f t="shared" si="46"/>
        <v>0.58030567242506248</v>
      </c>
    </row>
    <row r="101" spans="1:18" x14ac:dyDescent="0.25">
      <c r="A101" s="5" t="s">
        <v>769</v>
      </c>
      <c r="B101" s="14">
        <f t="shared" ref="B101:R101" si="47">IFERROR(B96/B82,0)</f>
        <v>0.36555051908173708</v>
      </c>
      <c r="C101" s="14">
        <f t="shared" si="47"/>
        <v>0.30404783808647645</v>
      </c>
      <c r="D101" s="14">
        <f t="shared" si="47"/>
        <v>0.34403843722341637</v>
      </c>
      <c r="E101" s="14">
        <f t="shared" si="47"/>
        <v>0.35826831880067311</v>
      </c>
      <c r="F101" s="14">
        <f t="shared" si="47"/>
        <v>0.36250922509225098</v>
      </c>
      <c r="G101" s="14">
        <f t="shared" si="47"/>
        <v>0.33407894736842109</v>
      </c>
      <c r="H101" s="14">
        <f t="shared" si="47"/>
        <v>0.41150112023898439</v>
      </c>
      <c r="I101" s="14">
        <f t="shared" si="47"/>
        <v>0.40847784200385362</v>
      </c>
      <c r="J101" s="14">
        <f t="shared" si="47"/>
        <v>0.31598924561126046</v>
      </c>
      <c r="K101" s="14">
        <f t="shared" si="47"/>
        <v>0.38219544846050874</v>
      </c>
      <c r="L101" s="14">
        <f t="shared" si="47"/>
        <v>0.28504854368932037</v>
      </c>
      <c r="M101" s="14">
        <f t="shared" si="47"/>
        <v>0.33024140801522178</v>
      </c>
      <c r="N101" s="14">
        <f t="shared" si="47"/>
        <v>0.33548029346527891</v>
      </c>
      <c r="O101" s="14">
        <f t="shared" si="47"/>
        <v>0.35085118592195869</v>
      </c>
      <c r="P101" s="14">
        <f t="shared" si="47"/>
        <v>0.38115579123091275</v>
      </c>
      <c r="Q101" s="14">
        <f t="shared" si="47"/>
        <v>0.32728522861835829</v>
      </c>
      <c r="R101" s="14">
        <f t="shared" si="47"/>
        <v>0.34689005742447904</v>
      </c>
    </row>
    <row r="102" spans="1:18" x14ac:dyDescent="0.25">
      <c r="A102" s="3" t="s">
        <v>770</v>
      </c>
      <c r="B102" s="16">
        <f t="shared" ref="B102:R102" si="48">IFERROR(B97/B83,0)</f>
        <v>0.46121898158381519</v>
      </c>
      <c r="C102" s="16">
        <f t="shared" si="48"/>
        <v>0.45613673097424262</v>
      </c>
      <c r="D102" s="16">
        <f t="shared" si="48"/>
        <v>0.45993380919982935</v>
      </c>
      <c r="E102" s="16">
        <f t="shared" si="48"/>
        <v>0.45536425599716734</v>
      </c>
      <c r="F102" s="16">
        <f t="shared" si="48"/>
        <v>0.47626660242863555</v>
      </c>
      <c r="G102" s="16">
        <f t="shared" si="48"/>
        <v>0.46124454148471611</v>
      </c>
      <c r="H102" s="16">
        <f t="shared" si="48"/>
        <v>0.4687399451908888</v>
      </c>
      <c r="I102" s="16">
        <f t="shared" si="48"/>
        <v>0.47740460320541855</v>
      </c>
      <c r="J102" s="16">
        <f t="shared" si="48"/>
        <v>0.45275068600145935</v>
      </c>
      <c r="K102" s="16">
        <f t="shared" si="48"/>
        <v>0.47088763784992677</v>
      </c>
      <c r="L102" s="16">
        <f t="shared" si="48"/>
        <v>0.46254099529445314</v>
      </c>
      <c r="M102" s="16">
        <f t="shared" si="48"/>
        <v>0.45980177261031169</v>
      </c>
      <c r="N102" s="16">
        <f t="shared" si="48"/>
        <v>0.45908438592913781</v>
      </c>
      <c r="O102" s="16">
        <f t="shared" si="48"/>
        <v>0.46429934395842026</v>
      </c>
      <c r="P102" s="16">
        <f t="shared" si="48"/>
        <v>0.46605414203717971</v>
      </c>
      <c r="Q102" s="16">
        <f t="shared" si="48"/>
        <v>0.46438391517264016</v>
      </c>
      <c r="R102" s="16">
        <f t="shared" si="48"/>
        <v>0.46355777057218334</v>
      </c>
    </row>
    <row r="103" spans="1:18" x14ac:dyDescent="0.25">
      <c r="A103" s="18"/>
      <c r="B103" s="18"/>
      <c r="C103" s="18"/>
      <c r="D103" s="18"/>
      <c r="E103" s="18"/>
      <c r="F103" s="18"/>
      <c r="G103" s="18"/>
      <c r="H103" s="18"/>
      <c r="I103" s="18"/>
      <c r="J103" s="18"/>
      <c r="K103" s="18"/>
      <c r="L103" s="18"/>
      <c r="M103" s="18"/>
      <c r="N103" s="18"/>
      <c r="O103" s="18"/>
      <c r="P103" s="18"/>
      <c r="Q103" s="18"/>
      <c r="R103" s="18"/>
    </row>
    <row r="104" spans="1:18" x14ac:dyDescent="0.25">
      <c r="A104" s="12" t="s">
        <v>9</v>
      </c>
      <c r="B104" s="12"/>
      <c r="C104" s="12"/>
      <c r="D104" s="12"/>
      <c r="E104" s="12"/>
      <c r="F104" s="12"/>
      <c r="G104" s="12"/>
      <c r="H104" s="12"/>
      <c r="I104" s="12"/>
      <c r="J104" s="12"/>
      <c r="K104" s="12"/>
      <c r="L104" s="12"/>
      <c r="M104" s="12"/>
      <c r="N104" s="12"/>
      <c r="O104" s="12"/>
      <c r="P104" s="12"/>
      <c r="Q104" s="12"/>
      <c r="R104" s="12"/>
    </row>
    <row r="105" spans="1:18" x14ac:dyDescent="0.25">
      <c r="A105" s="5" t="s">
        <v>771</v>
      </c>
      <c r="B105" s="6">
        <v>94.99</v>
      </c>
      <c r="C105" s="6">
        <v>112.28</v>
      </c>
      <c r="D105" s="6">
        <v>105.78</v>
      </c>
      <c r="E105" s="6">
        <v>100.28</v>
      </c>
      <c r="F105" s="6">
        <v>103.72</v>
      </c>
      <c r="G105" s="6">
        <v>103.63</v>
      </c>
      <c r="H105" s="6">
        <v>110.63</v>
      </c>
      <c r="I105" s="6">
        <v>109.11</v>
      </c>
      <c r="J105" s="6">
        <v>114.51</v>
      </c>
      <c r="K105" s="6">
        <v>116.16</v>
      </c>
      <c r="L105" s="6">
        <v>123.2</v>
      </c>
      <c r="M105" s="6">
        <v>131.04</v>
      </c>
      <c r="N105" s="6">
        <f>SUM(B105:D105)</f>
        <v>313.04999999999995</v>
      </c>
      <c r="O105" s="6">
        <f>SUM(E105:G105)</f>
        <v>307.63</v>
      </c>
      <c r="P105" s="6">
        <f>SUM(H105:J105)</f>
        <v>334.25</v>
      </c>
      <c r="Q105" s="6">
        <f>SUM(K105:M105)</f>
        <v>370.4</v>
      </c>
      <c r="R105" s="6">
        <f>SUM(B105:M105)</f>
        <v>1325.33</v>
      </c>
    </row>
    <row r="106" spans="1:18" x14ac:dyDescent="0.25">
      <c r="A106" s="3" t="s">
        <v>757</v>
      </c>
      <c r="B106" s="4">
        <v>67.900000000000006</v>
      </c>
      <c r="C106" s="4">
        <v>79.510000000000005</v>
      </c>
      <c r="D106" s="4">
        <v>77</v>
      </c>
      <c r="E106" s="4">
        <v>71.84</v>
      </c>
      <c r="F106" s="4">
        <v>72.94</v>
      </c>
      <c r="G106" s="4">
        <v>73.64</v>
      </c>
      <c r="H106" s="4">
        <v>81.47</v>
      </c>
      <c r="I106" s="4">
        <v>79.52</v>
      </c>
      <c r="J106" s="4">
        <v>77.27</v>
      </c>
      <c r="K106" s="4">
        <v>86.89</v>
      </c>
      <c r="L106" s="4">
        <v>84.39</v>
      </c>
      <c r="M106" s="4">
        <v>85.84</v>
      </c>
      <c r="N106" s="4">
        <f>SUM(B106:D106)</f>
        <v>224.41000000000003</v>
      </c>
      <c r="O106" s="4">
        <f>SUM(E106:G106)</f>
        <v>218.42000000000002</v>
      </c>
      <c r="P106" s="4">
        <f>SUM(H106:J106)</f>
        <v>238.26</v>
      </c>
      <c r="Q106" s="4">
        <f>SUM(K106:M106)</f>
        <v>257.12</v>
      </c>
      <c r="R106" s="4">
        <f>SUM(B106:M106)</f>
        <v>938.20999999999992</v>
      </c>
    </row>
    <row r="107" spans="1:18" x14ac:dyDescent="0.25">
      <c r="A107" s="5" t="s">
        <v>772</v>
      </c>
      <c r="B107" s="6">
        <v>-27.09</v>
      </c>
      <c r="C107" s="6">
        <v>-32.770000000000003</v>
      </c>
      <c r="D107" s="6">
        <v>-28.78</v>
      </c>
      <c r="E107" s="6">
        <v>-28.44</v>
      </c>
      <c r="F107" s="6">
        <v>-30.78</v>
      </c>
      <c r="G107" s="6">
        <v>-29.99</v>
      </c>
      <c r="H107" s="6">
        <v>-29.16</v>
      </c>
      <c r="I107" s="6">
        <v>-29.59</v>
      </c>
      <c r="J107" s="6">
        <v>-37.24</v>
      </c>
      <c r="K107" s="6">
        <v>-29.27</v>
      </c>
      <c r="L107" s="6">
        <v>-38.81</v>
      </c>
      <c r="M107" s="6">
        <v>-45.2</v>
      </c>
      <c r="N107" s="6">
        <f>SUM(B107:D107)</f>
        <v>-88.64</v>
      </c>
      <c r="O107" s="6">
        <f>SUM(E107:G107)</f>
        <v>-89.21</v>
      </c>
      <c r="P107" s="6">
        <f>SUM(H107:J107)</f>
        <v>-95.990000000000009</v>
      </c>
      <c r="Q107" s="6">
        <f>SUM(K107:M107)</f>
        <v>-113.28</v>
      </c>
      <c r="R107" s="6">
        <f>SUM(B107:M107)</f>
        <v>-387.12</v>
      </c>
    </row>
    <row r="108" spans="1:18" x14ac:dyDescent="0.25">
      <c r="A108" s="3" t="s">
        <v>43</v>
      </c>
      <c r="B108" s="4">
        <v>36.130000000000003</v>
      </c>
      <c r="C108" s="4">
        <v>36.619999999999997</v>
      </c>
      <c r="D108" s="4">
        <v>32.74</v>
      </c>
      <c r="E108" s="4">
        <v>37.450000000000003</v>
      </c>
      <c r="F108" s="4">
        <v>33.81</v>
      </c>
      <c r="G108" s="4">
        <v>37.85</v>
      </c>
      <c r="H108" s="4">
        <v>35.78</v>
      </c>
      <c r="I108" s="4">
        <v>35.799999999999997</v>
      </c>
      <c r="J108" s="4">
        <v>41.5</v>
      </c>
      <c r="K108" s="4">
        <v>41.82</v>
      </c>
      <c r="L108" s="4">
        <v>44.44</v>
      </c>
      <c r="M108" s="4">
        <v>39.450000000000003</v>
      </c>
      <c r="N108" s="4">
        <f>SUM(B108:D108)</f>
        <v>105.49000000000001</v>
      </c>
      <c r="O108" s="4">
        <f>SUM(E108:G108)</f>
        <v>109.11000000000001</v>
      </c>
      <c r="P108" s="4">
        <f>SUM(H108:J108)</f>
        <v>113.08</v>
      </c>
      <c r="Q108" s="4">
        <f>SUM(K108:M108)</f>
        <v>125.71</v>
      </c>
      <c r="R108" s="4">
        <f>SUM(B108:M108)</f>
        <v>453.39</v>
      </c>
    </row>
    <row r="109" spans="1:18" x14ac:dyDescent="0.25">
      <c r="A109" s="18"/>
      <c r="B109" s="18"/>
      <c r="C109" s="18"/>
      <c r="D109" s="18"/>
      <c r="E109" s="18"/>
      <c r="F109" s="18"/>
      <c r="G109" s="18"/>
      <c r="H109" s="18"/>
      <c r="I109" s="18"/>
      <c r="J109" s="18"/>
      <c r="K109" s="18"/>
      <c r="L109" s="18"/>
      <c r="M109" s="18"/>
      <c r="N109" s="18"/>
      <c r="O109" s="18"/>
      <c r="P109" s="18"/>
      <c r="Q109" s="18"/>
      <c r="R109" s="18"/>
    </row>
    <row r="110" spans="1:18" x14ac:dyDescent="0.25">
      <c r="A110" s="21" t="s">
        <v>745</v>
      </c>
      <c r="B110" s="25">
        <f t="shared" ref="B110:M110" si="49">B97-B105-B108</f>
        <v>265.33</v>
      </c>
      <c r="C110" s="25">
        <f t="shared" si="49"/>
        <v>249.01999999999998</v>
      </c>
      <c r="D110" s="25">
        <f t="shared" si="49"/>
        <v>260.33000000000004</v>
      </c>
      <c r="E110" s="25">
        <f t="shared" si="49"/>
        <v>273.81</v>
      </c>
      <c r="F110" s="25">
        <f t="shared" si="49"/>
        <v>297.43</v>
      </c>
      <c r="G110" s="25">
        <f t="shared" si="49"/>
        <v>289.46999999999991</v>
      </c>
      <c r="H110" s="25">
        <f t="shared" si="49"/>
        <v>276.07000000000005</v>
      </c>
      <c r="I110" s="25">
        <f t="shared" si="49"/>
        <v>297.72999999999996</v>
      </c>
      <c r="J110" s="25">
        <f t="shared" si="49"/>
        <v>284.52999999999997</v>
      </c>
      <c r="K110" s="25">
        <f t="shared" si="49"/>
        <v>330.49999999999994</v>
      </c>
      <c r="L110" s="25">
        <f t="shared" si="49"/>
        <v>318.93</v>
      </c>
      <c r="M110" s="25">
        <f t="shared" si="49"/>
        <v>311.98000000000008</v>
      </c>
      <c r="N110" s="25">
        <f>SUM(B110:D110)</f>
        <v>774.68</v>
      </c>
      <c r="O110" s="25">
        <f>SUM(E110:G110)</f>
        <v>860.70999999999992</v>
      </c>
      <c r="P110" s="25">
        <f>SUM(H110:J110)</f>
        <v>858.32999999999993</v>
      </c>
      <c r="Q110" s="25">
        <f>SUM(K110:M110)</f>
        <v>961.41000000000008</v>
      </c>
      <c r="R110" s="25">
        <f>SUM(B110:M110)</f>
        <v>3455.13</v>
      </c>
    </row>
    <row r="111" spans="1:18" x14ac:dyDescent="0.25">
      <c r="A111" s="5" t="s">
        <v>746</v>
      </c>
      <c r="B111" s="14">
        <f t="shared" ref="B111:R111" si="50">IFERROR(B110/B83,0)</f>
        <v>0.3086775946112591</v>
      </c>
      <c r="C111" s="14">
        <f t="shared" si="50"/>
        <v>0.28545227369120896</v>
      </c>
      <c r="D111" s="14">
        <f t="shared" si="50"/>
        <v>0.30019949492037501</v>
      </c>
      <c r="E111" s="14">
        <f t="shared" si="50"/>
        <v>0.30296760201823492</v>
      </c>
      <c r="F111" s="14">
        <f t="shared" si="50"/>
        <v>0.32567586803464471</v>
      </c>
      <c r="G111" s="14">
        <f t="shared" si="50"/>
        <v>0.30981890572823007</v>
      </c>
      <c r="H111" s="14">
        <f t="shared" si="50"/>
        <v>0.30629860980128926</v>
      </c>
      <c r="I111" s="14">
        <f t="shared" si="50"/>
        <v>0.32111348389740929</v>
      </c>
      <c r="J111" s="14">
        <f t="shared" si="50"/>
        <v>0.29241647225676493</v>
      </c>
      <c r="K111" s="14">
        <f t="shared" si="50"/>
        <v>0.31859720829798716</v>
      </c>
      <c r="L111" s="14">
        <f t="shared" si="50"/>
        <v>0.30317980892627977</v>
      </c>
      <c r="M111" s="14">
        <f t="shared" si="50"/>
        <v>0.29732202420661402</v>
      </c>
      <c r="N111" s="14">
        <f t="shared" si="50"/>
        <v>0.29805357946697547</v>
      </c>
      <c r="O111" s="14">
        <f t="shared" si="50"/>
        <v>0.31283188253039412</v>
      </c>
      <c r="P111" s="14">
        <f t="shared" si="50"/>
        <v>0.30638010794140319</v>
      </c>
      <c r="Q111" s="14">
        <f t="shared" si="50"/>
        <v>0.30631712764567759</v>
      </c>
      <c r="R111" s="14">
        <f t="shared" si="50"/>
        <v>0.30601800965581133</v>
      </c>
    </row>
    <row r="112" spans="1:18" x14ac:dyDescent="0.25">
      <c r="A112" s="3"/>
      <c r="B112" s="13"/>
      <c r="C112" s="13"/>
      <c r="D112" s="13"/>
      <c r="E112" s="13"/>
      <c r="F112" s="13"/>
      <c r="G112" s="13"/>
      <c r="H112" s="13"/>
      <c r="I112" s="13"/>
      <c r="J112" s="13"/>
      <c r="K112" s="13"/>
      <c r="L112" s="13"/>
      <c r="M112" s="13"/>
      <c r="N112" s="13"/>
      <c r="O112" s="13"/>
      <c r="P112" s="13"/>
      <c r="Q112" s="13"/>
      <c r="R112" s="13"/>
    </row>
    <row r="113" spans="1:18" x14ac:dyDescent="0.25">
      <c r="A113" s="18"/>
      <c r="B113" s="18"/>
      <c r="C113" s="18"/>
      <c r="D113" s="18"/>
      <c r="E113" s="18"/>
      <c r="F113" s="18"/>
      <c r="G113" s="18"/>
      <c r="H113" s="18"/>
      <c r="I113" s="18"/>
      <c r="J113" s="18"/>
      <c r="K113" s="18"/>
      <c r="L113" s="18"/>
      <c r="M113" s="18"/>
      <c r="N113" s="18"/>
      <c r="O113" s="18"/>
      <c r="P113" s="18"/>
      <c r="Q113" s="18"/>
      <c r="R113" s="18"/>
    </row>
    <row r="114" spans="1:18" ht="15.6" customHeight="1" x14ac:dyDescent="0.25">
      <c r="A114" s="12" t="s">
        <v>10</v>
      </c>
      <c r="B114" s="12"/>
      <c r="C114" s="12"/>
      <c r="D114" s="12"/>
      <c r="E114" s="12"/>
      <c r="F114" s="12"/>
      <c r="G114" s="12"/>
      <c r="H114" s="12"/>
      <c r="I114" s="12"/>
      <c r="J114" s="12"/>
      <c r="K114" s="12"/>
      <c r="L114" s="12"/>
      <c r="M114" s="12"/>
      <c r="N114" s="12"/>
      <c r="O114" s="12"/>
      <c r="P114" s="12"/>
      <c r="Q114" s="12"/>
      <c r="R114" s="12"/>
    </row>
    <row r="115" spans="1:18" x14ac:dyDescent="0.25">
      <c r="A115" s="12" t="s">
        <v>602</v>
      </c>
      <c r="B115" s="12"/>
      <c r="C115" s="12"/>
      <c r="D115" s="12"/>
      <c r="E115" s="12"/>
      <c r="F115" s="12"/>
      <c r="G115" s="12"/>
      <c r="H115" s="12"/>
      <c r="I115" s="12"/>
      <c r="J115" s="12"/>
      <c r="K115" s="12"/>
      <c r="L115" s="12"/>
      <c r="M115" s="12"/>
      <c r="N115" s="12"/>
      <c r="O115" s="12"/>
      <c r="P115" s="12"/>
      <c r="Q115" s="12"/>
      <c r="R115" s="12"/>
    </row>
    <row r="116" spans="1:18" x14ac:dyDescent="0.25">
      <c r="A116" s="5" t="s">
        <v>619</v>
      </c>
      <c r="B116" s="6">
        <v>269.33999999999997</v>
      </c>
      <c r="C116" s="6">
        <v>277.48</v>
      </c>
      <c r="D116" s="6">
        <v>277.81</v>
      </c>
      <c r="E116" s="6">
        <v>276.83</v>
      </c>
      <c r="F116" s="6">
        <v>267.19</v>
      </c>
      <c r="G116" s="6">
        <v>288.37</v>
      </c>
      <c r="H116" s="6">
        <v>276.8</v>
      </c>
      <c r="I116" s="6">
        <v>298.92</v>
      </c>
      <c r="J116" s="6">
        <v>305.22000000000003</v>
      </c>
      <c r="K116" s="6">
        <v>331.32</v>
      </c>
      <c r="L116" s="6">
        <v>331.74</v>
      </c>
      <c r="M116" s="6">
        <v>332.02</v>
      </c>
      <c r="N116" s="6">
        <f>SUM(B116:D116)</f>
        <v>824.62999999999988</v>
      </c>
      <c r="O116" s="6">
        <f>SUM(E116:G116)</f>
        <v>832.39</v>
      </c>
      <c r="P116" s="6">
        <f>SUM(H116:J116)</f>
        <v>880.94</v>
      </c>
      <c r="Q116" s="6">
        <f>SUM(K116:M116)</f>
        <v>995.07999999999993</v>
      </c>
      <c r="R116" s="6">
        <f>SUM(B116:M116)</f>
        <v>3533.0400000000004</v>
      </c>
    </row>
    <row r="117" spans="1:18" x14ac:dyDescent="0.25">
      <c r="A117" s="3" t="s">
        <v>760</v>
      </c>
      <c r="B117" s="4">
        <v>62.18</v>
      </c>
      <c r="C117" s="4">
        <v>54.82</v>
      </c>
      <c r="D117" s="4">
        <v>60.58</v>
      </c>
      <c r="E117" s="4">
        <v>57.27</v>
      </c>
      <c r="F117" s="4">
        <v>60.68</v>
      </c>
      <c r="G117" s="4">
        <v>61.87</v>
      </c>
      <c r="H117" s="4">
        <v>69.69</v>
      </c>
      <c r="I117" s="4">
        <v>73.31</v>
      </c>
      <c r="J117" s="4">
        <v>61.25</v>
      </c>
      <c r="K117" s="4">
        <v>77.92</v>
      </c>
      <c r="L117" s="4">
        <v>79.72</v>
      </c>
      <c r="M117" s="4">
        <v>67.33</v>
      </c>
      <c r="N117" s="4">
        <f>SUM(B117:D117)</f>
        <v>177.57999999999998</v>
      </c>
      <c r="O117" s="4">
        <f>SUM(E117:G117)</f>
        <v>179.82</v>
      </c>
      <c r="P117" s="4">
        <f>SUM(H117:J117)</f>
        <v>204.25</v>
      </c>
      <c r="Q117" s="4">
        <f>SUM(K117:M117)</f>
        <v>224.96999999999997</v>
      </c>
      <c r="R117" s="4">
        <f>SUM(B117:M117)</f>
        <v>786.62</v>
      </c>
    </row>
    <row r="118" spans="1:18" x14ac:dyDescent="0.25">
      <c r="A118" s="5" t="s">
        <v>625</v>
      </c>
      <c r="B118" s="6">
        <v>19.89</v>
      </c>
      <c r="C118" s="6">
        <v>23.81</v>
      </c>
      <c r="D118" s="6">
        <v>31.96</v>
      </c>
      <c r="E118" s="6">
        <v>23.98</v>
      </c>
      <c r="F118" s="6">
        <v>33.44</v>
      </c>
      <c r="G118" s="6">
        <v>33.700000000000003</v>
      </c>
      <c r="H118" s="6">
        <v>26.31</v>
      </c>
      <c r="I118" s="6">
        <v>25.19</v>
      </c>
      <c r="J118" s="6">
        <v>36.450000000000003</v>
      </c>
      <c r="K118" s="6">
        <v>15.55</v>
      </c>
      <c r="L118" s="6">
        <v>14.7</v>
      </c>
      <c r="M118" s="6">
        <v>30.48</v>
      </c>
      <c r="N118" s="6">
        <f>SUM(B118:D118)</f>
        <v>75.66</v>
      </c>
      <c r="O118" s="6">
        <f>SUM(E118:G118)</f>
        <v>91.12</v>
      </c>
      <c r="P118" s="6">
        <f>SUM(H118:J118)</f>
        <v>87.95</v>
      </c>
      <c r="Q118" s="6">
        <f>SUM(K118:M118)</f>
        <v>60.730000000000004</v>
      </c>
      <c r="R118" s="6">
        <f>SUM(B118:M118)</f>
        <v>315.45999999999998</v>
      </c>
    </row>
    <row r="119" spans="1:18" x14ac:dyDescent="0.25">
      <c r="A119" s="21" t="s">
        <v>602</v>
      </c>
      <c r="B119" s="25">
        <f t="shared" ref="B119:M119" si="51">B116+B117+B118</f>
        <v>351.40999999999997</v>
      </c>
      <c r="C119" s="25">
        <f t="shared" si="51"/>
        <v>356.11</v>
      </c>
      <c r="D119" s="25">
        <f t="shared" si="51"/>
        <v>370.34999999999997</v>
      </c>
      <c r="E119" s="25">
        <f t="shared" si="51"/>
        <v>358.08</v>
      </c>
      <c r="F119" s="25">
        <f t="shared" si="51"/>
        <v>361.31</v>
      </c>
      <c r="G119" s="25">
        <f t="shared" si="51"/>
        <v>383.94</v>
      </c>
      <c r="H119" s="25">
        <f t="shared" si="51"/>
        <v>372.8</v>
      </c>
      <c r="I119" s="25">
        <f t="shared" si="51"/>
        <v>397.42</v>
      </c>
      <c r="J119" s="25">
        <f t="shared" si="51"/>
        <v>402.92</v>
      </c>
      <c r="K119" s="25">
        <f t="shared" si="51"/>
        <v>424.79</v>
      </c>
      <c r="L119" s="25">
        <f t="shared" si="51"/>
        <v>426.16</v>
      </c>
      <c r="M119" s="25">
        <f t="shared" si="51"/>
        <v>429.83</v>
      </c>
      <c r="N119" s="25">
        <f>SUM(B119:D119)</f>
        <v>1077.8699999999999</v>
      </c>
      <c r="O119" s="25">
        <f>SUM(E119:G119)</f>
        <v>1103.33</v>
      </c>
      <c r="P119" s="25">
        <f>SUM(H119:J119)</f>
        <v>1173.1400000000001</v>
      </c>
      <c r="Q119" s="25">
        <f>SUM(K119:M119)</f>
        <v>1280.78</v>
      </c>
      <c r="R119" s="25">
        <f>SUM(B119:M119)</f>
        <v>4635.12</v>
      </c>
    </row>
    <row r="120" spans="1:18" x14ac:dyDescent="0.25">
      <c r="A120" s="18"/>
      <c r="B120" s="18"/>
      <c r="C120" s="18"/>
      <c r="D120" s="18"/>
      <c r="E120" s="18"/>
      <c r="F120" s="18"/>
      <c r="G120" s="18"/>
      <c r="H120" s="18"/>
      <c r="I120" s="18"/>
      <c r="J120" s="18"/>
      <c r="K120" s="18"/>
      <c r="L120" s="18"/>
      <c r="M120" s="18"/>
      <c r="N120" s="18"/>
      <c r="O120" s="18"/>
      <c r="P120" s="18"/>
      <c r="Q120" s="18"/>
      <c r="R120" s="18"/>
    </row>
    <row r="121" spans="1:18" x14ac:dyDescent="0.25">
      <c r="A121" s="12" t="s">
        <v>742</v>
      </c>
      <c r="B121" s="12"/>
      <c r="C121" s="12"/>
      <c r="D121" s="12"/>
      <c r="E121" s="12"/>
      <c r="F121" s="12"/>
      <c r="G121" s="12"/>
      <c r="H121" s="12"/>
      <c r="I121" s="12"/>
      <c r="J121" s="12"/>
      <c r="K121" s="12"/>
      <c r="L121" s="12"/>
      <c r="M121" s="12"/>
      <c r="N121" s="12"/>
      <c r="O121" s="12"/>
      <c r="P121" s="12"/>
      <c r="Q121" s="12"/>
      <c r="R121" s="12"/>
    </row>
    <row r="122" spans="1:18" x14ac:dyDescent="0.25">
      <c r="A122" s="3" t="s">
        <v>21</v>
      </c>
      <c r="B122" s="4">
        <v>64.11</v>
      </c>
      <c r="C122" s="4">
        <v>66.959999999999994</v>
      </c>
      <c r="D122" s="4">
        <v>66.86</v>
      </c>
      <c r="E122" s="4">
        <v>70.38</v>
      </c>
      <c r="F122" s="4">
        <v>67.22</v>
      </c>
      <c r="G122" s="4">
        <v>70.06</v>
      </c>
      <c r="H122" s="4">
        <v>70.58</v>
      </c>
      <c r="I122" s="4">
        <v>76.72</v>
      </c>
      <c r="J122" s="4">
        <v>73.77</v>
      </c>
      <c r="K122" s="4">
        <v>83.72</v>
      </c>
      <c r="L122" s="4">
        <v>84.99</v>
      </c>
      <c r="M122" s="4">
        <v>79.81</v>
      </c>
      <c r="N122" s="4">
        <f t="shared" ref="N122:N129" si="52">SUM(B122:D122)</f>
        <v>197.93</v>
      </c>
      <c r="O122" s="4">
        <f t="shared" ref="O122:O129" si="53">SUM(E122:G122)</f>
        <v>207.66</v>
      </c>
      <c r="P122" s="4">
        <f t="shared" ref="P122:P129" si="54">SUM(H122:J122)</f>
        <v>221.07</v>
      </c>
      <c r="Q122" s="4">
        <f t="shared" ref="Q122:Q129" si="55">SUM(K122:M122)</f>
        <v>248.51999999999998</v>
      </c>
      <c r="R122" s="4">
        <f t="shared" ref="R122:R129" si="56">SUM(B122:M122)</f>
        <v>875.18000000000006</v>
      </c>
    </row>
    <row r="123" spans="1:18" x14ac:dyDescent="0.25">
      <c r="A123" s="5" t="s">
        <v>56</v>
      </c>
      <c r="B123" s="6">
        <v>16.68</v>
      </c>
      <c r="C123" s="6">
        <v>17.420000000000002</v>
      </c>
      <c r="D123" s="6">
        <v>16.02</v>
      </c>
      <c r="E123" s="6">
        <v>15.82</v>
      </c>
      <c r="F123" s="6">
        <v>15.73</v>
      </c>
      <c r="G123" s="6">
        <v>17.61</v>
      </c>
      <c r="H123" s="6">
        <v>17.37</v>
      </c>
      <c r="I123" s="6">
        <v>17.75</v>
      </c>
      <c r="J123" s="6">
        <v>18.71</v>
      </c>
      <c r="K123" s="6">
        <v>19.04</v>
      </c>
      <c r="L123" s="6">
        <v>20.28</v>
      </c>
      <c r="M123" s="6">
        <v>20.170000000000002</v>
      </c>
      <c r="N123" s="6">
        <f t="shared" si="52"/>
        <v>50.120000000000005</v>
      </c>
      <c r="O123" s="6">
        <f t="shared" si="53"/>
        <v>49.16</v>
      </c>
      <c r="P123" s="6">
        <f t="shared" si="54"/>
        <v>53.830000000000005</v>
      </c>
      <c r="Q123" s="6">
        <f t="shared" si="55"/>
        <v>59.49</v>
      </c>
      <c r="R123" s="6">
        <f t="shared" si="56"/>
        <v>212.60000000000002</v>
      </c>
    </row>
    <row r="124" spans="1:18" x14ac:dyDescent="0.25">
      <c r="A124" s="3" t="s">
        <v>54</v>
      </c>
      <c r="B124" s="4">
        <v>25.86</v>
      </c>
      <c r="C124" s="4">
        <v>28.5</v>
      </c>
      <c r="D124" s="4">
        <v>28.75</v>
      </c>
      <c r="E124" s="4">
        <v>27.96</v>
      </c>
      <c r="F124" s="4">
        <v>25.71</v>
      </c>
      <c r="G124" s="4">
        <v>30.23</v>
      </c>
      <c r="H124" s="4">
        <v>28.46</v>
      </c>
      <c r="I124" s="4">
        <v>29.44</v>
      </c>
      <c r="J124" s="4">
        <v>30.3</v>
      </c>
      <c r="K124" s="4">
        <v>32.700000000000003</v>
      </c>
      <c r="L124" s="4">
        <v>33.19</v>
      </c>
      <c r="M124" s="4">
        <v>32.67</v>
      </c>
      <c r="N124" s="4">
        <f t="shared" si="52"/>
        <v>83.11</v>
      </c>
      <c r="O124" s="4">
        <f t="shared" si="53"/>
        <v>83.9</v>
      </c>
      <c r="P124" s="4">
        <f t="shared" si="54"/>
        <v>88.2</v>
      </c>
      <c r="Q124" s="4">
        <f t="shared" si="55"/>
        <v>98.56</v>
      </c>
      <c r="R124" s="4">
        <f t="shared" si="56"/>
        <v>353.77000000000004</v>
      </c>
    </row>
    <row r="125" spans="1:18" x14ac:dyDescent="0.25">
      <c r="A125" s="5" t="s">
        <v>15</v>
      </c>
      <c r="B125" s="6">
        <v>11.15</v>
      </c>
      <c r="C125" s="6">
        <v>11.46</v>
      </c>
      <c r="D125" s="6">
        <v>10.67</v>
      </c>
      <c r="E125" s="6">
        <v>11.58</v>
      </c>
      <c r="F125" s="6">
        <v>10.83</v>
      </c>
      <c r="G125" s="6">
        <v>11.91</v>
      </c>
      <c r="H125" s="6">
        <v>11.3</v>
      </c>
      <c r="I125" s="6">
        <v>11.88</v>
      </c>
      <c r="J125" s="6">
        <v>12.49</v>
      </c>
      <c r="K125" s="6">
        <v>13.87</v>
      </c>
      <c r="L125" s="6">
        <v>12.96</v>
      </c>
      <c r="M125" s="6">
        <v>13.69</v>
      </c>
      <c r="N125" s="6">
        <f t="shared" si="52"/>
        <v>33.28</v>
      </c>
      <c r="O125" s="6">
        <f t="shared" si="53"/>
        <v>34.32</v>
      </c>
      <c r="P125" s="6">
        <f t="shared" si="54"/>
        <v>35.67</v>
      </c>
      <c r="Q125" s="6">
        <f t="shared" si="55"/>
        <v>40.519999999999996</v>
      </c>
      <c r="R125" s="6">
        <f t="shared" si="56"/>
        <v>143.79</v>
      </c>
    </row>
    <row r="126" spans="1:18" x14ac:dyDescent="0.25">
      <c r="A126" s="3" t="s">
        <v>40</v>
      </c>
      <c r="B126" s="4">
        <v>2.16</v>
      </c>
      <c r="C126" s="4">
        <v>2.2200000000000002</v>
      </c>
      <c r="D126" s="4">
        <v>2.21</v>
      </c>
      <c r="E126" s="4">
        <v>2.27</v>
      </c>
      <c r="F126" s="4">
        <v>2.09</v>
      </c>
      <c r="G126" s="4">
        <v>2.39</v>
      </c>
      <c r="H126" s="4">
        <v>2.29</v>
      </c>
      <c r="I126" s="4">
        <v>2.29</v>
      </c>
      <c r="J126" s="4">
        <v>2.5299999999999998</v>
      </c>
      <c r="K126" s="4">
        <v>2.58</v>
      </c>
      <c r="L126" s="4">
        <v>2.64</v>
      </c>
      <c r="M126" s="4">
        <v>2.69</v>
      </c>
      <c r="N126" s="4">
        <f t="shared" si="52"/>
        <v>6.5900000000000007</v>
      </c>
      <c r="O126" s="4">
        <f t="shared" si="53"/>
        <v>6.75</v>
      </c>
      <c r="P126" s="4">
        <f t="shared" si="54"/>
        <v>7.1099999999999994</v>
      </c>
      <c r="Q126" s="4">
        <f t="shared" si="55"/>
        <v>7.91</v>
      </c>
      <c r="R126" s="4">
        <f t="shared" si="56"/>
        <v>28.360000000000003</v>
      </c>
    </row>
    <row r="127" spans="1:18" x14ac:dyDescent="0.25">
      <c r="A127" s="21" t="s">
        <v>761</v>
      </c>
      <c r="B127" s="25">
        <f t="shared" ref="B127:M127" si="57">SUM(B122:B126)</f>
        <v>119.96</v>
      </c>
      <c r="C127" s="25">
        <f t="shared" si="57"/>
        <v>126.56</v>
      </c>
      <c r="D127" s="25">
        <f t="shared" si="57"/>
        <v>124.50999999999999</v>
      </c>
      <c r="E127" s="25">
        <f t="shared" si="57"/>
        <v>128.01</v>
      </c>
      <c r="F127" s="25">
        <f t="shared" si="57"/>
        <v>121.58</v>
      </c>
      <c r="G127" s="25">
        <f t="shared" si="57"/>
        <v>132.19999999999999</v>
      </c>
      <c r="H127" s="25">
        <f t="shared" si="57"/>
        <v>130</v>
      </c>
      <c r="I127" s="25">
        <f t="shared" si="57"/>
        <v>138.07999999999998</v>
      </c>
      <c r="J127" s="25">
        <f t="shared" si="57"/>
        <v>137.79999999999998</v>
      </c>
      <c r="K127" s="25">
        <f t="shared" si="57"/>
        <v>151.91</v>
      </c>
      <c r="L127" s="25">
        <f t="shared" si="57"/>
        <v>154.05999999999997</v>
      </c>
      <c r="M127" s="25">
        <f t="shared" si="57"/>
        <v>149.03</v>
      </c>
      <c r="N127" s="25">
        <f t="shared" si="52"/>
        <v>371.03</v>
      </c>
      <c r="O127" s="25">
        <f t="shared" si="53"/>
        <v>381.78999999999996</v>
      </c>
      <c r="P127" s="25">
        <f t="shared" si="54"/>
        <v>405.88</v>
      </c>
      <c r="Q127" s="25">
        <f t="shared" si="55"/>
        <v>455</v>
      </c>
      <c r="R127" s="25">
        <f t="shared" si="56"/>
        <v>1613.6999999999998</v>
      </c>
    </row>
    <row r="128" spans="1:18" x14ac:dyDescent="0.25">
      <c r="A128" s="5" t="s">
        <v>762</v>
      </c>
      <c r="B128" s="6">
        <v>13.59</v>
      </c>
      <c r="C128" s="6">
        <v>15.71</v>
      </c>
      <c r="D128" s="6">
        <v>23.27</v>
      </c>
      <c r="E128" s="6">
        <v>15.39</v>
      </c>
      <c r="F128" s="6">
        <v>24.3</v>
      </c>
      <c r="G128" s="6">
        <v>21.67</v>
      </c>
      <c r="H128" s="6">
        <v>18.72</v>
      </c>
      <c r="I128" s="6">
        <v>18.5</v>
      </c>
      <c r="J128" s="6">
        <v>24.25</v>
      </c>
      <c r="K128" s="6">
        <v>10.96</v>
      </c>
      <c r="L128" s="6">
        <v>10.26</v>
      </c>
      <c r="M128" s="6">
        <v>20.41</v>
      </c>
      <c r="N128" s="6">
        <f t="shared" si="52"/>
        <v>52.57</v>
      </c>
      <c r="O128" s="6">
        <f t="shared" si="53"/>
        <v>61.36</v>
      </c>
      <c r="P128" s="6">
        <f t="shared" si="54"/>
        <v>61.47</v>
      </c>
      <c r="Q128" s="6">
        <f t="shared" si="55"/>
        <v>41.629999999999995</v>
      </c>
      <c r="R128" s="6">
        <f t="shared" si="56"/>
        <v>217.03</v>
      </c>
    </row>
    <row r="129" spans="1:18" x14ac:dyDescent="0.25">
      <c r="A129" s="21" t="s">
        <v>742</v>
      </c>
      <c r="B129" s="25">
        <f t="shared" ref="B129:M129" si="58">B127+B128</f>
        <v>133.54999999999998</v>
      </c>
      <c r="C129" s="25">
        <f t="shared" si="58"/>
        <v>142.27000000000001</v>
      </c>
      <c r="D129" s="25">
        <f t="shared" si="58"/>
        <v>147.78</v>
      </c>
      <c r="E129" s="25">
        <f t="shared" si="58"/>
        <v>143.39999999999998</v>
      </c>
      <c r="F129" s="25">
        <f t="shared" si="58"/>
        <v>145.88</v>
      </c>
      <c r="G129" s="25">
        <f t="shared" si="58"/>
        <v>153.87</v>
      </c>
      <c r="H129" s="25">
        <f t="shared" si="58"/>
        <v>148.72</v>
      </c>
      <c r="I129" s="25">
        <f t="shared" si="58"/>
        <v>156.57999999999998</v>
      </c>
      <c r="J129" s="25">
        <f t="shared" si="58"/>
        <v>162.04999999999998</v>
      </c>
      <c r="K129" s="25">
        <f t="shared" si="58"/>
        <v>162.87</v>
      </c>
      <c r="L129" s="25">
        <f t="shared" si="58"/>
        <v>164.31999999999996</v>
      </c>
      <c r="M129" s="25">
        <f t="shared" si="58"/>
        <v>169.44</v>
      </c>
      <c r="N129" s="25">
        <f t="shared" si="52"/>
        <v>423.6</v>
      </c>
      <c r="O129" s="25">
        <f t="shared" si="53"/>
        <v>443.15</v>
      </c>
      <c r="P129" s="25">
        <f t="shared" si="54"/>
        <v>467.34999999999991</v>
      </c>
      <c r="Q129" s="25">
        <f t="shared" si="55"/>
        <v>496.62999999999994</v>
      </c>
      <c r="R129" s="25">
        <f t="shared" si="56"/>
        <v>1830.7299999999998</v>
      </c>
    </row>
    <row r="130" spans="1:18" x14ac:dyDescent="0.25">
      <c r="A130" s="18"/>
      <c r="B130" s="18"/>
      <c r="C130" s="18"/>
      <c r="D130" s="18"/>
      <c r="E130" s="18"/>
      <c r="F130" s="18"/>
      <c r="G130" s="18"/>
      <c r="H130" s="18"/>
      <c r="I130" s="18"/>
      <c r="J130" s="18"/>
      <c r="K130" s="18"/>
      <c r="L130" s="18"/>
      <c r="M130" s="18"/>
      <c r="N130" s="18"/>
      <c r="O130" s="18"/>
      <c r="P130" s="18"/>
      <c r="Q130" s="18"/>
      <c r="R130" s="18"/>
    </row>
    <row r="131" spans="1:18" x14ac:dyDescent="0.25">
      <c r="A131" s="3" t="s">
        <v>763</v>
      </c>
      <c r="B131" s="4">
        <f t="shared" ref="B131:M131" si="59">B116-B127</f>
        <v>149.38</v>
      </c>
      <c r="C131" s="4">
        <f t="shared" si="59"/>
        <v>150.92000000000002</v>
      </c>
      <c r="D131" s="4">
        <f t="shared" si="59"/>
        <v>153.30000000000001</v>
      </c>
      <c r="E131" s="4">
        <f t="shared" si="59"/>
        <v>148.82</v>
      </c>
      <c r="F131" s="4">
        <f t="shared" si="59"/>
        <v>145.61000000000001</v>
      </c>
      <c r="G131" s="4">
        <f t="shared" si="59"/>
        <v>156.17000000000002</v>
      </c>
      <c r="H131" s="4">
        <f t="shared" si="59"/>
        <v>146.80000000000001</v>
      </c>
      <c r="I131" s="4">
        <f t="shared" si="59"/>
        <v>160.84000000000003</v>
      </c>
      <c r="J131" s="4">
        <f t="shared" si="59"/>
        <v>167.42000000000004</v>
      </c>
      <c r="K131" s="4">
        <f t="shared" si="59"/>
        <v>179.41</v>
      </c>
      <c r="L131" s="4">
        <f t="shared" si="59"/>
        <v>177.68000000000004</v>
      </c>
      <c r="M131" s="4">
        <f t="shared" si="59"/>
        <v>182.98999999999998</v>
      </c>
      <c r="N131" s="4">
        <f>SUM(B131:D131)</f>
        <v>453.6</v>
      </c>
      <c r="O131" s="4">
        <f>SUM(E131:G131)</f>
        <v>450.6</v>
      </c>
      <c r="P131" s="4">
        <f>SUM(H131:J131)</f>
        <v>475.06000000000006</v>
      </c>
      <c r="Q131" s="4">
        <f>SUM(K131:M131)</f>
        <v>540.08000000000004</v>
      </c>
      <c r="R131" s="4">
        <f>SUM(B131:M131)</f>
        <v>1919.3400000000004</v>
      </c>
    </row>
    <row r="132" spans="1:18" x14ac:dyDescent="0.25">
      <c r="A132" s="5" t="s">
        <v>764</v>
      </c>
      <c r="B132" s="6">
        <f t="shared" ref="B132:M132" si="60">B118-B128</f>
        <v>6.3000000000000007</v>
      </c>
      <c r="C132" s="6">
        <f t="shared" si="60"/>
        <v>8.0999999999999979</v>
      </c>
      <c r="D132" s="6">
        <f t="shared" si="60"/>
        <v>8.6900000000000013</v>
      </c>
      <c r="E132" s="6">
        <f t="shared" si="60"/>
        <v>8.59</v>
      </c>
      <c r="F132" s="6">
        <f t="shared" si="60"/>
        <v>9.139999999999997</v>
      </c>
      <c r="G132" s="6">
        <f t="shared" si="60"/>
        <v>12.030000000000001</v>
      </c>
      <c r="H132" s="6">
        <f t="shared" si="60"/>
        <v>7.59</v>
      </c>
      <c r="I132" s="6">
        <f t="shared" si="60"/>
        <v>6.6900000000000013</v>
      </c>
      <c r="J132" s="6">
        <f t="shared" si="60"/>
        <v>12.200000000000003</v>
      </c>
      <c r="K132" s="6">
        <f t="shared" si="60"/>
        <v>4.59</v>
      </c>
      <c r="L132" s="6">
        <f t="shared" si="60"/>
        <v>4.4399999999999995</v>
      </c>
      <c r="M132" s="6">
        <f t="shared" si="60"/>
        <v>10.07</v>
      </c>
      <c r="N132" s="6">
        <f>SUM(B132:D132)</f>
        <v>23.09</v>
      </c>
      <c r="O132" s="6">
        <f>SUM(E132:G132)</f>
        <v>29.759999999999998</v>
      </c>
      <c r="P132" s="6">
        <f>SUM(H132:J132)</f>
        <v>26.480000000000004</v>
      </c>
      <c r="Q132" s="6">
        <f>SUM(K132:M132)</f>
        <v>19.100000000000001</v>
      </c>
      <c r="R132" s="6">
        <f>SUM(B132:M132)</f>
        <v>98.43</v>
      </c>
    </row>
    <row r="133" spans="1:18" x14ac:dyDescent="0.25">
      <c r="A133" s="21" t="s">
        <v>765</v>
      </c>
      <c r="B133" s="25">
        <f t="shared" ref="B133:M133" si="61">B131+B132</f>
        <v>155.68</v>
      </c>
      <c r="C133" s="25">
        <f t="shared" si="61"/>
        <v>159.02000000000001</v>
      </c>
      <c r="D133" s="25">
        <f t="shared" si="61"/>
        <v>161.99</v>
      </c>
      <c r="E133" s="25">
        <f t="shared" si="61"/>
        <v>157.41</v>
      </c>
      <c r="F133" s="25">
        <f t="shared" si="61"/>
        <v>154.75</v>
      </c>
      <c r="G133" s="25">
        <f t="shared" si="61"/>
        <v>168.20000000000002</v>
      </c>
      <c r="H133" s="25">
        <f t="shared" si="61"/>
        <v>154.39000000000001</v>
      </c>
      <c r="I133" s="25">
        <f t="shared" si="61"/>
        <v>167.53000000000003</v>
      </c>
      <c r="J133" s="25">
        <f t="shared" si="61"/>
        <v>179.62000000000006</v>
      </c>
      <c r="K133" s="25">
        <f t="shared" si="61"/>
        <v>184</v>
      </c>
      <c r="L133" s="25">
        <f t="shared" si="61"/>
        <v>182.12000000000003</v>
      </c>
      <c r="M133" s="25">
        <f t="shared" si="61"/>
        <v>193.05999999999997</v>
      </c>
      <c r="N133" s="25">
        <f>SUM(B133:D133)</f>
        <v>476.69000000000005</v>
      </c>
      <c r="O133" s="25">
        <f>SUM(E133:G133)</f>
        <v>480.36</v>
      </c>
      <c r="P133" s="25">
        <f>SUM(H133:J133)</f>
        <v>501.54000000000013</v>
      </c>
      <c r="Q133" s="25">
        <f>SUM(K133:M133)</f>
        <v>559.17999999999995</v>
      </c>
      <c r="R133" s="25">
        <f>SUM(B133:M133)</f>
        <v>2017.7700000000002</v>
      </c>
    </row>
    <row r="134" spans="1:18" x14ac:dyDescent="0.25">
      <c r="A134" s="3" t="s">
        <v>766</v>
      </c>
      <c r="B134" s="4">
        <v>3.51</v>
      </c>
      <c r="C134" s="4">
        <v>3.56</v>
      </c>
      <c r="D134" s="4">
        <v>3.7</v>
      </c>
      <c r="E134" s="4">
        <v>3.58</v>
      </c>
      <c r="F134" s="4">
        <v>3.61</v>
      </c>
      <c r="G134" s="4">
        <v>3.84</v>
      </c>
      <c r="H134" s="4">
        <v>3.73</v>
      </c>
      <c r="I134" s="4">
        <v>3.97</v>
      </c>
      <c r="J134" s="4">
        <v>4.03</v>
      </c>
      <c r="K134" s="4">
        <v>4.25</v>
      </c>
      <c r="L134" s="4">
        <v>4.26</v>
      </c>
      <c r="M134" s="4">
        <v>4.3</v>
      </c>
      <c r="N134" s="4">
        <f>SUM(B134:D134)</f>
        <v>10.77</v>
      </c>
      <c r="O134" s="4">
        <f>SUM(E134:G134)</f>
        <v>11.03</v>
      </c>
      <c r="P134" s="4">
        <f>SUM(H134:J134)</f>
        <v>11.73</v>
      </c>
      <c r="Q134" s="4">
        <f>SUM(K134:M134)</f>
        <v>12.809999999999999</v>
      </c>
      <c r="R134" s="4">
        <f>SUM(B134:M134)</f>
        <v>46.339999999999996</v>
      </c>
    </row>
    <row r="135" spans="1:18" x14ac:dyDescent="0.25">
      <c r="A135" s="21" t="s">
        <v>767</v>
      </c>
      <c r="B135" s="25">
        <f t="shared" ref="B135:M135" si="62">B133-B134</f>
        <v>152.17000000000002</v>
      </c>
      <c r="C135" s="25">
        <f t="shared" si="62"/>
        <v>155.46</v>
      </c>
      <c r="D135" s="25">
        <f t="shared" si="62"/>
        <v>158.29000000000002</v>
      </c>
      <c r="E135" s="25">
        <f t="shared" si="62"/>
        <v>153.82999999999998</v>
      </c>
      <c r="F135" s="25">
        <f t="shared" si="62"/>
        <v>151.13999999999999</v>
      </c>
      <c r="G135" s="25">
        <f t="shared" si="62"/>
        <v>164.36</v>
      </c>
      <c r="H135" s="25">
        <f t="shared" si="62"/>
        <v>150.66000000000003</v>
      </c>
      <c r="I135" s="25">
        <f t="shared" si="62"/>
        <v>163.56000000000003</v>
      </c>
      <c r="J135" s="25">
        <f t="shared" si="62"/>
        <v>175.59000000000006</v>
      </c>
      <c r="K135" s="25">
        <f t="shared" si="62"/>
        <v>179.75</v>
      </c>
      <c r="L135" s="25">
        <f t="shared" si="62"/>
        <v>177.86000000000004</v>
      </c>
      <c r="M135" s="25">
        <f t="shared" si="62"/>
        <v>188.75999999999996</v>
      </c>
      <c r="N135" s="25">
        <f>SUM(B135:D135)</f>
        <v>465.92</v>
      </c>
      <c r="O135" s="25">
        <f>SUM(E135:G135)</f>
        <v>469.33</v>
      </c>
      <c r="P135" s="25">
        <f>SUM(H135:J135)</f>
        <v>489.81000000000006</v>
      </c>
      <c r="Q135" s="25">
        <f>SUM(K135:M135)</f>
        <v>546.37</v>
      </c>
      <c r="R135" s="25">
        <f>SUM(B135:M135)</f>
        <v>1971.4300000000003</v>
      </c>
    </row>
    <row r="136" spans="1:18" x14ac:dyDescent="0.25">
      <c r="A136" s="5" t="s">
        <v>768</v>
      </c>
      <c r="B136" s="14">
        <f t="shared" ref="B136:R136" si="63">IFERROR(B131/B116,0)</f>
        <v>0.55461498477760451</v>
      </c>
      <c r="C136" s="14">
        <f t="shared" si="63"/>
        <v>0.54389505549949546</v>
      </c>
      <c r="D136" s="14">
        <f t="shared" si="63"/>
        <v>0.55181598934523601</v>
      </c>
      <c r="E136" s="14">
        <f t="shared" si="63"/>
        <v>0.53758624426543367</v>
      </c>
      <c r="F136" s="14">
        <f t="shared" si="63"/>
        <v>0.5449680002994125</v>
      </c>
      <c r="G136" s="14">
        <f t="shared" si="63"/>
        <v>0.54156118875056358</v>
      </c>
      <c r="H136" s="14">
        <f t="shared" si="63"/>
        <v>0.53034682080924855</v>
      </c>
      <c r="I136" s="14">
        <f t="shared" si="63"/>
        <v>0.53807038672554541</v>
      </c>
      <c r="J136" s="14">
        <f t="shared" si="63"/>
        <v>0.54852237730161857</v>
      </c>
      <c r="K136" s="14">
        <f t="shared" si="63"/>
        <v>0.54150066401062413</v>
      </c>
      <c r="L136" s="14">
        <f t="shared" si="63"/>
        <v>0.53560016880689709</v>
      </c>
      <c r="M136" s="14">
        <f t="shared" si="63"/>
        <v>0.55114149750015051</v>
      </c>
      <c r="N136" s="14">
        <f t="shared" si="63"/>
        <v>0.55006487758146083</v>
      </c>
      <c r="O136" s="14">
        <f t="shared" si="63"/>
        <v>0.54133278871682744</v>
      </c>
      <c r="P136" s="14">
        <f t="shared" si="63"/>
        <v>0.53926487615501628</v>
      </c>
      <c r="Q136" s="14">
        <f t="shared" si="63"/>
        <v>0.54275033163162767</v>
      </c>
      <c r="R136" s="14">
        <f t="shared" si="63"/>
        <v>0.54325453433869986</v>
      </c>
    </row>
    <row r="137" spans="1:18" x14ac:dyDescent="0.25">
      <c r="A137" s="3" t="s">
        <v>769</v>
      </c>
      <c r="B137" s="16">
        <f t="shared" ref="B137:R137" si="64">IFERROR(B132/B118,0)</f>
        <v>0.31674208144796384</v>
      </c>
      <c r="C137" s="16">
        <f t="shared" si="64"/>
        <v>0.34019319613607718</v>
      </c>
      <c r="D137" s="16">
        <f t="shared" si="64"/>
        <v>0.27190237797246564</v>
      </c>
      <c r="E137" s="16">
        <f t="shared" si="64"/>
        <v>0.35821517931609675</v>
      </c>
      <c r="F137" s="16">
        <f t="shared" si="64"/>
        <v>0.27332535885167458</v>
      </c>
      <c r="G137" s="16">
        <f t="shared" si="64"/>
        <v>0.35697329376854597</v>
      </c>
      <c r="H137" s="16">
        <f t="shared" si="64"/>
        <v>0.28848346636259981</v>
      </c>
      <c r="I137" s="16">
        <f t="shared" si="64"/>
        <v>0.26558157999206039</v>
      </c>
      <c r="J137" s="16">
        <f t="shared" si="64"/>
        <v>0.33470507544581624</v>
      </c>
      <c r="K137" s="16">
        <f t="shared" si="64"/>
        <v>0.29517684887459805</v>
      </c>
      <c r="L137" s="16">
        <f t="shared" si="64"/>
        <v>0.30204081632653057</v>
      </c>
      <c r="M137" s="16">
        <f t="shared" si="64"/>
        <v>0.33038057742782151</v>
      </c>
      <c r="N137" s="16">
        <f t="shared" si="64"/>
        <v>0.30518107322231036</v>
      </c>
      <c r="O137" s="16">
        <f t="shared" si="64"/>
        <v>0.32660228270412639</v>
      </c>
      <c r="P137" s="16">
        <f t="shared" si="64"/>
        <v>0.30108015918135306</v>
      </c>
      <c r="Q137" s="16">
        <f t="shared" si="64"/>
        <v>0.31450683352544045</v>
      </c>
      <c r="R137" s="16">
        <f t="shared" si="64"/>
        <v>0.31202054143156033</v>
      </c>
    </row>
    <row r="138" spans="1:18" x14ac:dyDescent="0.25">
      <c r="A138" s="5" t="s">
        <v>770</v>
      </c>
      <c r="B138" s="14">
        <f t="shared" ref="B138:R138" si="65">IFERROR(B133/B119,0)</f>
        <v>0.44301528129535306</v>
      </c>
      <c r="C138" s="14">
        <f t="shared" si="65"/>
        <v>0.44654741512454016</v>
      </c>
      <c r="D138" s="14">
        <f t="shared" si="65"/>
        <v>0.43739705683812619</v>
      </c>
      <c r="E138" s="14">
        <f t="shared" si="65"/>
        <v>0.43959450402144773</v>
      </c>
      <c r="F138" s="14">
        <f t="shared" si="65"/>
        <v>0.4283025656638344</v>
      </c>
      <c r="G138" s="14">
        <f t="shared" si="65"/>
        <v>0.43808928478408088</v>
      </c>
      <c r="H138" s="14">
        <f t="shared" si="65"/>
        <v>0.41413626609442061</v>
      </c>
      <c r="I138" s="14">
        <f t="shared" si="65"/>
        <v>0.4215439585325349</v>
      </c>
      <c r="J138" s="14">
        <f t="shared" si="65"/>
        <v>0.44579569145239761</v>
      </c>
      <c r="K138" s="14">
        <f t="shared" si="65"/>
        <v>0.43315520610183855</v>
      </c>
      <c r="L138" s="14">
        <f t="shared" si="65"/>
        <v>0.42735122958513239</v>
      </c>
      <c r="M138" s="14">
        <f t="shared" si="65"/>
        <v>0.44915431682292994</v>
      </c>
      <c r="N138" s="14">
        <f t="shared" si="65"/>
        <v>0.44225184855316513</v>
      </c>
      <c r="O138" s="14">
        <f t="shared" si="65"/>
        <v>0.43537291653449106</v>
      </c>
      <c r="P138" s="14">
        <f t="shared" si="65"/>
        <v>0.42751930715856595</v>
      </c>
      <c r="Q138" s="14">
        <f t="shared" si="65"/>
        <v>0.43659332594200406</v>
      </c>
      <c r="R138" s="14">
        <f t="shared" si="65"/>
        <v>0.43532206285921404</v>
      </c>
    </row>
    <row r="139" spans="1:18" x14ac:dyDescent="0.25">
      <c r="A139" s="18"/>
      <c r="B139" s="18"/>
      <c r="C139" s="18"/>
      <c r="D139" s="18"/>
      <c r="E139" s="18"/>
      <c r="F139" s="18"/>
      <c r="G139" s="18"/>
      <c r="H139" s="18"/>
      <c r="I139" s="18"/>
      <c r="J139" s="18"/>
      <c r="K139" s="18"/>
      <c r="L139" s="18"/>
      <c r="M139" s="18"/>
      <c r="N139" s="18"/>
      <c r="O139" s="18"/>
      <c r="P139" s="18"/>
      <c r="Q139" s="18"/>
      <c r="R139" s="18"/>
    </row>
    <row r="140" spans="1:18" x14ac:dyDescent="0.25">
      <c r="A140" s="12" t="s">
        <v>9</v>
      </c>
      <c r="B140" s="12"/>
      <c r="C140" s="12"/>
      <c r="D140" s="12"/>
      <c r="E140" s="12"/>
      <c r="F140" s="12"/>
      <c r="G140" s="12"/>
      <c r="H140" s="12"/>
      <c r="I140" s="12"/>
      <c r="J140" s="12"/>
      <c r="K140" s="12"/>
      <c r="L140" s="12"/>
      <c r="M140" s="12"/>
      <c r="N140" s="12"/>
      <c r="O140" s="12"/>
      <c r="P140" s="12"/>
      <c r="Q140" s="12"/>
      <c r="R140" s="12"/>
    </row>
    <row r="141" spans="1:18" x14ac:dyDescent="0.25">
      <c r="A141" s="3" t="s">
        <v>771</v>
      </c>
      <c r="B141" s="4">
        <v>48.74</v>
      </c>
      <c r="C141" s="4">
        <v>55.96</v>
      </c>
      <c r="D141" s="4">
        <v>53.56</v>
      </c>
      <c r="E141" s="4">
        <v>55.6</v>
      </c>
      <c r="F141" s="4">
        <v>55.46</v>
      </c>
      <c r="G141" s="4">
        <v>55.02</v>
      </c>
      <c r="H141" s="4">
        <v>55.68</v>
      </c>
      <c r="I141" s="4">
        <v>58</v>
      </c>
      <c r="J141" s="4">
        <v>56.77</v>
      </c>
      <c r="K141" s="4">
        <v>66.39</v>
      </c>
      <c r="L141" s="4">
        <v>66.22</v>
      </c>
      <c r="M141" s="4">
        <v>60.35</v>
      </c>
      <c r="N141" s="4">
        <f>SUM(B141:D141)</f>
        <v>158.26</v>
      </c>
      <c r="O141" s="4">
        <f>SUM(E141:G141)</f>
        <v>166.08</v>
      </c>
      <c r="P141" s="4">
        <f>SUM(H141:J141)</f>
        <v>170.45000000000002</v>
      </c>
      <c r="Q141" s="4">
        <f>SUM(K141:M141)</f>
        <v>192.96</v>
      </c>
      <c r="R141" s="4">
        <f>SUM(B141:M141)</f>
        <v>687.75</v>
      </c>
    </row>
    <row r="142" spans="1:18" x14ac:dyDescent="0.25">
      <c r="A142" s="5" t="s">
        <v>757</v>
      </c>
      <c r="B142" s="6">
        <v>32.409999999999997</v>
      </c>
      <c r="C142" s="6">
        <v>40.07</v>
      </c>
      <c r="D142" s="6">
        <v>40.119999999999997</v>
      </c>
      <c r="E142" s="6">
        <v>38.979999999999997</v>
      </c>
      <c r="F142" s="6">
        <v>38.869999999999997</v>
      </c>
      <c r="G142" s="6">
        <v>37.46</v>
      </c>
      <c r="H142" s="6">
        <v>38.799999999999997</v>
      </c>
      <c r="I142" s="6">
        <v>39.42</v>
      </c>
      <c r="J142" s="6">
        <v>41.48</v>
      </c>
      <c r="K142" s="6">
        <v>48.56</v>
      </c>
      <c r="L142" s="6">
        <v>43.2</v>
      </c>
      <c r="M142" s="6">
        <v>44.09</v>
      </c>
      <c r="N142" s="6">
        <f>SUM(B142:D142)</f>
        <v>112.6</v>
      </c>
      <c r="O142" s="6">
        <f>SUM(E142:G142)</f>
        <v>115.31</v>
      </c>
      <c r="P142" s="6">
        <f>SUM(H142:J142)</f>
        <v>119.69999999999999</v>
      </c>
      <c r="Q142" s="6">
        <f>SUM(K142:M142)</f>
        <v>135.85000000000002</v>
      </c>
      <c r="R142" s="6">
        <f>SUM(B142:M142)</f>
        <v>483.46000000000004</v>
      </c>
    </row>
    <row r="143" spans="1:18" x14ac:dyDescent="0.25">
      <c r="A143" s="3" t="s">
        <v>772</v>
      </c>
      <c r="B143" s="4">
        <v>-16.329999999999998</v>
      </c>
      <c r="C143" s="4">
        <v>-15.89</v>
      </c>
      <c r="D143" s="4">
        <v>-13.44</v>
      </c>
      <c r="E143" s="4">
        <v>-16.62</v>
      </c>
      <c r="F143" s="4">
        <v>-16.59</v>
      </c>
      <c r="G143" s="4">
        <v>-17.559999999999999</v>
      </c>
      <c r="H143" s="4">
        <v>-16.88</v>
      </c>
      <c r="I143" s="4">
        <v>-18.579999999999998</v>
      </c>
      <c r="J143" s="4">
        <v>-15.29</v>
      </c>
      <c r="K143" s="4">
        <v>-17.829999999999998</v>
      </c>
      <c r="L143" s="4">
        <v>-23.02</v>
      </c>
      <c r="M143" s="4">
        <v>-16.260000000000002</v>
      </c>
      <c r="N143" s="4">
        <f>SUM(B143:D143)</f>
        <v>-45.66</v>
      </c>
      <c r="O143" s="4">
        <f>SUM(E143:G143)</f>
        <v>-50.769999999999996</v>
      </c>
      <c r="P143" s="4">
        <f>SUM(H143:J143)</f>
        <v>-50.749999999999993</v>
      </c>
      <c r="Q143" s="4">
        <f>SUM(K143:M143)</f>
        <v>-57.11</v>
      </c>
      <c r="R143" s="4">
        <f>SUM(B143:M143)</f>
        <v>-204.29</v>
      </c>
    </row>
    <row r="144" spans="1:18" x14ac:dyDescent="0.25">
      <c r="A144" s="5" t="s">
        <v>43</v>
      </c>
      <c r="B144" s="6">
        <v>16.45</v>
      </c>
      <c r="C144" s="6">
        <v>19.16</v>
      </c>
      <c r="D144" s="6">
        <v>20.18</v>
      </c>
      <c r="E144" s="6">
        <v>18.829999999999998</v>
      </c>
      <c r="F144" s="6">
        <v>19.12</v>
      </c>
      <c r="G144" s="6">
        <v>18.45</v>
      </c>
      <c r="H144" s="6">
        <v>18.36</v>
      </c>
      <c r="I144" s="6">
        <v>18.96</v>
      </c>
      <c r="J144" s="6">
        <v>18.61</v>
      </c>
      <c r="K144" s="6">
        <v>20.03</v>
      </c>
      <c r="L144" s="6">
        <v>21.41</v>
      </c>
      <c r="M144" s="6">
        <v>20.32</v>
      </c>
      <c r="N144" s="6">
        <f>SUM(B144:D144)</f>
        <v>55.79</v>
      </c>
      <c r="O144" s="6">
        <f>SUM(E144:G144)</f>
        <v>56.400000000000006</v>
      </c>
      <c r="P144" s="6">
        <f>SUM(H144:J144)</f>
        <v>55.93</v>
      </c>
      <c r="Q144" s="6">
        <f>SUM(K144:M144)</f>
        <v>61.76</v>
      </c>
      <c r="R144" s="6">
        <f>SUM(B144:M144)</f>
        <v>229.88</v>
      </c>
    </row>
    <row r="145" spans="1:18" x14ac:dyDescent="0.25">
      <c r="A145" s="18"/>
      <c r="B145" s="18"/>
      <c r="C145" s="18"/>
      <c r="D145" s="18"/>
      <c r="E145" s="18"/>
      <c r="F145" s="18"/>
      <c r="G145" s="18"/>
      <c r="H145" s="18"/>
      <c r="I145" s="18"/>
      <c r="J145" s="18"/>
      <c r="K145" s="18"/>
      <c r="L145" s="18"/>
      <c r="M145" s="18"/>
      <c r="N145" s="18"/>
      <c r="O145" s="18"/>
      <c r="P145" s="18"/>
      <c r="Q145" s="18"/>
      <c r="R145" s="18"/>
    </row>
    <row r="146" spans="1:18" x14ac:dyDescent="0.25">
      <c r="A146" s="21" t="s">
        <v>745</v>
      </c>
      <c r="B146" s="25">
        <f t="shared" ref="B146:M146" si="66">B133-B141-B144</f>
        <v>90.49</v>
      </c>
      <c r="C146" s="25">
        <f t="shared" si="66"/>
        <v>83.9</v>
      </c>
      <c r="D146" s="25">
        <f t="shared" si="66"/>
        <v>88.25</v>
      </c>
      <c r="E146" s="25">
        <f t="shared" si="66"/>
        <v>82.98</v>
      </c>
      <c r="F146" s="25">
        <f t="shared" si="66"/>
        <v>80.169999999999987</v>
      </c>
      <c r="G146" s="25">
        <f t="shared" si="66"/>
        <v>94.73</v>
      </c>
      <c r="H146" s="25">
        <f t="shared" si="66"/>
        <v>80.350000000000009</v>
      </c>
      <c r="I146" s="25">
        <f t="shared" si="66"/>
        <v>90.570000000000022</v>
      </c>
      <c r="J146" s="25">
        <f t="shared" si="66"/>
        <v>104.24000000000005</v>
      </c>
      <c r="K146" s="25">
        <f t="shared" si="66"/>
        <v>97.58</v>
      </c>
      <c r="L146" s="25">
        <f t="shared" si="66"/>
        <v>94.490000000000038</v>
      </c>
      <c r="M146" s="25">
        <f t="shared" si="66"/>
        <v>112.38999999999999</v>
      </c>
      <c r="N146" s="25">
        <f>SUM(B146:D146)</f>
        <v>262.64</v>
      </c>
      <c r="O146" s="25">
        <f>SUM(E146:G146)</f>
        <v>257.88</v>
      </c>
      <c r="P146" s="25">
        <f>SUM(H146:J146)</f>
        <v>275.16000000000008</v>
      </c>
      <c r="Q146" s="25">
        <f>SUM(K146:M146)</f>
        <v>304.46000000000004</v>
      </c>
      <c r="R146" s="25">
        <f>SUM(B146:M146)</f>
        <v>1100.1400000000001</v>
      </c>
    </row>
    <row r="147" spans="1:18" x14ac:dyDescent="0.25">
      <c r="A147" s="3" t="s">
        <v>746</v>
      </c>
      <c r="B147" s="16">
        <f t="shared" ref="B147:R147" si="67">IFERROR(B146/B119,0)</f>
        <v>0.25750547793176065</v>
      </c>
      <c r="C147" s="16">
        <f t="shared" si="67"/>
        <v>0.23560135913060573</v>
      </c>
      <c r="D147" s="16">
        <f t="shared" si="67"/>
        <v>0.23828810584582155</v>
      </c>
      <c r="E147" s="16">
        <f t="shared" si="67"/>
        <v>0.2317359249329759</v>
      </c>
      <c r="F147" s="16">
        <f t="shared" si="67"/>
        <v>0.22188702222468237</v>
      </c>
      <c r="G147" s="16">
        <f t="shared" si="67"/>
        <v>0.24673126009272284</v>
      </c>
      <c r="H147" s="16">
        <f t="shared" si="67"/>
        <v>0.21553111587982834</v>
      </c>
      <c r="I147" s="16">
        <f t="shared" si="67"/>
        <v>0.22789492224850288</v>
      </c>
      <c r="J147" s="16">
        <f t="shared" si="67"/>
        <v>0.25871140673086479</v>
      </c>
      <c r="K147" s="16">
        <f t="shared" si="67"/>
        <v>0.22971350549683373</v>
      </c>
      <c r="L147" s="16">
        <f t="shared" si="67"/>
        <v>0.22172423502909713</v>
      </c>
      <c r="M147" s="16">
        <f t="shared" si="67"/>
        <v>0.26147546704511082</v>
      </c>
      <c r="N147" s="16">
        <f t="shared" si="67"/>
        <v>0.24366574818855707</v>
      </c>
      <c r="O147" s="16">
        <f t="shared" si="67"/>
        <v>0.23372880280605079</v>
      </c>
      <c r="P147" s="16">
        <f t="shared" si="67"/>
        <v>0.23455001108137141</v>
      </c>
      <c r="Q147" s="16">
        <f t="shared" si="67"/>
        <v>0.23771451771576699</v>
      </c>
      <c r="R147" s="16">
        <f t="shared" si="67"/>
        <v>0.23734876335456259</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4472C4"/>
  </sheetPr>
  <dimension ref="A1:E37"/>
  <sheetViews>
    <sheetView showGridLines="0" zoomScaleNormal="100" workbookViewId="0">
      <pane ySplit="4" topLeftCell="A5" activePane="bottomLeft" state="frozen"/>
      <selection pane="bottomLeft" activeCell="I13" sqref="I13"/>
    </sheetView>
  </sheetViews>
  <sheetFormatPr defaultColWidth="8.5703125" defaultRowHeight="15" x14ac:dyDescent="0.25"/>
  <cols>
    <col min="1" max="1" width="38" customWidth="1"/>
    <col min="2" max="5" width="22" customWidth="1"/>
  </cols>
  <sheetData>
    <row r="1" spans="1:5" ht="15.6" customHeight="1" x14ac:dyDescent="0.25">
      <c r="A1" s="9" t="s">
        <v>561</v>
      </c>
      <c r="E1" s="10" t="s">
        <v>562</v>
      </c>
    </row>
    <row r="2" spans="1:5" ht="15.75" customHeight="1" x14ac:dyDescent="0.25">
      <c r="A2" s="11" t="s">
        <v>727</v>
      </c>
    </row>
    <row r="4" spans="1:5" x14ac:dyDescent="0.25">
      <c r="A4" s="1" t="s">
        <v>734</v>
      </c>
      <c r="B4" s="2" t="s">
        <v>25</v>
      </c>
      <c r="C4" s="2" t="s">
        <v>36</v>
      </c>
      <c r="D4" s="2" t="s">
        <v>16</v>
      </c>
      <c r="E4" s="2" t="s">
        <v>773</v>
      </c>
    </row>
    <row r="5" spans="1:5" x14ac:dyDescent="0.25">
      <c r="A5" s="12" t="s">
        <v>602</v>
      </c>
      <c r="B5" s="12"/>
      <c r="C5" s="12"/>
      <c r="D5" s="12"/>
      <c r="E5" s="12"/>
    </row>
    <row r="6" spans="1:5" x14ac:dyDescent="0.25">
      <c r="A6" s="3" t="s">
        <v>619</v>
      </c>
      <c r="B6" s="4">
        <f>'Functional P&amp;L - Monthly Trend'!B8</f>
        <v>4040.8</v>
      </c>
      <c r="C6" s="4">
        <f>'Functional P&amp;L - Monthly Trend'!B44</f>
        <v>2046.95</v>
      </c>
      <c r="D6" s="4">
        <f>'Functional P&amp;L - Monthly Trend'!B80</f>
        <v>642.02</v>
      </c>
      <c r="E6" s="4">
        <f>SUM(B6:D6)</f>
        <v>6729.77</v>
      </c>
    </row>
    <row r="7" spans="1:5" x14ac:dyDescent="0.25">
      <c r="A7" s="5" t="s">
        <v>760</v>
      </c>
      <c r="B7" s="6">
        <f>'Functional P&amp;L - Monthly Trend'!B9</f>
        <v>1010.1</v>
      </c>
      <c r="C7" s="6">
        <f>'Functional P&amp;L - Monthly Trend'!B45</f>
        <v>496.93</v>
      </c>
      <c r="D7" s="6">
        <f>'Functional P&amp;L - Monthly Trend'!B81</f>
        <v>149.16</v>
      </c>
      <c r="E7" s="6">
        <f>SUM(B7:D7)</f>
        <v>1656.19</v>
      </c>
    </row>
    <row r="8" spans="1:5" x14ac:dyDescent="0.25">
      <c r="A8" s="3" t="s">
        <v>625</v>
      </c>
      <c r="B8" s="4">
        <f>'Functional P&amp;L - Monthly Trend'!B10</f>
        <v>317.61</v>
      </c>
      <c r="C8" s="4">
        <f>'Functional P&amp;L - Monthly Trend'!B46</f>
        <v>101.1</v>
      </c>
      <c r="D8" s="4">
        <f>'Functional P&amp;L - Monthly Trend'!B82</f>
        <v>68.39</v>
      </c>
      <c r="E8" s="4">
        <f>SUM(B8:D8)</f>
        <v>487.1</v>
      </c>
    </row>
    <row r="9" spans="1:5" x14ac:dyDescent="0.25">
      <c r="A9" s="21" t="s">
        <v>602</v>
      </c>
      <c r="B9" s="25">
        <f>'Functional P&amp;L - Monthly Trend'!B11</f>
        <v>5368.51</v>
      </c>
      <c r="C9" s="25">
        <f>'Functional P&amp;L - Monthly Trend'!B47</f>
        <v>2644.98</v>
      </c>
      <c r="D9" s="25">
        <f>'Functional P&amp;L - Monthly Trend'!B83</f>
        <v>859.56999999999994</v>
      </c>
      <c r="E9" s="25">
        <f>SUM(B9:D9)</f>
        <v>8873.06</v>
      </c>
    </row>
    <row r="10" spans="1:5" x14ac:dyDescent="0.25">
      <c r="A10" s="18"/>
      <c r="B10" s="18"/>
      <c r="C10" s="18"/>
      <c r="D10" s="18"/>
      <c r="E10" s="18"/>
    </row>
    <row r="11" spans="1:5" x14ac:dyDescent="0.25">
      <c r="A11" s="12" t="s">
        <v>742</v>
      </c>
      <c r="B11" s="12"/>
      <c r="C11" s="12"/>
      <c r="D11" s="12"/>
      <c r="E11" s="12"/>
    </row>
    <row r="12" spans="1:5" x14ac:dyDescent="0.25">
      <c r="A12" s="5" t="s">
        <v>21</v>
      </c>
      <c r="B12" s="6">
        <f>'Functional P&amp;L - Monthly Trend'!B14</f>
        <v>726.3</v>
      </c>
      <c r="C12" s="6">
        <f>'Functional P&amp;L - Monthly Trend'!B50</f>
        <v>119.74</v>
      </c>
      <c r="D12" s="6">
        <f>'Functional P&amp;L - Monthly Trend'!B86</f>
        <v>140.04</v>
      </c>
      <c r="E12" s="6">
        <f t="shared" ref="E12:E19" si="0">SUM(B12:D12)</f>
        <v>986.07999999999993</v>
      </c>
    </row>
    <row r="13" spans="1:5" x14ac:dyDescent="0.25">
      <c r="A13" s="3" t="s">
        <v>56</v>
      </c>
      <c r="B13" s="4">
        <f>'Functional P&amp;L - Monthly Trend'!B15</f>
        <v>162.53</v>
      </c>
      <c r="C13" s="4">
        <f>'Functional P&amp;L - Monthly Trend'!B51</f>
        <v>38.99</v>
      </c>
      <c r="D13" s="4">
        <f>'Functional P&amp;L - Monthly Trend'!B87</f>
        <v>31.06</v>
      </c>
      <c r="E13" s="4">
        <f t="shared" si="0"/>
        <v>232.58</v>
      </c>
    </row>
    <row r="14" spans="1:5" x14ac:dyDescent="0.25">
      <c r="A14" s="5" t="s">
        <v>54</v>
      </c>
      <c r="B14" s="6">
        <f>'Functional P&amp;L - Monthly Trend'!B16</f>
        <v>234.14</v>
      </c>
      <c r="C14" s="6">
        <f>'Functional P&amp;L - Monthly Trend'!B52</f>
        <v>59.7</v>
      </c>
      <c r="D14" s="6">
        <f>'Functional P&amp;L - Monthly Trend'!B88</f>
        <v>53.37</v>
      </c>
      <c r="E14" s="6">
        <f t="shared" si="0"/>
        <v>347.21</v>
      </c>
    </row>
    <row r="15" spans="1:5" x14ac:dyDescent="0.25">
      <c r="A15" s="3" t="s">
        <v>15</v>
      </c>
      <c r="B15" s="4">
        <f>'Functional P&amp;L - Monthly Trend'!B17</f>
        <v>120.24</v>
      </c>
      <c r="C15" s="4">
        <f>'Functional P&amp;L - Monthly Trend'!B53</f>
        <v>41.52</v>
      </c>
      <c r="D15" s="4">
        <f>'Functional P&amp;L - Monthly Trend'!B89</f>
        <v>39.549999999999997</v>
      </c>
      <c r="E15" s="4">
        <f t="shared" si="0"/>
        <v>201.31</v>
      </c>
    </row>
    <row r="16" spans="1:5" x14ac:dyDescent="0.25">
      <c r="A16" s="5" t="s">
        <v>40</v>
      </c>
      <c r="B16" s="6">
        <f>'Functional P&amp;L - Monthly Trend'!B18</f>
        <v>19.34</v>
      </c>
      <c r="C16" s="6">
        <f>'Functional P&amp;L - Monthly Trend'!B54</f>
        <v>6.28</v>
      </c>
      <c r="D16" s="6">
        <f>'Functional P&amp;L - Monthly Trend'!B90</f>
        <v>6.55</v>
      </c>
      <c r="E16" s="6">
        <f t="shared" si="0"/>
        <v>32.17</v>
      </c>
    </row>
    <row r="17" spans="1:5" x14ac:dyDescent="0.25">
      <c r="A17" s="21" t="s">
        <v>761</v>
      </c>
      <c r="B17" s="25">
        <f>'Functional P&amp;L - Monthly Trend'!B19</f>
        <v>1262.5499999999997</v>
      </c>
      <c r="C17" s="25">
        <f>'Functional P&amp;L - Monthly Trend'!B55</f>
        <v>266.22999999999996</v>
      </c>
      <c r="D17" s="25">
        <f>'Functional P&amp;L - Monthly Trend'!B91</f>
        <v>270.57</v>
      </c>
      <c r="E17" s="25">
        <f t="shared" si="0"/>
        <v>1799.3499999999997</v>
      </c>
    </row>
    <row r="18" spans="1:5" x14ac:dyDescent="0.25">
      <c r="A18" s="3" t="s">
        <v>762</v>
      </c>
      <c r="B18" s="4">
        <f>'Functional P&amp;L - Monthly Trend'!B20</f>
        <v>186.35</v>
      </c>
      <c r="C18" s="4">
        <f>'Functional P&amp;L - Monthly Trend'!B56</f>
        <v>42.4</v>
      </c>
      <c r="D18" s="4">
        <f>'Functional P&amp;L - Monthly Trend'!B92</f>
        <v>43.39</v>
      </c>
      <c r="E18" s="4">
        <f t="shared" si="0"/>
        <v>272.14</v>
      </c>
    </row>
    <row r="19" spans="1:5" x14ac:dyDescent="0.25">
      <c r="A19" s="21" t="s">
        <v>742</v>
      </c>
      <c r="B19" s="25">
        <f>'Functional P&amp;L - Monthly Trend'!B21</f>
        <v>1448.8999999999996</v>
      </c>
      <c r="C19" s="25">
        <f>'Functional P&amp;L - Monthly Trend'!B57</f>
        <v>308.62999999999994</v>
      </c>
      <c r="D19" s="25">
        <f>'Functional P&amp;L - Monthly Trend'!B93</f>
        <v>313.95999999999998</v>
      </c>
      <c r="E19" s="25">
        <f t="shared" si="0"/>
        <v>2071.4899999999993</v>
      </c>
    </row>
    <row r="20" spans="1:5" x14ac:dyDescent="0.25">
      <c r="A20" s="18"/>
      <c r="B20" s="18"/>
      <c r="C20" s="18"/>
      <c r="D20" s="18"/>
      <c r="E20" s="18"/>
    </row>
    <row r="21" spans="1:5" x14ac:dyDescent="0.25">
      <c r="A21" s="5" t="s">
        <v>763</v>
      </c>
      <c r="B21" s="6">
        <f>'Functional P&amp;L - Monthly Trend'!B23</f>
        <v>2778.2500000000005</v>
      </c>
      <c r="C21" s="6">
        <f>'Functional P&amp;L - Monthly Trend'!B59</f>
        <v>1780.72</v>
      </c>
      <c r="D21" s="6">
        <f>'Functional P&amp;L - Monthly Trend'!B95</f>
        <v>371.45</v>
      </c>
      <c r="E21" s="6">
        <f>SUM(B21:D21)</f>
        <v>4930.42</v>
      </c>
    </row>
    <row r="22" spans="1:5" x14ac:dyDescent="0.25">
      <c r="A22" s="3" t="s">
        <v>764</v>
      </c>
      <c r="B22" s="4">
        <f>'Functional P&amp;L - Monthly Trend'!B24</f>
        <v>131.26000000000002</v>
      </c>
      <c r="C22" s="4">
        <f>'Functional P&amp;L - Monthly Trend'!B60</f>
        <v>58.699999999999996</v>
      </c>
      <c r="D22" s="4">
        <f>'Functional P&amp;L - Monthly Trend'!B96</f>
        <v>25</v>
      </c>
      <c r="E22" s="4">
        <f>SUM(B22:D22)</f>
        <v>214.96</v>
      </c>
    </row>
    <row r="23" spans="1:5" x14ac:dyDescent="0.25">
      <c r="A23" s="21" t="s">
        <v>765</v>
      </c>
      <c r="B23" s="25">
        <f>'Functional P&amp;L - Monthly Trend'!B25</f>
        <v>2909.5100000000007</v>
      </c>
      <c r="C23" s="25">
        <f>'Functional P&amp;L - Monthly Trend'!B61</f>
        <v>1839.42</v>
      </c>
      <c r="D23" s="25">
        <f>'Functional P&amp;L - Monthly Trend'!B97</f>
        <v>396.45</v>
      </c>
      <c r="E23" s="25">
        <f>SUM(B23:D23)</f>
        <v>5145.38</v>
      </c>
    </row>
    <row r="24" spans="1:5" x14ac:dyDescent="0.25">
      <c r="A24" s="5" t="s">
        <v>766</v>
      </c>
      <c r="B24" s="6">
        <f>'Functional P&amp;L - Monthly Trend'!B26</f>
        <v>53.69</v>
      </c>
      <c r="C24" s="6">
        <f>'Functional P&amp;L - Monthly Trend'!B62</f>
        <v>26.45</v>
      </c>
      <c r="D24" s="6">
        <f>'Functional P&amp;L - Monthly Trend'!B98</f>
        <v>8.6</v>
      </c>
      <c r="E24" s="6">
        <f>SUM(B24:D24)</f>
        <v>88.74</v>
      </c>
    </row>
    <row r="25" spans="1:5" x14ac:dyDescent="0.25">
      <c r="A25" s="21" t="s">
        <v>767</v>
      </c>
      <c r="B25" s="25">
        <f>'Functional P&amp;L - Monthly Trend'!B27</f>
        <v>2855.8200000000006</v>
      </c>
      <c r="C25" s="25">
        <f>'Functional P&amp;L - Monthly Trend'!B63</f>
        <v>1812.97</v>
      </c>
      <c r="D25" s="25">
        <f>'Functional P&amp;L - Monthly Trend'!B99</f>
        <v>387.84999999999997</v>
      </c>
      <c r="E25" s="25">
        <f>SUM(B25:D25)</f>
        <v>5056.6400000000012</v>
      </c>
    </row>
    <row r="26" spans="1:5" x14ac:dyDescent="0.25">
      <c r="A26" s="3" t="s">
        <v>768</v>
      </c>
      <c r="B26" s="16">
        <f>'Functional P&amp;L - Monthly Trend'!B28</f>
        <v>0.68754949514947539</v>
      </c>
      <c r="C26" s="16">
        <f>'Functional P&amp;L - Monthly Trend'!B64</f>
        <v>0.86993820073768291</v>
      </c>
      <c r="D26" s="16">
        <f>'Functional P&amp;L - Monthly Trend'!B100</f>
        <v>0.57856453069997815</v>
      </c>
      <c r="E26" s="16">
        <f>IFERROR(E21/E6,0)</f>
        <v>0.73262830676234103</v>
      </c>
    </row>
    <row r="27" spans="1:5" x14ac:dyDescent="0.25">
      <c r="A27" s="5" t="s">
        <v>769</v>
      </c>
      <c r="B27" s="14">
        <f>'Functional P&amp;L - Monthly Trend'!B29</f>
        <v>0.41327414124240425</v>
      </c>
      <c r="C27" s="14">
        <f>'Functional P&amp;L - Monthly Trend'!B65</f>
        <v>0.58061325420375864</v>
      </c>
      <c r="D27" s="14">
        <f>'Functional P&amp;L - Monthly Trend'!B101</f>
        <v>0.36555051908173708</v>
      </c>
      <c r="E27" s="14">
        <f>IFERROR(E22/E8,0)</f>
        <v>0.44130568671730652</v>
      </c>
    </row>
    <row r="28" spans="1:5" x14ac:dyDescent="0.25">
      <c r="A28" s="3" t="s">
        <v>770</v>
      </c>
      <c r="B28" s="16">
        <f>'Functional P&amp;L - Monthly Trend'!B30</f>
        <v>0.5419585695099759</v>
      </c>
      <c r="C28" s="16">
        <f>'Functional P&amp;L - Monthly Trend'!B66</f>
        <v>0.69543815076106441</v>
      </c>
      <c r="D28" s="16">
        <f>'Functional P&amp;L - Monthly Trend'!B102</f>
        <v>0.46121898158381519</v>
      </c>
      <c r="E28" s="16">
        <f>IFERROR(E23/E9,0)</f>
        <v>0.57988788535184033</v>
      </c>
    </row>
    <row r="29" spans="1:5" x14ac:dyDescent="0.25">
      <c r="A29" s="18"/>
      <c r="B29" s="18"/>
      <c r="C29" s="18"/>
      <c r="D29" s="18"/>
      <c r="E29" s="18"/>
    </row>
    <row r="30" spans="1:5" x14ac:dyDescent="0.25">
      <c r="A30" s="12" t="s">
        <v>9</v>
      </c>
      <c r="B30" s="12"/>
      <c r="C30" s="12"/>
      <c r="D30" s="12"/>
      <c r="E30" s="12"/>
    </row>
    <row r="31" spans="1:5" x14ac:dyDescent="0.25">
      <c r="A31" s="5" t="s">
        <v>771</v>
      </c>
      <c r="B31" s="6">
        <f>'Functional P&amp;L - Monthly Trend'!B33</f>
        <v>443.47</v>
      </c>
      <c r="C31" s="6">
        <f>'Functional P&amp;L - Monthly Trend'!B69</f>
        <v>135.86000000000001</v>
      </c>
      <c r="D31" s="6">
        <f>'Functional P&amp;L - Monthly Trend'!B105</f>
        <v>94.99</v>
      </c>
      <c r="E31" s="6">
        <f>SUM(B31:D31)</f>
        <v>674.32</v>
      </c>
    </row>
    <row r="32" spans="1:5" x14ac:dyDescent="0.25">
      <c r="A32" s="3" t="s">
        <v>757</v>
      </c>
      <c r="B32" s="4">
        <f>'Functional P&amp;L - Monthly Trend'!B34</f>
        <v>305.48</v>
      </c>
      <c r="C32" s="4">
        <f>'Functional P&amp;L - Monthly Trend'!B70</f>
        <v>96.95</v>
      </c>
      <c r="D32" s="4">
        <f>'Functional P&amp;L - Monthly Trend'!B106</f>
        <v>67.900000000000006</v>
      </c>
      <c r="E32" s="4">
        <f>SUM(B32:D32)</f>
        <v>470.33000000000004</v>
      </c>
    </row>
    <row r="33" spans="1:5" x14ac:dyDescent="0.25">
      <c r="A33" s="5" t="s">
        <v>772</v>
      </c>
      <c r="B33" s="6">
        <f>'Functional P&amp;L - Monthly Trend'!B35</f>
        <v>-137.99</v>
      </c>
      <c r="C33" s="6">
        <f>'Functional P&amp;L - Monthly Trend'!B71</f>
        <v>-38.909999999999997</v>
      </c>
      <c r="D33" s="6">
        <f>'Functional P&amp;L - Monthly Trend'!B107</f>
        <v>-27.09</v>
      </c>
      <c r="E33" s="6">
        <f>SUM(B33:D33)</f>
        <v>-203.99</v>
      </c>
    </row>
    <row r="34" spans="1:5" x14ac:dyDescent="0.25">
      <c r="A34" s="3" t="s">
        <v>43</v>
      </c>
      <c r="B34" s="4">
        <f>'Functional P&amp;L - Monthly Trend'!B36</f>
        <v>176.75</v>
      </c>
      <c r="C34" s="4">
        <f>'Functional P&amp;L - Monthly Trend'!B72</f>
        <v>48.35</v>
      </c>
      <c r="D34" s="4">
        <f>'Functional P&amp;L - Monthly Trend'!B108</f>
        <v>36.130000000000003</v>
      </c>
      <c r="E34" s="4">
        <f>SUM(B34:D34)</f>
        <v>261.23</v>
      </c>
    </row>
    <row r="35" spans="1:5" x14ac:dyDescent="0.25">
      <c r="A35" s="18"/>
      <c r="B35" s="18"/>
      <c r="C35" s="18"/>
      <c r="D35" s="18"/>
      <c r="E35" s="18"/>
    </row>
    <row r="36" spans="1:5" x14ac:dyDescent="0.25">
      <c r="A36" s="21" t="s">
        <v>745</v>
      </c>
      <c r="B36" s="25">
        <f>'Functional P&amp;L - Monthly Trend'!B38</f>
        <v>2289.2900000000009</v>
      </c>
      <c r="C36" s="25">
        <f>'Functional P&amp;L - Monthly Trend'!B74</f>
        <v>1655.21</v>
      </c>
      <c r="D36" s="25">
        <f>'Functional P&amp;L - Monthly Trend'!B110</f>
        <v>265.33</v>
      </c>
      <c r="E36" s="25">
        <f>SUM(B36:D36)</f>
        <v>4209.8300000000008</v>
      </c>
    </row>
    <row r="37" spans="1:5" x14ac:dyDescent="0.25">
      <c r="A37" s="5" t="s">
        <v>746</v>
      </c>
      <c r="B37" s="14">
        <f>'Functional P&amp;L - Monthly Trend'!B39</f>
        <v>0.42642930720069455</v>
      </c>
      <c r="C37" s="14">
        <f>'Functional P&amp;L - Monthly Trend'!B75</f>
        <v>0.62579301166738499</v>
      </c>
      <c r="D37" s="14">
        <f>'Functional P&amp;L - Monthly Trend'!B111</f>
        <v>0.3086775946112591</v>
      </c>
      <c r="E37" s="14">
        <f>IFERROR(E36/E9,0)</f>
        <v>0.47445075317872315</v>
      </c>
    </row>
  </sheetData>
  <conditionalFormatting sqref="B28:E28">
    <cfRule type="cellIs" dxfId="6" priority="2" operator="lessThan">
      <formula>0</formula>
    </cfRule>
  </conditionalFormatting>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rgb="FF4472C4"/>
  </sheetPr>
  <dimension ref="A1:E37"/>
  <sheetViews>
    <sheetView showGridLines="0" zoomScaleNormal="100" workbookViewId="0">
      <pane ySplit="4" topLeftCell="A5" activePane="bottomLeft" state="frozen"/>
      <selection pane="bottomLeft"/>
    </sheetView>
  </sheetViews>
  <sheetFormatPr defaultColWidth="8.5703125" defaultRowHeight="15" x14ac:dyDescent="0.25"/>
  <cols>
    <col min="1" max="1" width="38" customWidth="1"/>
    <col min="2" max="5" width="22" customWidth="1"/>
  </cols>
  <sheetData>
    <row r="1" spans="1:5" ht="15.6" customHeight="1" x14ac:dyDescent="0.25">
      <c r="A1" s="9" t="s">
        <v>561</v>
      </c>
      <c r="E1" s="10" t="s">
        <v>562</v>
      </c>
    </row>
    <row r="2" spans="1:5" ht="15.75" customHeight="1" x14ac:dyDescent="0.25">
      <c r="A2" s="11" t="s">
        <v>728</v>
      </c>
    </row>
    <row r="4" spans="1:5" x14ac:dyDescent="0.25">
      <c r="A4" s="1" t="s">
        <v>734</v>
      </c>
      <c r="B4" s="2" t="s">
        <v>25</v>
      </c>
      <c r="C4" s="2" t="s">
        <v>36</v>
      </c>
      <c r="D4" s="2" t="s">
        <v>16</v>
      </c>
      <c r="E4" s="2" t="s">
        <v>773</v>
      </c>
    </row>
    <row r="5" spans="1:5" x14ac:dyDescent="0.25">
      <c r="A5" s="12" t="s">
        <v>602</v>
      </c>
      <c r="B5" s="12"/>
      <c r="C5" s="12"/>
      <c r="D5" s="12"/>
      <c r="E5" s="12"/>
    </row>
    <row r="6" spans="1:5" x14ac:dyDescent="0.25">
      <c r="A6" s="3" t="s">
        <v>619</v>
      </c>
      <c r="B6" s="4">
        <f>'Functional P&amp;L - Monthly Trend'!C8</f>
        <v>4245.3</v>
      </c>
      <c r="C6" s="4">
        <f>'Functional P&amp;L - Monthly Trend'!C44</f>
        <v>1980.7</v>
      </c>
      <c r="D6" s="4">
        <f>'Functional P&amp;L - Monthly Trend'!C80</f>
        <v>646.87</v>
      </c>
      <c r="E6" s="4">
        <f>SUM(B6:D6)</f>
        <v>6872.87</v>
      </c>
    </row>
    <row r="7" spans="1:5" x14ac:dyDescent="0.25">
      <c r="A7" s="5" t="s">
        <v>760</v>
      </c>
      <c r="B7" s="6">
        <f>'Functional P&amp;L - Monthly Trend'!C9</f>
        <v>880.75</v>
      </c>
      <c r="C7" s="6">
        <f>'Functional P&amp;L - Monthly Trend'!C45</f>
        <v>457.06</v>
      </c>
      <c r="D7" s="6">
        <f>'Functional P&amp;L - Monthly Trend'!C81</f>
        <v>138.54</v>
      </c>
      <c r="E7" s="6">
        <f>SUM(B7:D7)</f>
        <v>1476.35</v>
      </c>
    </row>
    <row r="8" spans="1:5" x14ac:dyDescent="0.25">
      <c r="A8" s="3" t="s">
        <v>625</v>
      </c>
      <c r="B8" s="4">
        <f>'Functional P&amp;L - Monthly Trend'!C10</f>
        <v>360.3</v>
      </c>
      <c r="C8" s="4">
        <f>'Functional P&amp;L - Monthly Trend'!C46</f>
        <v>259.70999999999998</v>
      </c>
      <c r="D8" s="4">
        <f>'Functional P&amp;L - Monthly Trend'!C82</f>
        <v>86.96</v>
      </c>
      <c r="E8" s="4">
        <f>SUM(B8:D8)</f>
        <v>706.97</v>
      </c>
    </row>
    <row r="9" spans="1:5" x14ac:dyDescent="0.25">
      <c r="A9" s="21" t="s">
        <v>602</v>
      </c>
      <c r="B9" s="25">
        <f>'Functional P&amp;L - Monthly Trend'!C11</f>
        <v>5486.35</v>
      </c>
      <c r="C9" s="25">
        <f>'Functional P&amp;L - Monthly Trend'!C47</f>
        <v>2697.4700000000003</v>
      </c>
      <c r="D9" s="25">
        <f>'Functional P&amp;L - Monthly Trend'!C83</f>
        <v>872.37</v>
      </c>
      <c r="E9" s="25">
        <f>SUM(B9:D9)</f>
        <v>9056.19</v>
      </c>
    </row>
    <row r="10" spans="1:5" x14ac:dyDescent="0.25">
      <c r="A10" s="18"/>
      <c r="B10" s="18"/>
      <c r="C10" s="18"/>
      <c r="D10" s="18"/>
      <c r="E10" s="18"/>
    </row>
    <row r="11" spans="1:5" x14ac:dyDescent="0.25">
      <c r="A11" s="12" t="s">
        <v>742</v>
      </c>
      <c r="B11" s="12"/>
      <c r="C11" s="12"/>
      <c r="D11" s="12"/>
      <c r="E11" s="12"/>
    </row>
    <row r="12" spans="1:5" x14ac:dyDescent="0.25">
      <c r="A12" s="5" t="s">
        <v>21</v>
      </c>
      <c r="B12" s="6">
        <f>'Functional P&amp;L - Monthly Trend'!C14</f>
        <v>742.28</v>
      </c>
      <c r="C12" s="6">
        <f>'Functional P&amp;L - Monthly Trend'!C50</f>
        <v>114.12</v>
      </c>
      <c r="D12" s="6">
        <f>'Functional P&amp;L - Monthly Trend'!C86</f>
        <v>144.16</v>
      </c>
      <c r="E12" s="6">
        <f t="shared" ref="E12:E19" si="0">SUM(B12:D12)</f>
        <v>1000.56</v>
      </c>
    </row>
    <row r="13" spans="1:5" x14ac:dyDescent="0.25">
      <c r="A13" s="3" t="s">
        <v>56</v>
      </c>
      <c r="B13" s="4">
        <f>'Functional P&amp;L - Monthly Trend'!C15</f>
        <v>173.52</v>
      </c>
      <c r="C13" s="4">
        <f>'Functional P&amp;L - Monthly Trend'!C51</f>
        <v>40.549999999999997</v>
      </c>
      <c r="D13" s="4">
        <f>'Functional P&amp;L - Monthly Trend'!C87</f>
        <v>33.82</v>
      </c>
      <c r="E13" s="4">
        <f t="shared" si="0"/>
        <v>247.89</v>
      </c>
    </row>
    <row r="14" spans="1:5" x14ac:dyDescent="0.25">
      <c r="A14" s="5" t="s">
        <v>54</v>
      </c>
      <c r="B14" s="6">
        <f>'Functional P&amp;L - Monthly Trend'!C16</f>
        <v>266.45</v>
      </c>
      <c r="C14" s="6">
        <f>'Functional P&amp;L - Monthly Trend'!C52</f>
        <v>61.3</v>
      </c>
      <c r="D14" s="6">
        <f>'Functional P&amp;L - Monthly Trend'!C88</f>
        <v>52.33</v>
      </c>
      <c r="E14" s="6">
        <f t="shared" si="0"/>
        <v>380.08</v>
      </c>
    </row>
    <row r="15" spans="1:5" x14ac:dyDescent="0.25">
      <c r="A15" s="3" t="s">
        <v>15</v>
      </c>
      <c r="B15" s="4">
        <f>'Functional P&amp;L - Monthly Trend'!C17</f>
        <v>128.41999999999999</v>
      </c>
      <c r="C15" s="4">
        <f>'Functional P&amp;L - Monthly Trend'!C53</f>
        <v>39.22</v>
      </c>
      <c r="D15" s="4">
        <f>'Functional P&amp;L - Monthly Trend'!C89</f>
        <v>38.89</v>
      </c>
      <c r="E15" s="4">
        <f t="shared" si="0"/>
        <v>206.52999999999997</v>
      </c>
    </row>
    <row r="16" spans="1:5" x14ac:dyDescent="0.25">
      <c r="A16" s="5" t="s">
        <v>40</v>
      </c>
      <c r="B16" s="6">
        <f>'Functional P&amp;L - Monthly Trend'!C18</f>
        <v>21.14</v>
      </c>
      <c r="C16" s="6">
        <f>'Functional P&amp;L - Monthly Trend'!C54</f>
        <v>5.83</v>
      </c>
      <c r="D16" s="6">
        <f>'Functional P&amp;L - Monthly Trend'!C90</f>
        <v>6.19</v>
      </c>
      <c r="E16" s="6">
        <f t="shared" si="0"/>
        <v>33.159999999999997</v>
      </c>
    </row>
    <row r="17" spans="1:5" x14ac:dyDescent="0.25">
      <c r="A17" s="21" t="s">
        <v>761</v>
      </c>
      <c r="B17" s="25">
        <f>'Functional P&amp;L - Monthly Trend'!C19</f>
        <v>1331.8100000000002</v>
      </c>
      <c r="C17" s="25">
        <f>'Functional P&amp;L - Monthly Trend'!C55</f>
        <v>261.02000000000004</v>
      </c>
      <c r="D17" s="25">
        <f>'Functional P&amp;L - Monthly Trend'!C91</f>
        <v>275.39</v>
      </c>
      <c r="E17" s="25">
        <f t="shared" si="0"/>
        <v>1868.2200000000003</v>
      </c>
    </row>
    <row r="18" spans="1:5" x14ac:dyDescent="0.25">
      <c r="A18" s="3" t="s">
        <v>762</v>
      </c>
      <c r="B18" s="4">
        <f>'Functional P&amp;L - Monthly Trend'!C20</f>
        <v>204.27</v>
      </c>
      <c r="C18" s="4">
        <f>'Functional P&amp;L - Monthly Trend'!C56</f>
        <v>107.3</v>
      </c>
      <c r="D18" s="4">
        <f>'Functional P&amp;L - Monthly Trend'!C92</f>
        <v>60.52</v>
      </c>
      <c r="E18" s="4">
        <f t="shared" si="0"/>
        <v>372.09</v>
      </c>
    </row>
    <row r="19" spans="1:5" x14ac:dyDescent="0.25">
      <c r="A19" s="21" t="s">
        <v>742</v>
      </c>
      <c r="B19" s="25">
        <f>'Functional P&amp;L - Monthly Trend'!C21</f>
        <v>1536.0800000000002</v>
      </c>
      <c r="C19" s="25">
        <f>'Functional P&amp;L - Monthly Trend'!C57</f>
        <v>368.32000000000005</v>
      </c>
      <c r="D19" s="25">
        <f>'Functional P&amp;L - Monthly Trend'!C93</f>
        <v>335.90999999999997</v>
      </c>
      <c r="E19" s="25">
        <f t="shared" si="0"/>
        <v>2240.31</v>
      </c>
    </row>
    <row r="20" spans="1:5" x14ac:dyDescent="0.25">
      <c r="A20" s="18"/>
      <c r="B20" s="18"/>
      <c r="C20" s="18"/>
      <c r="D20" s="18"/>
      <c r="E20" s="18"/>
    </row>
    <row r="21" spans="1:5" x14ac:dyDescent="0.25">
      <c r="A21" s="5" t="s">
        <v>763</v>
      </c>
      <c r="B21" s="6">
        <f>'Functional P&amp;L - Monthly Trend'!C23</f>
        <v>2913.49</v>
      </c>
      <c r="C21" s="6">
        <f>'Functional P&amp;L - Monthly Trend'!C59</f>
        <v>1719.68</v>
      </c>
      <c r="D21" s="6">
        <f>'Functional P&amp;L - Monthly Trend'!C95</f>
        <v>371.48</v>
      </c>
      <c r="E21" s="6">
        <f>SUM(B21:D21)</f>
        <v>5004.6499999999996</v>
      </c>
    </row>
    <row r="22" spans="1:5" x14ac:dyDescent="0.25">
      <c r="A22" s="3" t="s">
        <v>764</v>
      </c>
      <c r="B22" s="4">
        <f>'Functional P&amp;L - Monthly Trend'!C24</f>
        <v>156.03</v>
      </c>
      <c r="C22" s="4">
        <f>'Functional P&amp;L - Monthly Trend'!C60</f>
        <v>152.40999999999997</v>
      </c>
      <c r="D22" s="4">
        <f>'Functional P&amp;L - Monthly Trend'!C96</f>
        <v>26.439999999999991</v>
      </c>
      <c r="E22" s="4">
        <f>SUM(B22:D22)</f>
        <v>334.87999999999994</v>
      </c>
    </row>
    <row r="23" spans="1:5" x14ac:dyDescent="0.25">
      <c r="A23" s="21" t="s">
        <v>765</v>
      </c>
      <c r="B23" s="25">
        <f>'Functional P&amp;L - Monthly Trend'!C25</f>
        <v>3069.52</v>
      </c>
      <c r="C23" s="25">
        <f>'Functional P&amp;L - Monthly Trend'!C61</f>
        <v>1872.0900000000001</v>
      </c>
      <c r="D23" s="25">
        <f>'Functional P&amp;L - Monthly Trend'!C97</f>
        <v>397.92</v>
      </c>
      <c r="E23" s="25">
        <f>SUM(B23:D23)</f>
        <v>5339.5300000000007</v>
      </c>
    </row>
    <row r="24" spans="1:5" x14ac:dyDescent="0.25">
      <c r="A24" s="5" t="s">
        <v>766</v>
      </c>
      <c r="B24" s="6">
        <f>'Functional P&amp;L - Monthly Trend'!C26</f>
        <v>54.86</v>
      </c>
      <c r="C24" s="6">
        <f>'Functional P&amp;L - Monthly Trend'!C62</f>
        <v>26.97</v>
      </c>
      <c r="D24" s="6">
        <f>'Functional P&amp;L - Monthly Trend'!C98</f>
        <v>8.7200000000000006</v>
      </c>
      <c r="E24" s="6">
        <f>SUM(B24:D24)</f>
        <v>90.55</v>
      </c>
    </row>
    <row r="25" spans="1:5" x14ac:dyDescent="0.25">
      <c r="A25" s="21" t="s">
        <v>767</v>
      </c>
      <c r="B25" s="25">
        <f>'Functional P&amp;L - Monthly Trend'!C27</f>
        <v>3014.66</v>
      </c>
      <c r="C25" s="25">
        <f>'Functional P&amp;L - Monthly Trend'!C63</f>
        <v>1845.1200000000001</v>
      </c>
      <c r="D25" s="25">
        <f>'Functional P&amp;L - Monthly Trend'!C99</f>
        <v>389.2</v>
      </c>
      <c r="E25" s="25">
        <f>SUM(B25:D25)</f>
        <v>5248.98</v>
      </c>
    </row>
    <row r="26" spans="1:5" x14ac:dyDescent="0.25">
      <c r="A26" s="3" t="s">
        <v>768</v>
      </c>
      <c r="B26" s="16">
        <f>'Functional P&amp;L - Monthly Trend'!C28</f>
        <v>0.68628601041151382</v>
      </c>
      <c r="C26" s="16">
        <f>'Functional P&amp;L - Monthly Trend'!C64</f>
        <v>0.86821830665926192</v>
      </c>
      <c r="D26" s="16">
        <f>'Functional P&amp;L - Monthly Trend'!C100</f>
        <v>0.5742730378592299</v>
      </c>
      <c r="E26" s="16">
        <f>IFERROR(E21/E6,0)</f>
        <v>0.72817469266841939</v>
      </c>
    </row>
    <row r="27" spans="1:5" x14ac:dyDescent="0.25">
      <c r="A27" s="5" t="s">
        <v>769</v>
      </c>
      <c r="B27" s="14">
        <f>'Functional P&amp;L - Monthly Trend'!C29</f>
        <v>0.43305578684429641</v>
      </c>
      <c r="C27" s="14">
        <f>'Functional P&amp;L - Monthly Trend'!C65</f>
        <v>0.58684686766008232</v>
      </c>
      <c r="D27" s="14">
        <f>'Functional P&amp;L - Monthly Trend'!C101</f>
        <v>0.30404783808647645</v>
      </c>
      <c r="E27" s="14">
        <f>IFERROR(E22/E8,0)</f>
        <v>0.47368346605938005</v>
      </c>
    </row>
    <row r="28" spans="1:5" x14ac:dyDescent="0.25">
      <c r="A28" s="3" t="s">
        <v>770</v>
      </c>
      <c r="B28" s="16">
        <f>'Functional P&amp;L - Monthly Trend'!C30</f>
        <v>0.55948308073673747</v>
      </c>
      <c r="C28" s="16">
        <f>'Functional P&amp;L - Monthly Trend'!C66</f>
        <v>0.69401698628715058</v>
      </c>
      <c r="D28" s="16">
        <f>'Functional P&amp;L - Monthly Trend'!C102</f>
        <v>0.45613673097424262</v>
      </c>
      <c r="E28" s="16">
        <f>IFERROR(E23/E9,0)</f>
        <v>0.5896000415185636</v>
      </c>
    </row>
    <row r="29" spans="1:5" x14ac:dyDescent="0.25">
      <c r="A29" s="18"/>
      <c r="B29" s="18"/>
      <c r="C29" s="18"/>
      <c r="D29" s="18"/>
      <c r="E29" s="18"/>
    </row>
    <row r="30" spans="1:5" x14ac:dyDescent="0.25">
      <c r="A30" s="12" t="s">
        <v>9</v>
      </c>
      <c r="B30" s="12"/>
      <c r="C30" s="12"/>
      <c r="D30" s="12"/>
      <c r="E30" s="12"/>
    </row>
    <row r="31" spans="1:5" x14ac:dyDescent="0.25">
      <c r="A31" s="5" t="s">
        <v>771</v>
      </c>
      <c r="B31" s="6">
        <f>'Functional P&amp;L - Monthly Trend'!C33</f>
        <v>404.34</v>
      </c>
      <c r="C31" s="6">
        <f>'Functional P&amp;L - Monthly Trend'!C69</f>
        <v>131.21</v>
      </c>
      <c r="D31" s="6">
        <f>'Functional P&amp;L - Monthly Trend'!C105</f>
        <v>112.28</v>
      </c>
      <c r="E31" s="6">
        <f>SUM(B31:D31)</f>
        <v>647.82999999999993</v>
      </c>
    </row>
    <row r="32" spans="1:5" x14ac:dyDescent="0.25">
      <c r="A32" s="3" t="s">
        <v>757</v>
      </c>
      <c r="B32" s="4">
        <f>'Functional P&amp;L - Monthly Trend'!C34</f>
        <v>270.22000000000003</v>
      </c>
      <c r="C32" s="4">
        <f>'Functional P&amp;L - Monthly Trend'!C70</f>
        <v>94.29</v>
      </c>
      <c r="D32" s="4">
        <f>'Functional P&amp;L - Monthly Trend'!C106</f>
        <v>79.510000000000005</v>
      </c>
      <c r="E32" s="4">
        <f>SUM(B32:D32)</f>
        <v>444.02000000000004</v>
      </c>
    </row>
    <row r="33" spans="1:5" x14ac:dyDescent="0.25">
      <c r="A33" s="5" t="s">
        <v>772</v>
      </c>
      <c r="B33" s="6">
        <f>'Functional P&amp;L - Monthly Trend'!C35</f>
        <v>-134.12</v>
      </c>
      <c r="C33" s="6">
        <f>'Functional P&amp;L - Monthly Trend'!C71</f>
        <v>-36.92</v>
      </c>
      <c r="D33" s="6">
        <f>'Functional P&amp;L - Monthly Trend'!C107</f>
        <v>-32.770000000000003</v>
      </c>
      <c r="E33" s="6">
        <f>SUM(B33:D33)</f>
        <v>-203.81000000000003</v>
      </c>
    </row>
    <row r="34" spans="1:5" x14ac:dyDescent="0.25">
      <c r="A34" s="3" t="s">
        <v>43</v>
      </c>
      <c r="B34" s="4">
        <f>'Functional P&amp;L - Monthly Trend'!C36</f>
        <v>157.99</v>
      </c>
      <c r="C34" s="4">
        <f>'Functional P&amp;L - Monthly Trend'!C72</f>
        <v>57.7</v>
      </c>
      <c r="D34" s="4">
        <f>'Functional P&amp;L - Monthly Trend'!C108</f>
        <v>36.619999999999997</v>
      </c>
      <c r="E34" s="4">
        <f>SUM(B34:D34)</f>
        <v>252.31</v>
      </c>
    </row>
    <row r="35" spans="1:5" x14ac:dyDescent="0.25">
      <c r="A35" s="18"/>
      <c r="B35" s="18"/>
      <c r="C35" s="18"/>
      <c r="D35" s="18"/>
      <c r="E35" s="18"/>
    </row>
    <row r="36" spans="1:5" x14ac:dyDescent="0.25">
      <c r="A36" s="21" t="s">
        <v>745</v>
      </c>
      <c r="B36" s="25">
        <f>'Functional P&amp;L - Monthly Trend'!C38</f>
        <v>2507.1899999999996</v>
      </c>
      <c r="C36" s="25">
        <f>'Functional P&amp;L - Monthly Trend'!C74</f>
        <v>1683.18</v>
      </c>
      <c r="D36" s="25">
        <f>'Functional P&amp;L - Monthly Trend'!C110</f>
        <v>249.01999999999998</v>
      </c>
      <c r="E36" s="25">
        <f>SUM(B36:D36)</f>
        <v>4439.3899999999994</v>
      </c>
    </row>
    <row r="37" spans="1:5" x14ac:dyDescent="0.25">
      <c r="A37" s="5" t="s">
        <v>746</v>
      </c>
      <c r="B37" s="14">
        <f>'Functional P&amp;L - Monthly Trend'!C39</f>
        <v>0.45698688563434697</v>
      </c>
      <c r="C37" s="14">
        <f>'Functional P&amp;L - Monthly Trend'!C75</f>
        <v>0.6239846967714191</v>
      </c>
      <c r="D37" s="14">
        <f>'Functional P&amp;L - Monthly Trend'!C111</f>
        <v>0.28545227369120896</v>
      </c>
      <c r="E37" s="14">
        <f>IFERROR(E36/E9,0)</f>
        <v>0.49020504207619309</v>
      </c>
    </row>
  </sheetData>
  <conditionalFormatting sqref="B28:E28">
    <cfRule type="cellIs" dxfId="5" priority="2" operator="lessThan">
      <formula>0</formula>
    </cfRule>
  </conditionalFormatting>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4472C4"/>
  </sheetPr>
  <dimension ref="A1:E37"/>
  <sheetViews>
    <sheetView showGridLines="0" zoomScaleNormal="100" workbookViewId="0">
      <pane ySplit="4" topLeftCell="A5" activePane="bottomLeft" state="frozen"/>
      <selection pane="bottomLeft"/>
    </sheetView>
  </sheetViews>
  <sheetFormatPr defaultColWidth="8.5703125" defaultRowHeight="15" x14ac:dyDescent="0.25"/>
  <cols>
    <col min="1" max="1" width="38" customWidth="1"/>
    <col min="2" max="5" width="22" customWidth="1"/>
  </cols>
  <sheetData>
    <row r="1" spans="1:5" ht="15.6" customHeight="1" x14ac:dyDescent="0.25">
      <c r="A1" s="9" t="s">
        <v>561</v>
      </c>
      <c r="E1" s="10" t="s">
        <v>562</v>
      </c>
    </row>
    <row r="2" spans="1:5" ht="15.75" customHeight="1" x14ac:dyDescent="0.25">
      <c r="A2" s="11" t="s">
        <v>729</v>
      </c>
    </row>
    <row r="4" spans="1:5" x14ac:dyDescent="0.25">
      <c r="A4" s="1" t="s">
        <v>734</v>
      </c>
      <c r="B4" s="2" t="s">
        <v>25</v>
      </c>
      <c r="C4" s="2" t="s">
        <v>36</v>
      </c>
      <c r="D4" s="2" t="s">
        <v>16</v>
      </c>
      <c r="E4" s="2" t="s">
        <v>773</v>
      </c>
    </row>
    <row r="5" spans="1:5" x14ac:dyDescent="0.25">
      <c r="A5" s="12" t="s">
        <v>602</v>
      </c>
      <c r="B5" s="12"/>
      <c r="C5" s="12"/>
      <c r="D5" s="12"/>
      <c r="E5" s="12"/>
    </row>
    <row r="6" spans="1:5" x14ac:dyDescent="0.25">
      <c r="A6" s="3" t="s">
        <v>619</v>
      </c>
      <c r="B6" s="4">
        <f>'Functional P&amp;L - Monthly Trend'!D8</f>
        <v>4346.38</v>
      </c>
      <c r="C6" s="4">
        <f>'Functional P&amp;L - Monthly Trend'!D44</f>
        <v>1979.69</v>
      </c>
      <c r="D6" s="4">
        <f>'Functional P&amp;L - Monthly Trend'!D80</f>
        <v>636.13</v>
      </c>
      <c r="E6" s="4">
        <f>SUM(B6:D6)</f>
        <v>6962.2</v>
      </c>
    </row>
    <row r="7" spans="1:5" x14ac:dyDescent="0.25">
      <c r="A7" s="5" t="s">
        <v>760</v>
      </c>
      <c r="B7" s="6">
        <f>'Functional P&amp;L - Monthly Trend'!D9</f>
        <v>904.62</v>
      </c>
      <c r="C7" s="6">
        <f>'Functional P&amp;L - Monthly Trend'!D45</f>
        <v>486.98</v>
      </c>
      <c r="D7" s="6">
        <f>'Functional P&amp;L - Monthly Trend'!D81</f>
        <v>151.97</v>
      </c>
      <c r="E7" s="6">
        <f>SUM(B7:D7)</f>
        <v>1543.57</v>
      </c>
    </row>
    <row r="8" spans="1:5" x14ac:dyDescent="0.25">
      <c r="A8" s="3" t="s">
        <v>625</v>
      </c>
      <c r="B8" s="4">
        <f>'Functional P&amp;L - Monthly Trend'!D10</f>
        <v>505.57</v>
      </c>
      <c r="C8" s="4">
        <f>'Functional P&amp;L - Monthly Trend'!D46</f>
        <v>232.43</v>
      </c>
      <c r="D8" s="4">
        <f>'Functional P&amp;L - Monthly Trend'!D82</f>
        <v>79.09</v>
      </c>
      <c r="E8" s="4">
        <f>SUM(B8:D8)</f>
        <v>817.09</v>
      </c>
    </row>
    <row r="9" spans="1:5" x14ac:dyDescent="0.25">
      <c r="A9" s="21" t="s">
        <v>602</v>
      </c>
      <c r="B9" s="25">
        <f>'Functional P&amp;L - Monthly Trend'!D11</f>
        <v>5756.57</v>
      </c>
      <c r="C9" s="25">
        <f>'Functional P&amp;L - Monthly Trend'!D47</f>
        <v>2699.1</v>
      </c>
      <c r="D9" s="25">
        <f>'Functional P&amp;L - Monthly Trend'!D83</f>
        <v>867.19</v>
      </c>
      <c r="E9" s="25">
        <f>SUM(B9:D9)</f>
        <v>9322.86</v>
      </c>
    </row>
    <row r="10" spans="1:5" x14ac:dyDescent="0.25">
      <c r="A10" s="18"/>
      <c r="B10" s="18"/>
      <c r="C10" s="18"/>
      <c r="D10" s="18"/>
      <c r="E10" s="18"/>
    </row>
    <row r="11" spans="1:5" x14ac:dyDescent="0.25">
      <c r="A11" s="12" t="s">
        <v>742</v>
      </c>
      <c r="B11" s="12"/>
      <c r="C11" s="12"/>
      <c r="D11" s="12"/>
      <c r="E11" s="12"/>
    </row>
    <row r="12" spans="1:5" x14ac:dyDescent="0.25">
      <c r="A12" s="5" t="s">
        <v>21</v>
      </c>
      <c r="B12" s="6">
        <f>'Functional P&amp;L - Monthly Trend'!D14</f>
        <v>774.61</v>
      </c>
      <c r="C12" s="6">
        <f>'Functional P&amp;L - Monthly Trend'!D50</f>
        <v>122.11</v>
      </c>
      <c r="D12" s="6">
        <f>'Functional P&amp;L - Monthly Trend'!D86</f>
        <v>135.66999999999999</v>
      </c>
      <c r="E12" s="6">
        <f t="shared" ref="E12:E19" si="0">SUM(B12:D12)</f>
        <v>1032.3900000000001</v>
      </c>
    </row>
    <row r="13" spans="1:5" x14ac:dyDescent="0.25">
      <c r="A13" s="3" t="s">
        <v>56</v>
      </c>
      <c r="B13" s="4">
        <f>'Functional P&amp;L - Monthly Trend'!D15</f>
        <v>167.85</v>
      </c>
      <c r="C13" s="4">
        <f>'Functional P&amp;L - Monthly Trend'!D51</f>
        <v>38.93</v>
      </c>
      <c r="D13" s="4">
        <f>'Functional P&amp;L - Monthly Trend'!D87</f>
        <v>31.86</v>
      </c>
      <c r="E13" s="4">
        <f t="shared" si="0"/>
        <v>238.64</v>
      </c>
    </row>
    <row r="14" spans="1:5" x14ac:dyDescent="0.25">
      <c r="A14" s="5" t="s">
        <v>54</v>
      </c>
      <c r="B14" s="6">
        <f>'Functional P&amp;L - Monthly Trend'!D16</f>
        <v>249.83</v>
      </c>
      <c r="C14" s="6">
        <f>'Functional P&amp;L - Monthly Trend'!D52</f>
        <v>59.15</v>
      </c>
      <c r="D14" s="6">
        <f>'Functional P&amp;L - Monthly Trend'!D88</f>
        <v>52.01</v>
      </c>
      <c r="E14" s="6">
        <f t="shared" si="0"/>
        <v>360.99</v>
      </c>
    </row>
    <row r="15" spans="1:5" x14ac:dyDescent="0.25">
      <c r="A15" s="3" t="s">
        <v>15</v>
      </c>
      <c r="B15" s="4">
        <f>'Functional P&amp;L - Monthly Trend'!D17</f>
        <v>130.69</v>
      </c>
      <c r="C15" s="4">
        <f>'Functional P&amp;L - Monthly Trend'!D53</f>
        <v>41.5</v>
      </c>
      <c r="D15" s="4">
        <f>'Functional P&amp;L - Monthly Trend'!D89</f>
        <v>38.65</v>
      </c>
      <c r="E15" s="4">
        <f t="shared" si="0"/>
        <v>210.84</v>
      </c>
    </row>
    <row r="16" spans="1:5" x14ac:dyDescent="0.25">
      <c r="A16" s="5" t="s">
        <v>40</v>
      </c>
      <c r="B16" s="6">
        <f>'Functional P&amp;L - Monthly Trend'!D18</f>
        <v>22.82</v>
      </c>
      <c r="C16" s="6">
        <f>'Functional P&amp;L - Monthly Trend'!D54</f>
        <v>6</v>
      </c>
      <c r="D16" s="6">
        <f>'Functional P&amp;L - Monthly Trend'!D90</f>
        <v>6.3</v>
      </c>
      <c r="E16" s="6">
        <f t="shared" si="0"/>
        <v>35.119999999999997</v>
      </c>
    </row>
    <row r="17" spans="1:5" x14ac:dyDescent="0.25">
      <c r="A17" s="21" t="s">
        <v>761</v>
      </c>
      <c r="B17" s="25">
        <f>'Functional P&amp;L - Monthly Trend'!D19</f>
        <v>1345.8</v>
      </c>
      <c r="C17" s="25">
        <f>'Functional P&amp;L - Monthly Trend'!D55</f>
        <v>267.69</v>
      </c>
      <c r="D17" s="25">
        <f>'Functional P&amp;L - Monthly Trend'!D91</f>
        <v>264.48999999999995</v>
      </c>
      <c r="E17" s="25">
        <f t="shared" si="0"/>
        <v>1877.98</v>
      </c>
    </row>
    <row r="18" spans="1:5" x14ac:dyDescent="0.25">
      <c r="A18" s="3" t="s">
        <v>762</v>
      </c>
      <c r="B18" s="4">
        <f>'Functional P&amp;L - Monthly Trend'!D20</f>
        <v>287.14999999999998</v>
      </c>
      <c r="C18" s="4">
        <f>'Functional P&amp;L - Monthly Trend'!D56</f>
        <v>97.06</v>
      </c>
      <c r="D18" s="4">
        <f>'Functional P&amp;L - Monthly Trend'!D92</f>
        <v>51.88</v>
      </c>
      <c r="E18" s="4">
        <f t="shared" si="0"/>
        <v>436.09</v>
      </c>
    </row>
    <row r="19" spans="1:5" x14ac:dyDescent="0.25">
      <c r="A19" s="21" t="s">
        <v>742</v>
      </c>
      <c r="B19" s="25">
        <f>'Functional P&amp;L - Monthly Trend'!D21</f>
        <v>1632.9499999999998</v>
      </c>
      <c r="C19" s="25">
        <f>'Functional P&amp;L - Monthly Trend'!D57</f>
        <v>364.75</v>
      </c>
      <c r="D19" s="25">
        <f>'Functional P&amp;L - Monthly Trend'!D93</f>
        <v>316.36999999999995</v>
      </c>
      <c r="E19" s="25">
        <f t="shared" si="0"/>
        <v>2314.0699999999997</v>
      </c>
    </row>
    <row r="20" spans="1:5" x14ac:dyDescent="0.25">
      <c r="A20" s="18"/>
      <c r="B20" s="18"/>
      <c r="C20" s="18"/>
      <c r="D20" s="18"/>
      <c r="E20" s="18"/>
    </row>
    <row r="21" spans="1:5" x14ac:dyDescent="0.25">
      <c r="A21" s="5" t="s">
        <v>763</v>
      </c>
      <c r="B21" s="6">
        <f>'Functional P&amp;L - Monthly Trend'!D23</f>
        <v>3000.58</v>
      </c>
      <c r="C21" s="6">
        <f>'Functional P&amp;L - Monthly Trend'!D59</f>
        <v>1712</v>
      </c>
      <c r="D21" s="6">
        <f>'Functional P&amp;L - Monthly Trend'!D95</f>
        <v>371.64000000000004</v>
      </c>
      <c r="E21" s="6">
        <f>SUM(B21:D21)</f>
        <v>5084.22</v>
      </c>
    </row>
    <row r="22" spans="1:5" x14ac:dyDescent="0.25">
      <c r="A22" s="3" t="s">
        <v>764</v>
      </c>
      <c r="B22" s="4">
        <f>'Functional P&amp;L - Monthly Trend'!D24</f>
        <v>218.42000000000002</v>
      </c>
      <c r="C22" s="4">
        <f>'Functional P&amp;L - Monthly Trend'!D60</f>
        <v>135.37</v>
      </c>
      <c r="D22" s="4">
        <f>'Functional P&amp;L - Monthly Trend'!D96</f>
        <v>27.21</v>
      </c>
      <c r="E22" s="4">
        <f>SUM(B22:D22)</f>
        <v>381</v>
      </c>
    </row>
    <row r="23" spans="1:5" x14ac:dyDescent="0.25">
      <c r="A23" s="21" t="s">
        <v>765</v>
      </c>
      <c r="B23" s="25">
        <f>'Functional P&amp;L - Monthly Trend'!D25</f>
        <v>3219</v>
      </c>
      <c r="C23" s="25">
        <f>'Functional P&amp;L - Monthly Trend'!D61</f>
        <v>1847.37</v>
      </c>
      <c r="D23" s="25">
        <f>'Functional P&amp;L - Monthly Trend'!D97</f>
        <v>398.85</v>
      </c>
      <c r="E23" s="25">
        <f>SUM(B23:D23)</f>
        <v>5465.22</v>
      </c>
    </row>
    <row r="24" spans="1:5" x14ac:dyDescent="0.25">
      <c r="A24" s="5" t="s">
        <v>766</v>
      </c>
      <c r="B24" s="6">
        <f>'Functional P&amp;L - Monthly Trend'!D26</f>
        <v>57.57</v>
      </c>
      <c r="C24" s="6">
        <f>'Functional P&amp;L - Monthly Trend'!D62</f>
        <v>26.99</v>
      </c>
      <c r="D24" s="6">
        <f>'Functional P&amp;L - Monthly Trend'!D98</f>
        <v>8.67</v>
      </c>
      <c r="E24" s="6">
        <f>SUM(B24:D24)</f>
        <v>93.23</v>
      </c>
    </row>
    <row r="25" spans="1:5" x14ac:dyDescent="0.25">
      <c r="A25" s="21" t="s">
        <v>767</v>
      </c>
      <c r="B25" s="25">
        <f>'Functional P&amp;L - Monthly Trend'!D27</f>
        <v>3161.43</v>
      </c>
      <c r="C25" s="25">
        <f>'Functional P&amp;L - Monthly Trend'!D63</f>
        <v>1820.3799999999999</v>
      </c>
      <c r="D25" s="25">
        <f>'Functional P&amp;L - Monthly Trend'!D99</f>
        <v>390.18</v>
      </c>
      <c r="E25" s="25">
        <f>SUM(B25:D25)</f>
        <v>5371.99</v>
      </c>
    </row>
    <row r="26" spans="1:5" x14ac:dyDescent="0.25">
      <c r="A26" s="3" t="s">
        <v>768</v>
      </c>
      <c r="B26" s="16">
        <f>'Functional P&amp;L - Monthly Trend'!D28</f>
        <v>0.6903630147387021</v>
      </c>
      <c r="C26" s="16">
        <f>'Functional P&amp;L - Monthly Trend'!D64</f>
        <v>0.86478185978612809</v>
      </c>
      <c r="D26" s="16">
        <f>'Functional P&amp;L - Monthly Trend'!D100</f>
        <v>0.58422020656155194</v>
      </c>
      <c r="E26" s="16">
        <f>IFERROR(E21/E6,0)</f>
        <v>0.73026054982620436</v>
      </c>
    </row>
    <row r="27" spans="1:5" x14ac:dyDescent="0.25">
      <c r="A27" s="5" t="s">
        <v>769</v>
      </c>
      <c r="B27" s="14">
        <f>'Functional P&amp;L - Monthly Trend'!D29</f>
        <v>0.43202721680479461</v>
      </c>
      <c r="C27" s="14">
        <f>'Functional P&amp;L - Monthly Trend'!D65</f>
        <v>0.58241190896183792</v>
      </c>
      <c r="D27" s="14">
        <f>'Functional P&amp;L - Monthly Trend'!D101</f>
        <v>0.34403843722341637</v>
      </c>
      <c r="E27" s="14">
        <f>IFERROR(E22/E8,0)</f>
        <v>0.46628890330318568</v>
      </c>
    </row>
    <row r="28" spans="1:5" x14ac:dyDescent="0.25">
      <c r="A28" s="3" t="s">
        <v>770</v>
      </c>
      <c r="B28" s="16">
        <f>'Functional P&amp;L - Monthly Trend'!D30</f>
        <v>0.5591871548508921</v>
      </c>
      <c r="C28" s="16">
        <f>'Functional P&amp;L - Monthly Trend'!D66</f>
        <v>0.68443925753028789</v>
      </c>
      <c r="D28" s="16">
        <f>'Functional P&amp;L - Monthly Trend'!D102</f>
        <v>0.45993380919982935</v>
      </c>
      <c r="E28" s="16">
        <f>IFERROR(E23/E9,0)</f>
        <v>0.58621710505145419</v>
      </c>
    </row>
    <row r="29" spans="1:5" x14ac:dyDescent="0.25">
      <c r="A29" s="18"/>
      <c r="B29" s="18"/>
      <c r="C29" s="18"/>
      <c r="D29" s="18"/>
      <c r="E29" s="18"/>
    </row>
    <row r="30" spans="1:5" x14ac:dyDescent="0.25">
      <c r="A30" s="12" t="s">
        <v>9</v>
      </c>
      <c r="B30" s="12"/>
      <c r="C30" s="12"/>
      <c r="D30" s="12"/>
      <c r="E30" s="12"/>
    </row>
    <row r="31" spans="1:5" x14ac:dyDescent="0.25">
      <c r="A31" s="5" t="s">
        <v>771</v>
      </c>
      <c r="B31" s="6">
        <f>'Functional P&amp;L - Monthly Trend'!D33</f>
        <v>492.87</v>
      </c>
      <c r="C31" s="6">
        <f>'Functional P&amp;L - Monthly Trend'!D69</f>
        <v>130.63999999999999</v>
      </c>
      <c r="D31" s="6">
        <f>'Functional P&amp;L - Monthly Trend'!D105</f>
        <v>105.78</v>
      </c>
      <c r="E31" s="6">
        <f>SUM(B31:D31)</f>
        <v>729.29</v>
      </c>
    </row>
    <row r="32" spans="1:5" x14ac:dyDescent="0.25">
      <c r="A32" s="3" t="s">
        <v>757</v>
      </c>
      <c r="B32" s="4">
        <f>'Functional P&amp;L - Monthly Trend'!D34</f>
        <v>363.03</v>
      </c>
      <c r="C32" s="4">
        <f>'Functional P&amp;L - Monthly Trend'!D70</f>
        <v>93.94</v>
      </c>
      <c r="D32" s="4">
        <f>'Functional P&amp;L - Monthly Trend'!D106</f>
        <v>77</v>
      </c>
      <c r="E32" s="4">
        <f>SUM(B32:D32)</f>
        <v>533.97</v>
      </c>
    </row>
    <row r="33" spans="1:5" x14ac:dyDescent="0.25">
      <c r="A33" s="5" t="s">
        <v>772</v>
      </c>
      <c r="B33" s="6">
        <f>'Functional P&amp;L - Monthly Trend'!D35</f>
        <v>-129.84</v>
      </c>
      <c r="C33" s="6">
        <f>'Functional P&amp;L - Monthly Trend'!D71</f>
        <v>-36.700000000000003</v>
      </c>
      <c r="D33" s="6">
        <f>'Functional P&amp;L - Monthly Trend'!D107</f>
        <v>-28.78</v>
      </c>
      <c r="E33" s="6">
        <f>SUM(B33:D33)</f>
        <v>-195.32000000000002</v>
      </c>
    </row>
    <row r="34" spans="1:5" x14ac:dyDescent="0.25">
      <c r="A34" s="3" t="s">
        <v>43</v>
      </c>
      <c r="B34" s="4">
        <f>'Functional P&amp;L - Monthly Trend'!D36</f>
        <v>159.41</v>
      </c>
      <c r="C34" s="4">
        <f>'Functional P&amp;L - Monthly Trend'!D72</f>
        <v>52.99</v>
      </c>
      <c r="D34" s="4">
        <f>'Functional P&amp;L - Monthly Trend'!D108</f>
        <v>32.74</v>
      </c>
      <c r="E34" s="4">
        <f>SUM(B34:D34)</f>
        <v>245.14000000000001</v>
      </c>
    </row>
    <row r="35" spans="1:5" x14ac:dyDescent="0.25">
      <c r="A35" s="18"/>
      <c r="B35" s="18"/>
      <c r="C35" s="18"/>
      <c r="D35" s="18"/>
      <c r="E35" s="18"/>
    </row>
    <row r="36" spans="1:5" x14ac:dyDescent="0.25">
      <c r="A36" s="21" t="s">
        <v>745</v>
      </c>
      <c r="B36" s="25">
        <f>'Functional P&amp;L - Monthly Trend'!D38</f>
        <v>2566.7200000000003</v>
      </c>
      <c r="C36" s="25">
        <f>'Functional P&amp;L - Monthly Trend'!D74</f>
        <v>1663.74</v>
      </c>
      <c r="D36" s="25">
        <f>'Functional P&amp;L - Monthly Trend'!D110</f>
        <v>260.33000000000004</v>
      </c>
      <c r="E36" s="25">
        <f>SUM(B36:D36)</f>
        <v>4490.79</v>
      </c>
    </row>
    <row r="37" spans="1:5" x14ac:dyDescent="0.25">
      <c r="A37" s="5" t="s">
        <v>746</v>
      </c>
      <c r="B37" s="14">
        <f>'Functional P&amp;L - Monthly Trend'!D39</f>
        <v>0.44587662444823922</v>
      </c>
      <c r="C37" s="14">
        <f>'Functional P&amp;L - Monthly Trend'!D75</f>
        <v>0.61640546848949651</v>
      </c>
      <c r="D37" s="14">
        <f>'Functional P&amp;L - Monthly Trend'!D111</f>
        <v>0.30019949492037501</v>
      </c>
      <c r="E37" s="14">
        <f>IFERROR(E36/E9,0)</f>
        <v>0.4816966038318713</v>
      </c>
    </row>
  </sheetData>
  <conditionalFormatting sqref="B28:E28">
    <cfRule type="cellIs" dxfId="4" priority="2" operator="lessThan">
      <formula>0</formula>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548235"/>
  </sheetPr>
  <dimension ref="A1:E77"/>
  <sheetViews>
    <sheetView showGridLines="0" zoomScaleNormal="100" workbookViewId="0">
      <pane ySplit="4" topLeftCell="A5" activePane="bottomLeft" state="frozen"/>
      <selection pane="bottomLeft"/>
    </sheetView>
  </sheetViews>
  <sheetFormatPr defaultColWidth="8.5703125" defaultRowHeight="15" x14ac:dyDescent="0.25"/>
  <cols>
    <col min="1" max="1" width="38" customWidth="1"/>
    <col min="2" max="4" width="16" customWidth="1"/>
    <col min="5" max="5" width="22" customWidth="1"/>
  </cols>
  <sheetData>
    <row r="1" spans="1:5" ht="15.6" customHeight="1" x14ac:dyDescent="0.25">
      <c r="A1" s="9" t="s">
        <v>561</v>
      </c>
      <c r="E1" s="10" t="s">
        <v>562</v>
      </c>
    </row>
    <row r="2" spans="1:5" ht="15.75" customHeight="1" x14ac:dyDescent="0.25">
      <c r="A2" s="11" t="s">
        <v>774</v>
      </c>
    </row>
    <row r="4" spans="1:5" x14ac:dyDescent="0.25">
      <c r="A4" s="1" t="s">
        <v>734</v>
      </c>
      <c r="B4" s="2" t="s">
        <v>25</v>
      </c>
      <c r="C4" s="2" t="s">
        <v>36</v>
      </c>
      <c r="D4" s="2" t="s">
        <v>16</v>
      </c>
      <c r="E4" s="2" t="s">
        <v>693</v>
      </c>
    </row>
    <row r="5" spans="1:5" x14ac:dyDescent="0.25">
      <c r="A5" s="18"/>
      <c r="B5" s="18"/>
      <c r="C5" s="18"/>
      <c r="D5" s="18"/>
      <c r="E5" s="18"/>
    </row>
    <row r="6" spans="1:5" x14ac:dyDescent="0.25">
      <c r="A6" s="12" t="s">
        <v>602</v>
      </c>
      <c r="B6" s="12"/>
      <c r="C6" s="12"/>
      <c r="D6" s="12"/>
      <c r="E6" s="12"/>
    </row>
    <row r="7" spans="1:5" x14ac:dyDescent="0.25">
      <c r="A7" s="3" t="s">
        <v>775</v>
      </c>
      <c r="B7" s="4">
        <v>5050.8999999999996</v>
      </c>
      <c r="C7" s="4">
        <v>2543.88</v>
      </c>
      <c r="D7" s="4">
        <v>791.18</v>
      </c>
      <c r="E7" s="4">
        <f>SUM(B7:D7)</f>
        <v>8385.9599999999991</v>
      </c>
    </row>
    <row r="8" spans="1:5" x14ac:dyDescent="0.25">
      <c r="A8" s="5" t="s">
        <v>625</v>
      </c>
      <c r="B8" s="6">
        <v>317.61</v>
      </c>
      <c r="C8" s="6">
        <v>101.1</v>
      </c>
      <c r="D8" s="6">
        <v>68.39</v>
      </c>
      <c r="E8" s="6">
        <f>SUM(B8:D8)</f>
        <v>487.1</v>
      </c>
    </row>
    <row r="9" spans="1:5" x14ac:dyDescent="0.25">
      <c r="A9" s="21" t="s">
        <v>602</v>
      </c>
      <c r="B9" s="25">
        <f>SUM(B7:B8)</f>
        <v>5368.5099999999993</v>
      </c>
      <c r="C9" s="25">
        <f>SUM(C7:C8)</f>
        <v>2644.98</v>
      </c>
      <c r="D9" s="25">
        <f>SUM(D7:D8)</f>
        <v>859.56999999999994</v>
      </c>
      <c r="E9" s="25">
        <f>SUM(E7:E8)</f>
        <v>8873.06</v>
      </c>
    </row>
    <row r="10" spans="1:5" x14ac:dyDescent="0.25">
      <c r="A10" s="18"/>
      <c r="B10" s="18"/>
      <c r="C10" s="18"/>
      <c r="D10" s="18"/>
      <c r="E10" s="18"/>
    </row>
    <row r="11" spans="1:5" x14ac:dyDescent="0.25">
      <c r="A11" s="12" t="s">
        <v>21</v>
      </c>
      <c r="B11" s="12"/>
      <c r="C11" s="12"/>
      <c r="D11" s="12"/>
      <c r="E11" s="12"/>
    </row>
    <row r="12" spans="1:5" x14ac:dyDescent="0.25">
      <c r="A12" s="3" t="s">
        <v>77</v>
      </c>
      <c r="B12" s="4">
        <v>216.82</v>
      </c>
      <c r="C12" s="4">
        <v>33.47</v>
      </c>
      <c r="D12" s="4">
        <v>43.79</v>
      </c>
      <c r="E12" s="4">
        <f>SUM(B12:D12)</f>
        <v>294.08</v>
      </c>
    </row>
    <row r="13" spans="1:5" x14ac:dyDescent="0.25">
      <c r="A13" s="5" t="s">
        <v>51</v>
      </c>
      <c r="B13" s="6">
        <v>38.92</v>
      </c>
      <c r="C13" s="6">
        <v>5.94</v>
      </c>
      <c r="D13" s="6">
        <v>7.48</v>
      </c>
      <c r="E13" s="6">
        <f>SUM(B13:D13)</f>
        <v>52.34</v>
      </c>
    </row>
    <row r="14" spans="1:5" x14ac:dyDescent="0.25">
      <c r="A14" s="3" t="s">
        <v>46</v>
      </c>
      <c r="B14" s="4">
        <v>59.48</v>
      </c>
      <c r="C14" s="4">
        <v>9.26</v>
      </c>
      <c r="D14" s="4">
        <v>10.38</v>
      </c>
      <c r="E14" s="4">
        <f>SUM(B14:D14)</f>
        <v>79.11999999999999</v>
      </c>
    </row>
    <row r="15" spans="1:5" x14ac:dyDescent="0.25">
      <c r="A15" s="5" t="s">
        <v>26</v>
      </c>
      <c r="B15" s="6">
        <v>233.24</v>
      </c>
      <c r="C15" s="6">
        <v>33.619999999999997</v>
      </c>
      <c r="D15" s="6">
        <v>42.23</v>
      </c>
      <c r="E15" s="6">
        <f>'AWS Allocation'!F31</f>
        <v>1907.6600000000003</v>
      </c>
    </row>
    <row r="16" spans="1:5" x14ac:dyDescent="0.25">
      <c r="A16" s="3" t="s">
        <v>11</v>
      </c>
      <c r="B16" s="4">
        <v>70.58</v>
      </c>
      <c r="C16" s="4">
        <v>11.38</v>
      </c>
      <c r="D16" s="4">
        <v>13.87</v>
      </c>
      <c r="E16" s="4">
        <f>SUM(B16:D16)</f>
        <v>95.83</v>
      </c>
    </row>
    <row r="17" spans="1:5" x14ac:dyDescent="0.25">
      <c r="A17" s="5" t="s">
        <v>87</v>
      </c>
      <c r="B17" s="6">
        <v>87.86</v>
      </c>
      <c r="C17" s="6">
        <v>14.37</v>
      </c>
      <c r="D17" s="6">
        <v>16.489999999999998</v>
      </c>
      <c r="E17" s="6">
        <f>SUM(B17:D17)</f>
        <v>118.72</v>
      </c>
    </row>
    <row r="18" spans="1:5" x14ac:dyDescent="0.25">
      <c r="A18" s="3" t="s">
        <v>59</v>
      </c>
      <c r="B18" s="4">
        <v>21.09</v>
      </c>
      <c r="C18" s="4">
        <v>3.62</v>
      </c>
      <c r="D18" s="4">
        <v>3.89</v>
      </c>
      <c r="E18" s="4">
        <f>SUM(B18:D18)</f>
        <v>28.6</v>
      </c>
    </row>
    <row r="19" spans="1:5" x14ac:dyDescent="0.25">
      <c r="A19" s="5" t="s">
        <v>17</v>
      </c>
      <c r="B19" s="6">
        <v>20.170000000000002</v>
      </c>
      <c r="C19" s="6">
        <v>3.72</v>
      </c>
      <c r="D19" s="6">
        <v>4.3</v>
      </c>
      <c r="E19" s="6">
        <f>SUM(B19:D19)</f>
        <v>28.19</v>
      </c>
    </row>
    <row r="20" spans="1:5" x14ac:dyDescent="0.25">
      <c r="A20" s="3" t="s">
        <v>22</v>
      </c>
      <c r="B20" s="4">
        <v>-21.86</v>
      </c>
      <c r="C20" s="4">
        <v>4.3600000000000003</v>
      </c>
      <c r="D20" s="4">
        <v>-2.39</v>
      </c>
      <c r="E20" s="4">
        <f>SUM(B20:D20)</f>
        <v>-19.89</v>
      </c>
    </row>
    <row r="21" spans="1:5" x14ac:dyDescent="0.25">
      <c r="A21" s="21" t="s">
        <v>776</v>
      </c>
      <c r="B21" s="25">
        <f>SUM(B12:B20)</f>
        <v>726.30000000000007</v>
      </c>
      <c r="C21" s="25">
        <f>SUM(C12:C20)</f>
        <v>119.74</v>
      </c>
      <c r="D21" s="25">
        <f>SUM(D12:D20)</f>
        <v>140.04000000000002</v>
      </c>
      <c r="E21" s="25">
        <f>SUM(E12:E20)</f>
        <v>2584.65</v>
      </c>
    </row>
    <row r="22" spans="1:5" x14ac:dyDescent="0.25">
      <c r="A22" s="18"/>
      <c r="B22" s="18"/>
      <c r="C22" s="18"/>
      <c r="D22" s="18"/>
      <c r="E22" s="18"/>
    </row>
    <row r="23" spans="1:5" x14ac:dyDescent="0.25">
      <c r="A23" s="12" t="s">
        <v>56</v>
      </c>
      <c r="B23" s="12"/>
      <c r="C23" s="12"/>
      <c r="D23" s="12"/>
      <c r="E23" s="12"/>
    </row>
    <row r="24" spans="1:5" x14ac:dyDescent="0.25">
      <c r="A24" s="5" t="s">
        <v>77</v>
      </c>
      <c r="B24" s="6">
        <v>71.67</v>
      </c>
      <c r="C24" s="6">
        <v>16.62</v>
      </c>
      <c r="D24" s="6">
        <v>14.9</v>
      </c>
      <c r="E24" s="6">
        <f t="shared" ref="E24:E29" si="0">SUM(B24:D24)</f>
        <v>103.19000000000001</v>
      </c>
    </row>
    <row r="25" spans="1:5" x14ac:dyDescent="0.25">
      <c r="A25" s="3" t="s">
        <v>51</v>
      </c>
      <c r="B25" s="4">
        <v>20.76</v>
      </c>
      <c r="C25" s="4">
        <v>4.74</v>
      </c>
      <c r="D25" s="4">
        <v>3.55</v>
      </c>
      <c r="E25" s="4">
        <f t="shared" si="0"/>
        <v>29.05</v>
      </c>
    </row>
    <row r="26" spans="1:5" x14ac:dyDescent="0.25">
      <c r="A26" s="5" t="s">
        <v>46</v>
      </c>
      <c r="B26" s="6">
        <v>41.1</v>
      </c>
      <c r="C26" s="6">
        <v>9.99</v>
      </c>
      <c r="D26" s="6">
        <v>7.2</v>
      </c>
      <c r="E26" s="6">
        <f t="shared" si="0"/>
        <v>58.290000000000006</v>
      </c>
    </row>
    <row r="27" spans="1:5" x14ac:dyDescent="0.25">
      <c r="A27" s="3" t="s">
        <v>59</v>
      </c>
      <c r="B27" s="4">
        <v>12.7</v>
      </c>
      <c r="C27" s="4">
        <v>3.2</v>
      </c>
      <c r="D27" s="4">
        <v>2.41</v>
      </c>
      <c r="E27" s="4">
        <f t="shared" si="0"/>
        <v>18.309999999999999</v>
      </c>
    </row>
    <row r="28" spans="1:5" x14ac:dyDescent="0.25">
      <c r="A28" s="5" t="s">
        <v>17</v>
      </c>
      <c r="B28" s="6">
        <v>11.83</v>
      </c>
      <c r="C28" s="6">
        <v>2.74</v>
      </c>
      <c r="D28" s="6">
        <v>2.17</v>
      </c>
      <c r="E28" s="6">
        <f t="shared" si="0"/>
        <v>16.740000000000002</v>
      </c>
    </row>
    <row r="29" spans="1:5" x14ac:dyDescent="0.25">
      <c r="A29" s="3" t="s">
        <v>22</v>
      </c>
      <c r="B29" s="4">
        <v>4.47</v>
      </c>
      <c r="C29" s="4">
        <v>0.85</v>
      </c>
      <c r="D29" s="4">
        <v>-0.36</v>
      </c>
      <c r="E29" s="4">
        <f t="shared" si="0"/>
        <v>4.9599999999999991</v>
      </c>
    </row>
    <row r="30" spans="1:5" x14ac:dyDescent="0.25">
      <c r="A30" s="21" t="s">
        <v>777</v>
      </c>
      <c r="B30" s="25">
        <f>SUM(B24:B29)</f>
        <v>162.53</v>
      </c>
      <c r="C30" s="25">
        <f>SUM(C24:C29)</f>
        <v>38.140000000000008</v>
      </c>
      <c r="D30" s="25">
        <f>SUM(D24:D29)</f>
        <v>29.869999999999997</v>
      </c>
      <c r="E30" s="25">
        <f>SUM(E24:E29)</f>
        <v>230.54000000000005</v>
      </c>
    </row>
    <row r="31" spans="1:5" x14ac:dyDescent="0.25">
      <c r="A31" s="18"/>
      <c r="B31" s="18"/>
      <c r="C31" s="18"/>
      <c r="D31" s="18"/>
      <c r="E31" s="18"/>
    </row>
    <row r="32" spans="1:5" x14ac:dyDescent="0.25">
      <c r="A32" s="12" t="s">
        <v>54</v>
      </c>
      <c r="B32" s="12"/>
      <c r="C32" s="12"/>
      <c r="D32" s="12"/>
      <c r="E32" s="12"/>
    </row>
    <row r="33" spans="1:5" x14ac:dyDescent="0.25">
      <c r="A33" s="5" t="s">
        <v>77</v>
      </c>
      <c r="B33" s="6">
        <v>129.53</v>
      </c>
      <c r="C33" s="6">
        <v>34.53</v>
      </c>
      <c r="D33" s="6">
        <v>31.16</v>
      </c>
      <c r="E33" s="6">
        <f t="shared" ref="E33:E38" si="1">SUM(B33:D33)</f>
        <v>195.22</v>
      </c>
    </row>
    <row r="34" spans="1:5" x14ac:dyDescent="0.25">
      <c r="A34" s="3" t="s">
        <v>51</v>
      </c>
      <c r="B34" s="4">
        <v>37.42</v>
      </c>
      <c r="C34" s="4">
        <v>8.67</v>
      </c>
      <c r="D34" s="4">
        <v>7.95</v>
      </c>
      <c r="E34" s="4">
        <f t="shared" si="1"/>
        <v>54.040000000000006</v>
      </c>
    </row>
    <row r="35" spans="1:5" x14ac:dyDescent="0.25">
      <c r="A35" s="5" t="s">
        <v>46</v>
      </c>
      <c r="B35" s="6">
        <v>22.12</v>
      </c>
      <c r="C35" s="6">
        <v>6.4</v>
      </c>
      <c r="D35" s="6">
        <v>5.64</v>
      </c>
      <c r="E35" s="6">
        <f t="shared" si="1"/>
        <v>34.160000000000004</v>
      </c>
    </row>
    <row r="36" spans="1:5" x14ac:dyDescent="0.25">
      <c r="A36" s="3" t="s">
        <v>59</v>
      </c>
      <c r="B36" s="4">
        <v>18.43</v>
      </c>
      <c r="C36" s="4">
        <v>4.9000000000000004</v>
      </c>
      <c r="D36" s="4">
        <v>4.09</v>
      </c>
      <c r="E36" s="4">
        <f t="shared" si="1"/>
        <v>27.419999999999998</v>
      </c>
    </row>
    <row r="37" spans="1:5" x14ac:dyDescent="0.25">
      <c r="A37" s="5" t="s">
        <v>17</v>
      </c>
      <c r="B37" s="6">
        <v>17.88</v>
      </c>
      <c r="C37" s="6">
        <v>4.4000000000000004</v>
      </c>
      <c r="D37" s="6">
        <v>4.05</v>
      </c>
      <c r="E37" s="6">
        <f t="shared" si="1"/>
        <v>26.330000000000002</v>
      </c>
    </row>
    <row r="38" spans="1:5" x14ac:dyDescent="0.25">
      <c r="A38" s="3" t="s">
        <v>22</v>
      </c>
      <c r="B38" s="4">
        <v>8.76</v>
      </c>
      <c r="C38" s="4">
        <v>4</v>
      </c>
      <c r="D38" s="4">
        <v>1.03</v>
      </c>
      <c r="E38" s="4">
        <f t="shared" si="1"/>
        <v>13.79</v>
      </c>
    </row>
    <row r="39" spans="1:5" x14ac:dyDescent="0.25">
      <c r="A39" s="21" t="s">
        <v>778</v>
      </c>
      <c r="B39" s="25">
        <f>SUM(B33:B38)</f>
        <v>234.14</v>
      </c>
      <c r="C39" s="25">
        <f>SUM(C33:C38)</f>
        <v>62.9</v>
      </c>
      <c r="D39" s="25">
        <f>SUM(D33:D38)</f>
        <v>53.92</v>
      </c>
      <c r="E39" s="25">
        <f>SUM(E33:E38)</f>
        <v>350.96000000000004</v>
      </c>
    </row>
    <row r="40" spans="1:5" x14ac:dyDescent="0.25">
      <c r="A40" s="18"/>
      <c r="B40" s="18"/>
      <c r="C40" s="18"/>
      <c r="D40" s="18"/>
      <c r="E40" s="18"/>
    </row>
    <row r="41" spans="1:5" x14ac:dyDescent="0.25">
      <c r="A41" s="12" t="s">
        <v>15</v>
      </c>
      <c r="B41" s="12"/>
      <c r="C41" s="12"/>
      <c r="D41" s="12"/>
      <c r="E41" s="12"/>
    </row>
    <row r="42" spans="1:5" x14ac:dyDescent="0.25">
      <c r="A42" s="5" t="s">
        <v>77</v>
      </c>
      <c r="B42" s="6">
        <v>30.08</v>
      </c>
      <c r="C42" s="6">
        <v>10.31</v>
      </c>
      <c r="D42" s="6">
        <v>9.8699999999999992</v>
      </c>
      <c r="E42" s="6">
        <f t="shared" ref="E42:E48" si="2">SUM(B42:D42)</f>
        <v>50.26</v>
      </c>
    </row>
    <row r="43" spans="1:5" x14ac:dyDescent="0.25">
      <c r="A43" s="3" t="s">
        <v>51</v>
      </c>
      <c r="B43" s="4">
        <v>24.23</v>
      </c>
      <c r="C43" s="4">
        <v>7.77</v>
      </c>
      <c r="D43" s="4">
        <v>7.55</v>
      </c>
      <c r="E43" s="4">
        <f t="shared" si="2"/>
        <v>39.549999999999997</v>
      </c>
    </row>
    <row r="44" spans="1:5" x14ac:dyDescent="0.25">
      <c r="A44" s="5" t="s">
        <v>46</v>
      </c>
      <c r="B44" s="6">
        <v>11.88</v>
      </c>
      <c r="C44" s="6">
        <v>4.37</v>
      </c>
      <c r="D44" s="6">
        <v>4.01</v>
      </c>
      <c r="E44" s="6">
        <f t="shared" si="2"/>
        <v>20.259999999999998</v>
      </c>
    </row>
    <row r="45" spans="1:5" x14ac:dyDescent="0.25">
      <c r="A45" s="3" t="s">
        <v>38</v>
      </c>
      <c r="B45" s="4">
        <v>35.229999999999997</v>
      </c>
      <c r="C45" s="4">
        <v>12.66</v>
      </c>
      <c r="D45" s="4">
        <v>11.12</v>
      </c>
      <c r="E45" s="4">
        <f t="shared" si="2"/>
        <v>59.01</v>
      </c>
    </row>
    <row r="46" spans="1:5" x14ac:dyDescent="0.25">
      <c r="A46" s="5" t="s">
        <v>59</v>
      </c>
      <c r="B46" s="6">
        <v>7.35</v>
      </c>
      <c r="C46" s="6">
        <v>2.36</v>
      </c>
      <c r="D46" s="6">
        <v>2.4</v>
      </c>
      <c r="E46" s="6">
        <f t="shared" si="2"/>
        <v>12.11</v>
      </c>
    </row>
    <row r="47" spans="1:5" x14ac:dyDescent="0.25">
      <c r="A47" s="3" t="s">
        <v>17</v>
      </c>
      <c r="B47" s="4">
        <v>7.12</v>
      </c>
      <c r="C47" s="4">
        <v>2.33</v>
      </c>
      <c r="D47" s="4">
        <v>2.4300000000000002</v>
      </c>
      <c r="E47" s="4">
        <f t="shared" si="2"/>
        <v>11.879999999999999</v>
      </c>
    </row>
    <row r="48" spans="1:5" x14ac:dyDescent="0.25">
      <c r="A48" s="5" t="s">
        <v>22</v>
      </c>
      <c r="B48" s="6">
        <v>4.3499999999999996</v>
      </c>
      <c r="C48" s="6">
        <v>1.38</v>
      </c>
      <c r="D48" s="6">
        <v>2.63</v>
      </c>
      <c r="E48" s="6">
        <f t="shared" si="2"/>
        <v>8.36</v>
      </c>
    </row>
    <row r="49" spans="1:5" x14ac:dyDescent="0.25">
      <c r="A49" s="21" t="s">
        <v>779</v>
      </c>
      <c r="B49" s="25">
        <f>SUM(B42:B48)</f>
        <v>120.23999999999998</v>
      </c>
      <c r="C49" s="25">
        <f>SUM(C42:C48)</f>
        <v>41.18</v>
      </c>
      <c r="D49" s="25">
        <f>SUM(D42:D48)</f>
        <v>40.01</v>
      </c>
      <c r="E49" s="25">
        <f>SUM(E42:E48)</f>
        <v>201.43</v>
      </c>
    </row>
    <row r="50" spans="1:5" x14ac:dyDescent="0.25">
      <c r="A50" s="18"/>
      <c r="B50" s="18"/>
      <c r="C50" s="18"/>
      <c r="D50" s="18"/>
      <c r="E50" s="18"/>
    </row>
    <row r="51" spans="1:5" x14ac:dyDescent="0.25">
      <c r="A51" s="12" t="s">
        <v>40</v>
      </c>
      <c r="B51" s="12"/>
      <c r="C51" s="12"/>
      <c r="D51" s="12"/>
      <c r="E51" s="12"/>
    </row>
    <row r="52" spans="1:5" x14ac:dyDescent="0.25">
      <c r="A52" s="3" t="s">
        <v>77</v>
      </c>
      <c r="B52" s="4">
        <v>10.34</v>
      </c>
      <c r="C52" s="4">
        <v>3.57</v>
      </c>
      <c r="D52" s="4">
        <v>3.81</v>
      </c>
      <c r="E52" s="4">
        <f t="shared" ref="E52:E57" si="3">SUM(B52:D52)</f>
        <v>17.72</v>
      </c>
    </row>
    <row r="53" spans="1:5" x14ac:dyDescent="0.25">
      <c r="A53" s="5" t="s">
        <v>51</v>
      </c>
      <c r="B53" s="6">
        <v>2.94</v>
      </c>
      <c r="C53" s="6">
        <v>0.92</v>
      </c>
      <c r="D53" s="6">
        <v>0.92</v>
      </c>
      <c r="E53" s="6">
        <f t="shared" si="3"/>
        <v>4.78</v>
      </c>
    </row>
    <row r="54" spans="1:5" x14ac:dyDescent="0.25">
      <c r="A54" s="3" t="s">
        <v>46</v>
      </c>
      <c r="B54" s="4">
        <v>1.88</v>
      </c>
      <c r="C54" s="4">
        <v>0.59</v>
      </c>
      <c r="D54" s="4">
        <v>0.69</v>
      </c>
      <c r="E54" s="4">
        <f t="shared" si="3"/>
        <v>3.1599999999999997</v>
      </c>
    </row>
    <row r="55" spans="1:5" x14ac:dyDescent="0.25">
      <c r="A55" s="5" t="s">
        <v>59</v>
      </c>
      <c r="B55" s="6">
        <v>1.61</v>
      </c>
      <c r="C55" s="6">
        <v>0.52</v>
      </c>
      <c r="D55" s="6">
        <v>0.54</v>
      </c>
      <c r="E55" s="6">
        <f t="shared" si="3"/>
        <v>2.67</v>
      </c>
    </row>
    <row r="56" spans="1:5" x14ac:dyDescent="0.25">
      <c r="A56" s="3" t="s">
        <v>17</v>
      </c>
      <c r="B56" s="4">
        <v>1.53</v>
      </c>
      <c r="C56" s="4">
        <v>0.49</v>
      </c>
      <c r="D56" s="4">
        <v>0.55000000000000004</v>
      </c>
      <c r="E56" s="4">
        <f t="shared" si="3"/>
        <v>2.5700000000000003</v>
      </c>
    </row>
    <row r="57" spans="1:5" x14ac:dyDescent="0.25">
      <c r="A57" s="5" t="s">
        <v>22</v>
      </c>
      <c r="B57" s="6">
        <v>1.04</v>
      </c>
      <c r="C57" s="6">
        <v>0</v>
      </c>
      <c r="D57" s="6">
        <v>0.47</v>
      </c>
      <c r="E57" s="6">
        <f t="shared" si="3"/>
        <v>1.51</v>
      </c>
    </row>
    <row r="58" spans="1:5" x14ac:dyDescent="0.25">
      <c r="A58" s="21" t="s">
        <v>780</v>
      </c>
      <c r="B58" s="25">
        <f>SUM(B52:B57)</f>
        <v>19.34</v>
      </c>
      <c r="C58" s="25">
        <f>SUM(C52:C57)</f>
        <v>6.09</v>
      </c>
      <c r="D58" s="25">
        <f>SUM(D52:D57)</f>
        <v>6.9799999999999995</v>
      </c>
      <c r="E58" s="25">
        <f>SUM(E52:E57)</f>
        <v>32.409999999999997</v>
      </c>
    </row>
    <row r="59" spans="1:5" x14ac:dyDescent="0.25">
      <c r="A59" s="18"/>
      <c r="B59" s="18"/>
      <c r="C59" s="18"/>
      <c r="D59" s="18"/>
      <c r="E59" s="18"/>
    </row>
    <row r="60" spans="1:5" x14ac:dyDescent="0.25">
      <c r="A60" s="12" t="s">
        <v>9</v>
      </c>
      <c r="B60" s="12"/>
      <c r="C60" s="12"/>
      <c r="D60" s="12"/>
      <c r="E60" s="12"/>
    </row>
    <row r="61" spans="1:5" x14ac:dyDescent="0.25">
      <c r="A61" s="3" t="s">
        <v>77</v>
      </c>
      <c r="B61" s="4">
        <v>211.24</v>
      </c>
      <c r="C61" s="4">
        <v>60.47</v>
      </c>
      <c r="D61" s="4">
        <v>43.24</v>
      </c>
      <c r="E61" s="4">
        <f t="shared" ref="E61:E67" si="4">SUM(B61:D61)</f>
        <v>314.95000000000005</v>
      </c>
    </row>
    <row r="62" spans="1:5" x14ac:dyDescent="0.25">
      <c r="A62" s="5" t="s">
        <v>51</v>
      </c>
      <c r="B62" s="6">
        <v>37.520000000000003</v>
      </c>
      <c r="C62" s="6">
        <v>12.05</v>
      </c>
      <c r="D62" s="6">
        <v>8.26</v>
      </c>
      <c r="E62" s="6">
        <f t="shared" si="4"/>
        <v>57.830000000000005</v>
      </c>
    </row>
    <row r="63" spans="1:5" x14ac:dyDescent="0.25">
      <c r="A63" s="3" t="s">
        <v>46</v>
      </c>
      <c r="B63" s="4">
        <v>31.01</v>
      </c>
      <c r="C63" s="4">
        <v>10.18</v>
      </c>
      <c r="D63" s="4">
        <v>6.82</v>
      </c>
      <c r="E63" s="4">
        <f t="shared" si="4"/>
        <v>48.01</v>
      </c>
    </row>
    <row r="64" spans="1:5" x14ac:dyDescent="0.25">
      <c r="A64" s="5" t="s">
        <v>29</v>
      </c>
      <c r="B64" s="6">
        <v>0</v>
      </c>
      <c r="C64" s="6">
        <v>0</v>
      </c>
      <c r="D64" s="6">
        <v>0</v>
      </c>
      <c r="E64" s="6">
        <f t="shared" si="4"/>
        <v>0</v>
      </c>
    </row>
    <row r="65" spans="1:5" x14ac:dyDescent="0.25">
      <c r="A65" s="3" t="s">
        <v>59</v>
      </c>
      <c r="B65" s="4">
        <v>14.97</v>
      </c>
      <c r="C65" s="4">
        <v>4.59</v>
      </c>
      <c r="D65" s="4">
        <v>3.36</v>
      </c>
      <c r="E65" s="4">
        <f t="shared" si="4"/>
        <v>22.92</v>
      </c>
    </row>
    <row r="66" spans="1:5" x14ac:dyDescent="0.25">
      <c r="A66" s="5" t="s">
        <v>17</v>
      </c>
      <c r="B66" s="6">
        <v>16.03</v>
      </c>
      <c r="C66" s="6">
        <v>5.22</v>
      </c>
      <c r="D66" s="6">
        <v>3.65</v>
      </c>
      <c r="E66" s="6">
        <f t="shared" si="4"/>
        <v>24.9</v>
      </c>
    </row>
    <row r="67" spans="1:5" x14ac:dyDescent="0.25">
      <c r="A67" s="3" t="s">
        <v>22</v>
      </c>
      <c r="B67" s="4">
        <v>-0.63</v>
      </c>
      <c r="C67" s="4">
        <v>-0.9</v>
      </c>
      <c r="D67" s="4">
        <v>3.43</v>
      </c>
      <c r="E67" s="4">
        <f t="shared" si="4"/>
        <v>1.9000000000000001</v>
      </c>
    </row>
    <row r="68" spans="1:5" x14ac:dyDescent="0.25">
      <c r="A68" s="21" t="s">
        <v>781</v>
      </c>
      <c r="B68" s="25">
        <f>SUM(B61:B67)</f>
        <v>310.1400000000001</v>
      </c>
      <c r="C68" s="25">
        <f>SUM(C61:C67)</f>
        <v>91.609999999999985</v>
      </c>
      <c r="D68" s="25">
        <f>SUM(D61:D67)</f>
        <v>68.760000000000005</v>
      </c>
      <c r="E68" s="25">
        <f>SUM(E61:E67)</f>
        <v>470.51</v>
      </c>
    </row>
    <row r="69" spans="1:5" x14ac:dyDescent="0.25">
      <c r="A69" s="18"/>
      <c r="B69" s="18"/>
      <c r="C69" s="18"/>
      <c r="D69" s="18"/>
      <c r="E69" s="18"/>
    </row>
    <row r="70" spans="1:5" x14ac:dyDescent="0.25">
      <c r="A70" s="12" t="s">
        <v>43</v>
      </c>
      <c r="B70" s="12"/>
      <c r="C70" s="12"/>
      <c r="D70" s="12"/>
      <c r="E70" s="12"/>
    </row>
    <row r="71" spans="1:5" x14ac:dyDescent="0.25">
      <c r="A71" s="5" t="s">
        <v>77</v>
      </c>
      <c r="B71" s="6">
        <v>96.24</v>
      </c>
      <c r="C71" s="6">
        <v>24.58</v>
      </c>
      <c r="D71" s="6">
        <v>19.47</v>
      </c>
      <c r="E71" s="6">
        <f t="shared" ref="E71:E76" si="5">SUM(B71:D71)</f>
        <v>140.29</v>
      </c>
    </row>
    <row r="72" spans="1:5" x14ac:dyDescent="0.25">
      <c r="A72" s="3" t="s">
        <v>51</v>
      </c>
      <c r="B72" s="4">
        <v>24.98</v>
      </c>
      <c r="C72" s="4">
        <v>7.49</v>
      </c>
      <c r="D72" s="4">
        <v>5.71</v>
      </c>
      <c r="E72" s="4">
        <f t="shared" si="5"/>
        <v>38.18</v>
      </c>
    </row>
    <row r="73" spans="1:5" x14ac:dyDescent="0.25">
      <c r="A73" s="5" t="s">
        <v>46</v>
      </c>
      <c r="B73" s="6">
        <v>17.11</v>
      </c>
      <c r="C73" s="6">
        <v>4.53</v>
      </c>
      <c r="D73" s="6">
        <v>3.46</v>
      </c>
      <c r="E73" s="6">
        <f t="shared" si="5"/>
        <v>25.1</v>
      </c>
    </row>
    <row r="74" spans="1:5" x14ac:dyDescent="0.25">
      <c r="A74" s="3" t="s">
        <v>59</v>
      </c>
      <c r="B74" s="4">
        <v>14.51</v>
      </c>
      <c r="C74" s="4">
        <v>3.87</v>
      </c>
      <c r="D74" s="4">
        <v>2.95</v>
      </c>
      <c r="E74" s="4">
        <f t="shared" si="5"/>
        <v>21.33</v>
      </c>
    </row>
    <row r="75" spans="1:5" x14ac:dyDescent="0.25">
      <c r="A75" s="5" t="s">
        <v>17</v>
      </c>
      <c r="B75" s="6">
        <v>14.67</v>
      </c>
      <c r="C75" s="6">
        <v>3.59</v>
      </c>
      <c r="D75" s="6">
        <v>2.87</v>
      </c>
      <c r="E75" s="6">
        <f t="shared" si="5"/>
        <v>21.13</v>
      </c>
    </row>
    <row r="76" spans="1:5" x14ac:dyDescent="0.25">
      <c r="A76" s="3" t="s">
        <v>22</v>
      </c>
      <c r="B76" s="4">
        <v>2.96</v>
      </c>
      <c r="C76" s="4">
        <v>3.19</v>
      </c>
      <c r="D76" s="4">
        <v>-0.14000000000000001</v>
      </c>
      <c r="E76" s="4">
        <f t="shared" si="5"/>
        <v>6.0100000000000007</v>
      </c>
    </row>
    <row r="77" spans="1:5" x14ac:dyDescent="0.25">
      <c r="A77" s="21" t="s">
        <v>782</v>
      </c>
      <c r="B77" s="25">
        <f>SUM(B71:B76)</f>
        <v>170.46999999999997</v>
      </c>
      <c r="C77" s="25">
        <f>SUM(C71:C76)</f>
        <v>47.25</v>
      </c>
      <c r="D77" s="25">
        <f>SUM(D71:D76)</f>
        <v>34.32</v>
      </c>
      <c r="E77" s="25">
        <f>SUM(E71:E76)</f>
        <v>252.03999999999996</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tabColor rgb="FF0B4779"/>
  </sheetPr>
  <dimension ref="A1:T265"/>
  <sheetViews>
    <sheetView showGridLines="0" workbookViewId="0">
      <pane ySplit="3" topLeftCell="A4" activePane="bottomLeft" state="frozen"/>
      <selection pane="bottomLeft" activeCell="B114" sqref="B114"/>
    </sheetView>
  </sheetViews>
  <sheetFormatPr defaultRowHeight="15" x14ac:dyDescent="0.25"/>
  <cols>
    <col min="1" max="1" width="3" customWidth="1"/>
    <col min="2" max="2" width="12" customWidth="1"/>
    <col min="3" max="3" width="16.85546875" customWidth="1"/>
    <col min="4" max="8" width="12" customWidth="1"/>
    <col min="9" max="9" width="3" customWidth="1"/>
    <col min="10" max="14" width="12" customWidth="1"/>
    <col min="15" max="15" width="15.7109375" customWidth="1"/>
    <col min="16" max="16" width="12" customWidth="1"/>
    <col min="17" max="17" width="3" customWidth="1"/>
  </cols>
  <sheetData>
    <row r="1" spans="1:20" ht="42" customHeight="1" x14ac:dyDescent="0.25">
      <c r="A1" s="26"/>
      <c r="B1" s="136" t="s">
        <v>561</v>
      </c>
      <c r="C1" s="120"/>
      <c r="D1" s="120"/>
      <c r="E1" s="120"/>
      <c r="F1" s="120"/>
      <c r="G1" s="120"/>
      <c r="H1" s="120"/>
      <c r="I1" s="120"/>
      <c r="J1" s="120"/>
      <c r="K1" s="120"/>
      <c r="L1" s="120"/>
      <c r="M1" s="120"/>
      <c r="N1" s="120"/>
      <c r="O1" s="120"/>
      <c r="P1" s="120"/>
      <c r="Q1" s="26"/>
      <c r="R1" s="27"/>
      <c r="S1" s="27"/>
      <c r="T1" s="27"/>
    </row>
    <row r="2" spans="1:20" ht="26.1" customHeight="1" x14ac:dyDescent="0.25">
      <c r="A2" s="26"/>
      <c r="B2" s="138" t="s">
        <v>783</v>
      </c>
      <c r="C2" s="120"/>
      <c r="D2" s="120"/>
      <c r="E2" s="120"/>
      <c r="F2" s="120"/>
      <c r="G2" s="120"/>
      <c r="H2" s="120"/>
      <c r="I2" s="120"/>
      <c r="J2" s="120"/>
      <c r="K2" s="120"/>
      <c r="L2" s="120"/>
      <c r="M2" s="120"/>
      <c r="N2" s="120"/>
      <c r="O2" s="28" t="s">
        <v>562</v>
      </c>
      <c r="P2" s="29"/>
      <c r="Q2" s="26"/>
      <c r="R2" s="27"/>
      <c r="S2" s="27"/>
      <c r="T2" s="27"/>
    </row>
    <row r="3" spans="1:20" ht="3.95" customHeight="1" x14ac:dyDescent="0.25">
      <c r="A3" s="26"/>
      <c r="B3" s="30"/>
      <c r="C3" s="30"/>
      <c r="D3" s="30"/>
      <c r="E3" s="30"/>
      <c r="F3" s="30"/>
      <c r="G3" s="30"/>
      <c r="H3" s="30"/>
      <c r="I3" s="30"/>
      <c r="J3" s="30"/>
      <c r="K3" s="30"/>
      <c r="L3" s="30"/>
      <c r="M3" s="30"/>
      <c r="N3" s="30"/>
      <c r="O3" s="30"/>
      <c r="P3" s="30"/>
      <c r="Q3" s="26"/>
      <c r="R3" s="27"/>
      <c r="S3" s="27"/>
      <c r="T3" s="27"/>
    </row>
    <row r="4" spans="1:20" ht="12" customHeight="1" x14ac:dyDescent="0.25">
      <c r="A4" s="26"/>
      <c r="B4" s="26"/>
      <c r="C4" s="26"/>
      <c r="D4" s="26"/>
      <c r="E4" s="26"/>
      <c r="F4" s="26"/>
      <c r="G4" s="26"/>
      <c r="H4" s="26"/>
      <c r="I4" s="26"/>
      <c r="J4" s="26"/>
      <c r="K4" s="26"/>
      <c r="L4" s="26"/>
      <c r="M4" s="26"/>
      <c r="N4" s="26"/>
      <c r="O4" s="26"/>
      <c r="P4" s="26"/>
      <c r="Q4" s="26"/>
      <c r="R4" s="27"/>
      <c r="S4" s="27"/>
      <c r="T4" s="27"/>
    </row>
    <row r="5" spans="1:20" ht="32.1" customHeight="1" x14ac:dyDescent="0.25">
      <c r="A5" s="26"/>
      <c r="B5" s="135" t="s">
        <v>784</v>
      </c>
      <c r="C5" s="120"/>
      <c r="D5" s="120"/>
      <c r="E5" s="120"/>
      <c r="F5" s="120"/>
      <c r="G5" s="120"/>
      <c r="H5" s="120"/>
      <c r="I5" s="120"/>
      <c r="J5" s="120"/>
      <c r="K5" s="120"/>
      <c r="L5" s="120"/>
      <c r="M5" s="120"/>
      <c r="N5" s="120"/>
      <c r="O5" s="120"/>
      <c r="P5" s="120"/>
      <c r="Q5" s="26"/>
      <c r="R5" s="27"/>
      <c r="S5" s="27"/>
      <c r="T5" s="27"/>
    </row>
    <row r="6" spans="1:20" ht="39" customHeight="1" x14ac:dyDescent="0.25">
      <c r="A6" s="26"/>
      <c r="B6" s="31" t="s">
        <v>785</v>
      </c>
      <c r="C6" s="32" t="s">
        <v>25</v>
      </c>
      <c r="D6" s="33" t="s">
        <v>786</v>
      </c>
      <c r="E6" s="26"/>
      <c r="F6" s="26"/>
      <c r="G6" s="26"/>
      <c r="H6" s="26"/>
      <c r="I6" s="26"/>
      <c r="J6" s="26"/>
      <c r="K6" s="26"/>
      <c r="L6" s="26"/>
      <c r="M6" s="26"/>
      <c r="N6" s="26"/>
      <c r="O6" s="26"/>
      <c r="P6" s="26"/>
      <c r="Q6" s="26"/>
      <c r="R6" s="27"/>
      <c r="S6" s="27"/>
      <c r="T6" s="27"/>
    </row>
    <row r="7" spans="1:20" ht="14.1" customHeight="1" x14ac:dyDescent="0.25">
      <c r="A7" s="26"/>
      <c r="B7" s="26"/>
      <c r="C7" s="26"/>
      <c r="D7" s="26"/>
      <c r="E7" s="26"/>
      <c r="F7" s="26"/>
      <c r="G7" s="26"/>
      <c r="H7" s="26"/>
      <c r="I7" s="26"/>
      <c r="J7" s="26"/>
      <c r="K7" s="26"/>
      <c r="L7" s="26"/>
      <c r="M7" s="26"/>
      <c r="N7" s="26"/>
      <c r="O7" s="26"/>
      <c r="P7" s="26"/>
      <c r="Q7" s="26"/>
      <c r="R7" s="27"/>
      <c r="S7" s="27"/>
      <c r="T7" s="27"/>
    </row>
    <row r="8" spans="1:20" ht="32.1" customHeight="1" x14ac:dyDescent="0.25">
      <c r="A8" s="26"/>
      <c r="B8" s="137" t="s">
        <v>787</v>
      </c>
      <c r="C8" s="120"/>
      <c r="D8" s="120"/>
      <c r="E8" s="120"/>
      <c r="F8" s="120"/>
      <c r="G8" s="120"/>
      <c r="H8" s="120"/>
      <c r="I8" s="120"/>
      <c r="J8" s="120"/>
      <c r="K8" s="120"/>
      <c r="L8" s="120"/>
      <c r="M8" s="120"/>
      <c r="N8" s="120"/>
      <c r="O8" s="120"/>
      <c r="P8" s="120"/>
      <c r="Q8" s="26"/>
      <c r="R8" s="27"/>
      <c r="S8" s="27"/>
      <c r="T8" s="27"/>
    </row>
    <row r="9" spans="1:20" ht="8.1" customHeight="1" x14ac:dyDescent="0.25">
      <c r="A9" s="26"/>
      <c r="B9" s="26"/>
      <c r="C9" s="26"/>
      <c r="D9" s="26"/>
      <c r="E9" s="26"/>
      <c r="F9" s="26"/>
      <c r="G9" s="26"/>
      <c r="H9" s="26"/>
      <c r="I9" s="26"/>
      <c r="J9" s="26"/>
      <c r="K9" s="26"/>
      <c r="L9" s="26"/>
      <c r="M9" s="26"/>
      <c r="N9" s="26"/>
      <c r="O9" s="26"/>
      <c r="P9" s="26"/>
      <c r="Q9" s="26"/>
      <c r="R9" s="27"/>
      <c r="S9" s="27"/>
      <c r="T9" s="27"/>
    </row>
    <row r="10" spans="1:20" ht="15.95" customHeight="1" x14ac:dyDescent="0.25">
      <c r="A10" s="26"/>
      <c r="B10" s="34" t="s">
        <v>788</v>
      </c>
      <c r="C10" s="26"/>
      <c r="D10" s="26"/>
      <c r="E10" s="26"/>
      <c r="F10" s="26"/>
      <c r="G10" s="26"/>
      <c r="H10" s="26"/>
      <c r="I10" s="26"/>
      <c r="J10" s="34" t="s">
        <v>789</v>
      </c>
      <c r="K10" s="26"/>
      <c r="L10" s="26"/>
      <c r="M10" s="26"/>
      <c r="N10" s="26"/>
      <c r="O10" s="26"/>
      <c r="P10" s="26"/>
      <c r="Q10" s="26"/>
      <c r="R10" s="27"/>
      <c r="S10" s="27"/>
      <c r="T10" s="27"/>
    </row>
    <row r="11" spans="1:20" x14ac:dyDescent="0.25">
      <c r="A11" s="26"/>
      <c r="B11" s="26"/>
      <c r="C11" s="26"/>
      <c r="D11" s="26"/>
      <c r="E11" s="26"/>
      <c r="F11" s="26"/>
      <c r="G11" s="26"/>
      <c r="H11" s="26"/>
      <c r="I11" s="26"/>
      <c r="J11" s="26"/>
      <c r="K11" s="26"/>
      <c r="L11" s="26"/>
      <c r="M11" s="26"/>
      <c r="N11" s="26"/>
      <c r="O11" s="26"/>
      <c r="P11" s="26"/>
      <c r="Q11" s="26"/>
      <c r="R11" s="27"/>
      <c r="S11" s="27"/>
      <c r="T11" s="27"/>
    </row>
    <row r="12" spans="1:20" x14ac:dyDescent="0.25">
      <c r="A12" s="26"/>
      <c r="B12" s="26"/>
      <c r="C12" s="26"/>
      <c r="D12" s="26"/>
      <c r="E12" s="26"/>
      <c r="F12" s="26"/>
      <c r="G12" s="26"/>
      <c r="H12" s="26"/>
      <c r="I12" s="26"/>
      <c r="J12" s="26"/>
      <c r="K12" s="26"/>
      <c r="L12" s="26"/>
      <c r="M12" s="26"/>
      <c r="N12" s="26"/>
      <c r="O12" s="26"/>
      <c r="P12" s="26"/>
      <c r="Q12" s="26"/>
      <c r="R12" s="27"/>
      <c r="S12" s="27"/>
      <c r="T12" s="27"/>
    </row>
    <row r="13" spans="1:20" x14ac:dyDescent="0.25">
      <c r="A13" s="26"/>
      <c r="B13" s="26"/>
      <c r="C13" s="26"/>
      <c r="D13" s="26"/>
      <c r="E13" s="26"/>
      <c r="F13" s="26"/>
      <c r="G13" s="26"/>
      <c r="H13" s="26"/>
      <c r="I13" s="26"/>
      <c r="J13" s="26"/>
      <c r="K13" s="26"/>
      <c r="L13" s="26"/>
      <c r="M13" s="26"/>
      <c r="N13" s="26"/>
      <c r="O13" s="26"/>
      <c r="P13" s="26"/>
      <c r="Q13" s="26"/>
      <c r="R13" s="27"/>
      <c r="S13" s="27"/>
      <c r="T13" s="27"/>
    </row>
    <row r="14" spans="1:20" x14ac:dyDescent="0.25">
      <c r="A14" s="26"/>
      <c r="B14" s="26"/>
      <c r="C14" s="26"/>
      <c r="D14" s="26"/>
      <c r="E14" s="26"/>
      <c r="F14" s="26"/>
      <c r="G14" s="26"/>
      <c r="H14" s="26"/>
      <c r="I14" s="26"/>
      <c r="J14" s="26"/>
      <c r="K14" s="26"/>
      <c r="L14" s="26"/>
      <c r="M14" s="26"/>
      <c r="N14" s="26"/>
      <c r="O14" s="26"/>
      <c r="P14" s="26"/>
      <c r="Q14" s="26"/>
      <c r="R14" s="27"/>
      <c r="S14" s="27"/>
      <c r="T14" s="27"/>
    </row>
    <row r="15" spans="1:20" x14ac:dyDescent="0.25">
      <c r="A15" s="26"/>
      <c r="B15" s="26"/>
      <c r="C15" s="26"/>
      <c r="D15" s="26"/>
      <c r="E15" s="26"/>
      <c r="F15" s="26"/>
      <c r="G15" s="26"/>
      <c r="H15" s="26"/>
      <c r="I15" s="26"/>
      <c r="J15" s="26"/>
      <c r="K15" s="26"/>
      <c r="L15" s="26"/>
      <c r="M15" s="26"/>
      <c r="N15" s="26"/>
      <c r="O15" s="26"/>
      <c r="P15" s="26"/>
      <c r="Q15" s="26"/>
      <c r="R15" s="27"/>
      <c r="S15" s="27"/>
      <c r="T15" s="27"/>
    </row>
    <row r="16" spans="1:20" x14ac:dyDescent="0.25">
      <c r="A16" s="26"/>
      <c r="B16" s="26"/>
      <c r="C16" s="26"/>
      <c r="D16" s="26"/>
      <c r="E16" s="26"/>
      <c r="F16" s="26"/>
      <c r="G16" s="26"/>
      <c r="H16" s="26"/>
      <c r="I16" s="26"/>
      <c r="J16" s="26"/>
      <c r="K16" s="26"/>
      <c r="L16" s="26"/>
      <c r="M16" s="26"/>
      <c r="N16" s="26"/>
      <c r="O16" s="26"/>
      <c r="P16" s="26"/>
      <c r="Q16" s="26"/>
      <c r="R16" s="27"/>
      <c r="S16" s="27"/>
      <c r="T16" s="27"/>
    </row>
    <row r="17" spans="1:20" x14ac:dyDescent="0.25">
      <c r="A17" s="26"/>
      <c r="B17" s="26"/>
      <c r="C17" s="26"/>
      <c r="D17" s="26"/>
      <c r="E17" s="26"/>
      <c r="F17" s="26"/>
      <c r="G17" s="26"/>
      <c r="H17" s="26"/>
      <c r="I17" s="26"/>
      <c r="J17" s="26"/>
      <c r="K17" s="26"/>
      <c r="L17" s="26"/>
      <c r="M17" s="26"/>
      <c r="N17" s="26"/>
      <c r="O17" s="26"/>
      <c r="P17" s="26"/>
      <c r="Q17" s="26"/>
      <c r="R17" s="27"/>
      <c r="S17" s="27"/>
      <c r="T17" s="27"/>
    </row>
    <row r="18" spans="1:20" x14ac:dyDescent="0.25">
      <c r="A18" s="26"/>
      <c r="B18" s="26"/>
      <c r="C18" s="26"/>
      <c r="D18" s="26"/>
      <c r="E18" s="26"/>
      <c r="F18" s="26"/>
      <c r="G18" s="26"/>
      <c r="H18" s="26"/>
      <c r="I18" s="26"/>
      <c r="J18" s="26"/>
      <c r="K18" s="26"/>
      <c r="L18" s="26"/>
      <c r="M18" s="26"/>
      <c r="N18" s="26"/>
      <c r="O18" s="26"/>
      <c r="P18" s="26"/>
      <c r="Q18" s="26"/>
      <c r="R18" s="27"/>
      <c r="S18" s="27"/>
      <c r="T18" s="27"/>
    </row>
    <row r="19" spans="1:20" x14ac:dyDescent="0.25">
      <c r="A19" s="26"/>
      <c r="B19" s="26"/>
      <c r="C19" s="26"/>
      <c r="D19" s="26"/>
      <c r="E19" s="26"/>
      <c r="F19" s="26"/>
      <c r="G19" s="26"/>
      <c r="H19" s="26"/>
      <c r="I19" s="26"/>
      <c r="J19" s="26"/>
      <c r="K19" s="26"/>
      <c r="L19" s="26"/>
      <c r="M19" s="26"/>
      <c r="N19" s="26"/>
      <c r="O19" s="26"/>
      <c r="P19" s="26"/>
      <c r="Q19" s="26"/>
      <c r="R19" s="27"/>
      <c r="S19" s="27"/>
      <c r="T19" s="27"/>
    </row>
    <row r="20" spans="1:20" x14ac:dyDescent="0.25">
      <c r="A20" s="26"/>
      <c r="B20" s="26"/>
      <c r="C20" s="26"/>
      <c r="D20" s="26"/>
      <c r="E20" s="26"/>
      <c r="F20" s="26"/>
      <c r="G20" s="26"/>
      <c r="H20" s="26"/>
      <c r="I20" s="26"/>
      <c r="J20" s="26"/>
      <c r="K20" s="26"/>
      <c r="L20" s="26"/>
      <c r="M20" s="26"/>
      <c r="N20" s="26"/>
      <c r="O20" s="26"/>
      <c r="P20" s="26"/>
      <c r="Q20" s="26"/>
      <c r="R20" s="27"/>
      <c r="S20" s="27"/>
      <c r="T20" s="27"/>
    </row>
    <row r="21" spans="1:20" x14ac:dyDescent="0.25">
      <c r="A21" s="26"/>
      <c r="B21" s="26"/>
      <c r="C21" s="26"/>
      <c r="D21" s="26"/>
      <c r="E21" s="26"/>
      <c r="F21" s="26"/>
      <c r="G21" s="26"/>
      <c r="H21" s="26"/>
      <c r="I21" s="26"/>
      <c r="J21" s="26"/>
      <c r="K21" s="26"/>
      <c r="L21" s="26"/>
      <c r="M21" s="26"/>
      <c r="N21" s="26"/>
      <c r="O21" s="26"/>
      <c r="P21" s="26"/>
      <c r="Q21" s="26"/>
      <c r="R21" s="27"/>
      <c r="S21" s="27"/>
      <c r="T21" s="27"/>
    </row>
    <row r="22" spans="1:20" x14ac:dyDescent="0.25">
      <c r="A22" s="26"/>
      <c r="B22" s="26"/>
      <c r="C22" s="26"/>
      <c r="D22" s="26"/>
      <c r="E22" s="26"/>
      <c r="F22" s="26"/>
      <c r="G22" s="26"/>
      <c r="H22" s="26"/>
      <c r="I22" s="26"/>
      <c r="J22" s="26"/>
      <c r="K22" s="26"/>
      <c r="L22" s="26"/>
      <c r="M22" s="26"/>
      <c r="N22" s="26"/>
      <c r="O22" s="26"/>
      <c r="P22" s="26"/>
      <c r="Q22" s="26"/>
      <c r="R22" s="27"/>
      <c r="S22" s="27"/>
      <c r="T22" s="27"/>
    </row>
    <row r="23" spans="1:20" x14ac:dyDescent="0.25">
      <c r="A23" s="26"/>
      <c r="B23" s="26"/>
      <c r="C23" s="26"/>
      <c r="D23" s="26"/>
      <c r="E23" s="26"/>
      <c r="F23" s="26"/>
      <c r="G23" s="26"/>
      <c r="H23" s="26"/>
      <c r="I23" s="26"/>
      <c r="J23" s="26"/>
      <c r="K23" s="26"/>
      <c r="L23" s="26"/>
      <c r="M23" s="26"/>
      <c r="N23" s="26"/>
      <c r="O23" s="26"/>
      <c r="P23" s="26"/>
      <c r="Q23" s="26"/>
      <c r="R23" s="27"/>
      <c r="S23" s="27"/>
      <c r="T23" s="27"/>
    </row>
    <row r="24" spans="1:20" x14ac:dyDescent="0.25">
      <c r="A24" s="26"/>
      <c r="B24" s="26"/>
      <c r="C24" s="26"/>
      <c r="D24" s="26"/>
      <c r="E24" s="26"/>
      <c r="F24" s="26"/>
      <c r="G24" s="26"/>
      <c r="H24" s="26"/>
      <c r="I24" s="26"/>
      <c r="J24" s="26"/>
      <c r="K24" s="26"/>
      <c r="L24" s="26"/>
      <c r="M24" s="26"/>
      <c r="N24" s="26"/>
      <c r="O24" s="26"/>
      <c r="P24" s="26"/>
      <c r="Q24" s="26"/>
      <c r="R24" s="27"/>
      <c r="S24" s="27"/>
      <c r="T24" s="27"/>
    </row>
    <row r="25" spans="1:20" x14ac:dyDescent="0.25">
      <c r="A25" s="26"/>
      <c r="B25" s="26"/>
      <c r="C25" s="26"/>
      <c r="D25" s="26"/>
      <c r="E25" s="26"/>
      <c r="F25" s="26"/>
      <c r="G25" s="26"/>
      <c r="H25" s="26"/>
      <c r="I25" s="26"/>
      <c r="J25" s="26"/>
      <c r="K25" s="26"/>
      <c r="L25" s="26"/>
      <c r="M25" s="26"/>
      <c r="N25" s="26"/>
      <c r="O25" s="26"/>
      <c r="P25" s="26"/>
      <c r="Q25" s="26"/>
      <c r="R25" s="27"/>
      <c r="S25" s="27"/>
      <c r="T25" s="27"/>
    </row>
    <row r="26" spans="1:20" x14ac:dyDescent="0.25">
      <c r="A26" s="26"/>
      <c r="B26" s="26"/>
      <c r="C26" s="26"/>
      <c r="D26" s="26"/>
      <c r="E26" s="26"/>
      <c r="F26" s="26"/>
      <c r="G26" s="26"/>
      <c r="H26" s="26"/>
      <c r="I26" s="26"/>
      <c r="J26" s="26"/>
      <c r="K26" s="26"/>
      <c r="L26" s="26"/>
      <c r="M26" s="26"/>
      <c r="N26" s="26"/>
      <c r="O26" s="26"/>
      <c r="P26" s="26"/>
      <c r="Q26" s="26"/>
      <c r="R26" s="27"/>
      <c r="S26" s="27"/>
      <c r="T26" s="27"/>
    </row>
    <row r="27" spans="1:20" x14ac:dyDescent="0.25">
      <c r="A27" s="26"/>
      <c r="B27" s="26"/>
      <c r="C27" s="26"/>
      <c r="D27" s="26"/>
      <c r="E27" s="26"/>
      <c r="F27" s="26"/>
      <c r="G27" s="26"/>
      <c r="H27" s="26"/>
      <c r="I27" s="26"/>
      <c r="J27" s="26"/>
      <c r="K27" s="26"/>
      <c r="L27" s="26"/>
      <c r="M27" s="26"/>
      <c r="N27" s="26"/>
      <c r="O27" s="26"/>
      <c r="P27" s="26"/>
      <c r="Q27" s="26"/>
      <c r="R27" s="27"/>
      <c r="S27" s="27"/>
      <c r="T27" s="27"/>
    </row>
    <row r="28" spans="1:20" x14ac:dyDescent="0.25">
      <c r="A28" s="26"/>
      <c r="B28" s="26"/>
      <c r="C28" s="26"/>
      <c r="D28" s="26"/>
      <c r="E28" s="26"/>
      <c r="F28" s="26"/>
      <c r="G28" s="26"/>
      <c r="H28" s="26"/>
      <c r="I28" s="26"/>
      <c r="J28" s="26"/>
      <c r="K28" s="26"/>
      <c r="L28" s="26"/>
      <c r="M28" s="26"/>
      <c r="N28" s="26"/>
      <c r="O28" s="26"/>
      <c r="P28" s="26"/>
      <c r="Q28" s="26"/>
      <c r="R28" s="27"/>
      <c r="S28" s="27"/>
      <c r="T28" s="27"/>
    </row>
    <row r="29" spans="1:20" ht="9.9499999999999993" customHeight="1" x14ac:dyDescent="0.25">
      <c r="A29" s="26"/>
      <c r="B29" s="26"/>
      <c r="C29" s="26"/>
      <c r="D29" s="26"/>
      <c r="E29" s="26"/>
      <c r="F29" s="26"/>
      <c r="G29" s="26"/>
      <c r="H29" s="26"/>
      <c r="I29" s="26"/>
      <c r="J29" s="26"/>
      <c r="K29" s="26"/>
      <c r="L29" s="26"/>
      <c r="M29" s="26"/>
      <c r="N29" s="26"/>
      <c r="O29" s="26"/>
      <c r="P29" s="26"/>
      <c r="Q29" s="26"/>
      <c r="R29" s="27"/>
      <c r="S29" s="27"/>
      <c r="T29" s="27"/>
    </row>
    <row r="30" spans="1:20" ht="15.95" customHeight="1" x14ac:dyDescent="0.25">
      <c r="A30" s="26"/>
      <c r="B30" s="34" t="s">
        <v>790</v>
      </c>
      <c r="C30" s="26"/>
      <c r="D30" s="26"/>
      <c r="E30" s="26"/>
      <c r="F30" s="26"/>
      <c r="G30" s="26"/>
      <c r="H30" s="26"/>
      <c r="I30" s="26"/>
      <c r="J30" s="26"/>
      <c r="K30" s="26"/>
      <c r="L30" s="26"/>
      <c r="M30" s="26"/>
      <c r="N30" s="26"/>
      <c r="O30" s="26"/>
      <c r="P30" s="26"/>
      <c r="Q30" s="26"/>
      <c r="R30" s="27"/>
      <c r="S30" s="27"/>
      <c r="T30" s="27"/>
    </row>
    <row r="31" spans="1:20" x14ac:dyDescent="0.25">
      <c r="A31" s="26"/>
      <c r="B31" s="26"/>
      <c r="C31" s="26"/>
      <c r="D31" s="26"/>
      <c r="E31" s="26"/>
      <c r="F31" s="26"/>
      <c r="G31" s="26"/>
      <c r="H31" s="26"/>
      <c r="I31" s="26"/>
      <c r="J31" s="26"/>
      <c r="K31" s="26"/>
      <c r="L31" s="26"/>
      <c r="M31" s="26"/>
      <c r="N31" s="26"/>
      <c r="O31" s="26"/>
      <c r="P31" s="26"/>
      <c r="Q31" s="26"/>
      <c r="R31" s="27"/>
      <c r="S31" s="27"/>
      <c r="T31" s="27"/>
    </row>
    <row r="32" spans="1:20" x14ac:dyDescent="0.25">
      <c r="A32" s="26"/>
      <c r="B32" s="26"/>
      <c r="C32" s="26"/>
      <c r="D32" s="26"/>
      <c r="E32" s="26"/>
      <c r="F32" s="26"/>
      <c r="G32" s="26"/>
      <c r="H32" s="26"/>
      <c r="I32" s="26"/>
      <c r="J32" s="26"/>
      <c r="K32" s="26"/>
      <c r="L32" s="26"/>
      <c r="M32" s="26"/>
      <c r="N32" s="26"/>
      <c r="O32" s="26"/>
      <c r="P32" s="26"/>
      <c r="Q32" s="26"/>
      <c r="R32" s="27"/>
      <c r="S32" s="27"/>
      <c r="T32" s="27"/>
    </row>
    <row r="33" spans="1:20" x14ac:dyDescent="0.25">
      <c r="A33" s="26"/>
      <c r="B33" s="26"/>
      <c r="C33" s="26"/>
      <c r="D33" s="26"/>
      <c r="E33" s="26"/>
      <c r="F33" s="26"/>
      <c r="G33" s="26"/>
      <c r="H33" s="26"/>
      <c r="I33" s="26"/>
      <c r="J33" s="26"/>
      <c r="K33" s="26"/>
      <c r="L33" s="26"/>
      <c r="M33" s="26"/>
      <c r="N33" s="26"/>
      <c r="O33" s="26"/>
      <c r="P33" s="26"/>
      <c r="Q33" s="26"/>
      <c r="R33" s="27"/>
      <c r="S33" s="27"/>
      <c r="T33" s="27"/>
    </row>
    <row r="34" spans="1:20" x14ac:dyDescent="0.25">
      <c r="A34" s="26"/>
      <c r="B34" s="26"/>
      <c r="C34" s="26"/>
      <c r="D34" s="26"/>
      <c r="E34" s="26"/>
      <c r="F34" s="26"/>
      <c r="G34" s="26"/>
      <c r="H34" s="26"/>
      <c r="I34" s="26"/>
      <c r="J34" s="26"/>
      <c r="K34" s="26"/>
      <c r="L34" s="26"/>
      <c r="M34" s="26"/>
      <c r="N34" s="26"/>
      <c r="O34" s="26"/>
      <c r="P34" s="26"/>
      <c r="Q34" s="26"/>
      <c r="R34" s="27"/>
      <c r="S34" s="27"/>
      <c r="T34" s="27"/>
    </row>
    <row r="35" spans="1:20" x14ac:dyDescent="0.25">
      <c r="A35" s="26"/>
      <c r="B35" s="26"/>
      <c r="C35" s="26"/>
      <c r="D35" s="26"/>
      <c r="E35" s="26"/>
      <c r="F35" s="26"/>
      <c r="G35" s="26"/>
      <c r="H35" s="26"/>
      <c r="I35" s="26"/>
      <c r="J35" s="26"/>
      <c r="K35" s="26"/>
      <c r="L35" s="26"/>
      <c r="M35" s="26"/>
      <c r="N35" s="26"/>
      <c r="O35" s="26"/>
      <c r="P35" s="26"/>
      <c r="Q35" s="26"/>
      <c r="R35" s="27"/>
      <c r="S35" s="27"/>
      <c r="T35" s="27"/>
    </row>
    <row r="36" spans="1:20" x14ac:dyDescent="0.25">
      <c r="A36" s="26"/>
      <c r="B36" s="26"/>
      <c r="C36" s="26"/>
      <c r="D36" s="26"/>
      <c r="E36" s="26"/>
      <c r="F36" s="26"/>
      <c r="G36" s="26"/>
      <c r="H36" s="26"/>
      <c r="I36" s="26"/>
      <c r="J36" s="26"/>
      <c r="K36" s="26"/>
      <c r="L36" s="26"/>
      <c r="M36" s="26"/>
      <c r="N36" s="26"/>
      <c r="O36" s="26"/>
      <c r="P36" s="26"/>
      <c r="Q36" s="26"/>
      <c r="R36" s="27"/>
      <c r="S36" s="27"/>
      <c r="T36" s="27"/>
    </row>
    <row r="37" spans="1:20" x14ac:dyDescent="0.25">
      <c r="A37" s="26"/>
      <c r="B37" s="26"/>
      <c r="C37" s="26"/>
      <c r="D37" s="26"/>
      <c r="E37" s="26"/>
      <c r="F37" s="26"/>
      <c r="G37" s="26"/>
      <c r="H37" s="26"/>
      <c r="I37" s="26"/>
      <c r="J37" s="26"/>
      <c r="K37" s="26"/>
      <c r="L37" s="26"/>
      <c r="M37" s="26"/>
      <c r="N37" s="26"/>
      <c r="O37" s="26"/>
      <c r="P37" s="26"/>
      <c r="Q37" s="26"/>
      <c r="R37" s="27"/>
      <c r="S37" s="27"/>
      <c r="T37" s="27"/>
    </row>
    <row r="38" spans="1:20" x14ac:dyDescent="0.25">
      <c r="A38" s="26"/>
      <c r="B38" s="26"/>
      <c r="C38" s="26"/>
      <c r="D38" s="26"/>
      <c r="E38" s="26"/>
      <c r="F38" s="26"/>
      <c r="G38" s="26"/>
      <c r="H38" s="26"/>
      <c r="I38" s="26"/>
      <c r="J38" s="26"/>
      <c r="K38" s="26"/>
      <c r="L38" s="26"/>
      <c r="M38" s="26"/>
      <c r="N38" s="26"/>
      <c r="O38" s="26"/>
      <c r="P38" s="26"/>
      <c r="Q38" s="26"/>
      <c r="R38" s="27"/>
      <c r="S38" s="27"/>
      <c r="T38" s="27"/>
    </row>
    <row r="39" spans="1:20" x14ac:dyDescent="0.25">
      <c r="A39" s="26"/>
      <c r="B39" s="26"/>
      <c r="C39" s="26"/>
      <c r="D39" s="26"/>
      <c r="E39" s="26"/>
      <c r="F39" s="26"/>
      <c r="G39" s="26"/>
      <c r="H39" s="26"/>
      <c r="I39" s="26"/>
      <c r="J39" s="26"/>
      <c r="K39" s="26"/>
      <c r="L39" s="26"/>
      <c r="M39" s="26"/>
      <c r="N39" s="26"/>
      <c r="O39" s="26"/>
      <c r="P39" s="26"/>
      <c r="Q39" s="26"/>
      <c r="R39" s="27"/>
      <c r="S39" s="27"/>
      <c r="T39" s="27"/>
    </row>
    <row r="40" spans="1:20" x14ac:dyDescent="0.25">
      <c r="A40" s="26"/>
      <c r="B40" s="26"/>
      <c r="C40" s="26"/>
      <c r="D40" s="26"/>
      <c r="E40" s="26"/>
      <c r="F40" s="26"/>
      <c r="G40" s="26"/>
      <c r="H40" s="26"/>
      <c r="I40" s="26"/>
      <c r="J40" s="26"/>
      <c r="K40" s="26"/>
      <c r="L40" s="26"/>
      <c r="M40" s="26"/>
      <c r="N40" s="26"/>
      <c r="O40" s="26"/>
      <c r="P40" s="26"/>
      <c r="Q40" s="26"/>
      <c r="R40" s="27"/>
      <c r="S40" s="27"/>
      <c r="T40" s="27"/>
    </row>
    <row r="41" spans="1:20" x14ac:dyDescent="0.25">
      <c r="A41" s="26"/>
      <c r="B41" s="26"/>
      <c r="C41" s="26"/>
      <c r="D41" s="26"/>
      <c r="E41" s="26"/>
      <c r="F41" s="26"/>
      <c r="G41" s="26"/>
      <c r="H41" s="26"/>
      <c r="I41" s="26"/>
      <c r="J41" s="26"/>
      <c r="K41" s="26"/>
      <c r="L41" s="26"/>
      <c r="M41" s="26"/>
      <c r="N41" s="26"/>
      <c r="O41" s="26"/>
      <c r="P41" s="26"/>
      <c r="Q41" s="26"/>
      <c r="R41" s="27"/>
      <c r="S41" s="27"/>
      <c r="T41" s="27"/>
    </row>
    <row r="42" spans="1:20" x14ac:dyDescent="0.25">
      <c r="A42" s="26"/>
      <c r="B42" s="26"/>
      <c r="C42" s="26"/>
      <c r="D42" s="26"/>
      <c r="E42" s="26"/>
      <c r="F42" s="26"/>
      <c r="G42" s="26"/>
      <c r="H42" s="26"/>
      <c r="I42" s="26"/>
      <c r="J42" s="26"/>
      <c r="K42" s="26"/>
      <c r="L42" s="26"/>
      <c r="M42" s="26"/>
      <c r="N42" s="26"/>
      <c r="O42" s="26"/>
      <c r="P42" s="26"/>
      <c r="Q42" s="26"/>
      <c r="R42" s="27"/>
      <c r="S42" s="27"/>
      <c r="T42" s="27"/>
    </row>
    <row r="43" spans="1:20" x14ac:dyDescent="0.25">
      <c r="A43" s="26"/>
      <c r="B43" s="26"/>
      <c r="C43" s="26"/>
      <c r="D43" s="26"/>
      <c r="E43" s="26"/>
      <c r="F43" s="26"/>
      <c r="G43" s="26"/>
      <c r="H43" s="26"/>
      <c r="I43" s="26"/>
      <c r="J43" s="26"/>
      <c r="K43" s="26"/>
      <c r="L43" s="26"/>
      <c r="M43" s="26"/>
      <c r="N43" s="26"/>
      <c r="O43" s="26"/>
      <c r="P43" s="26"/>
      <c r="Q43" s="26"/>
      <c r="R43" s="27"/>
      <c r="S43" s="27"/>
      <c r="T43" s="27"/>
    </row>
    <row r="44" spans="1:20" x14ac:dyDescent="0.25">
      <c r="A44" s="26"/>
      <c r="B44" s="26"/>
      <c r="C44" s="26"/>
      <c r="D44" s="26"/>
      <c r="E44" s="26"/>
      <c r="F44" s="26"/>
      <c r="G44" s="26"/>
      <c r="H44" s="26"/>
      <c r="I44" s="26"/>
      <c r="J44" s="26"/>
      <c r="K44" s="26"/>
      <c r="L44" s="26"/>
      <c r="M44" s="26"/>
      <c r="N44" s="26"/>
      <c r="O44" s="26"/>
      <c r="P44" s="26"/>
      <c r="Q44" s="26"/>
      <c r="R44" s="27"/>
      <c r="S44" s="27"/>
      <c r="T44" s="27"/>
    </row>
    <row r="45" spans="1:20" x14ac:dyDescent="0.25">
      <c r="A45" s="26"/>
      <c r="B45" s="26"/>
      <c r="C45" s="26"/>
      <c r="D45" s="26"/>
      <c r="E45" s="26"/>
      <c r="F45" s="26"/>
      <c r="G45" s="26"/>
      <c r="H45" s="26"/>
      <c r="I45" s="26"/>
      <c r="J45" s="26"/>
      <c r="K45" s="26"/>
      <c r="L45" s="26"/>
      <c r="M45" s="26"/>
      <c r="N45" s="26"/>
      <c r="O45" s="26"/>
      <c r="P45" s="26"/>
      <c r="Q45" s="26"/>
      <c r="R45" s="27"/>
      <c r="S45" s="27"/>
      <c r="T45" s="27"/>
    </row>
    <row r="46" spans="1:20" x14ac:dyDescent="0.25">
      <c r="A46" s="26"/>
      <c r="B46" s="26"/>
      <c r="C46" s="26"/>
      <c r="D46" s="26"/>
      <c r="E46" s="26"/>
      <c r="F46" s="26"/>
      <c r="G46" s="26"/>
      <c r="H46" s="26"/>
      <c r="I46" s="26"/>
      <c r="J46" s="26"/>
      <c r="K46" s="26"/>
      <c r="L46" s="26"/>
      <c r="M46" s="26"/>
      <c r="N46" s="26"/>
      <c r="O46" s="26"/>
      <c r="P46" s="26"/>
      <c r="Q46" s="26"/>
      <c r="R46" s="27"/>
      <c r="S46" s="27"/>
      <c r="T46" s="27"/>
    </row>
    <row r="47" spans="1:20" x14ac:dyDescent="0.25">
      <c r="A47" s="26"/>
      <c r="B47" s="26"/>
      <c r="C47" s="26"/>
      <c r="D47" s="26"/>
      <c r="E47" s="26"/>
      <c r="F47" s="26"/>
      <c r="G47" s="26"/>
      <c r="H47" s="26"/>
      <c r="I47" s="26"/>
      <c r="J47" s="26"/>
      <c r="K47" s="26"/>
      <c r="L47" s="26"/>
      <c r="M47" s="26"/>
      <c r="N47" s="26"/>
      <c r="O47" s="26"/>
      <c r="P47" s="26"/>
      <c r="Q47" s="26"/>
      <c r="R47" s="27"/>
      <c r="S47" s="27"/>
      <c r="T47" s="27"/>
    </row>
    <row r="48" spans="1:20" x14ac:dyDescent="0.25">
      <c r="A48" s="26"/>
      <c r="B48" s="26"/>
      <c r="C48" s="26"/>
      <c r="D48" s="26"/>
      <c r="E48" s="26"/>
      <c r="F48" s="26"/>
      <c r="G48" s="26"/>
      <c r="H48" s="26"/>
      <c r="I48" s="26"/>
      <c r="J48" s="26"/>
      <c r="K48" s="26"/>
      <c r="L48" s="26"/>
      <c r="M48" s="26"/>
      <c r="N48" s="26"/>
      <c r="O48" s="26"/>
      <c r="P48" s="26"/>
      <c r="Q48" s="26"/>
      <c r="R48" s="27"/>
      <c r="S48" s="27"/>
      <c r="T48" s="27"/>
    </row>
    <row r="49" spans="1:20" ht="14.1" customHeight="1" x14ac:dyDescent="0.25">
      <c r="A49" s="26"/>
      <c r="B49" s="26"/>
      <c r="C49" s="26"/>
      <c r="D49" s="26"/>
      <c r="E49" s="26"/>
      <c r="F49" s="26"/>
      <c r="G49" s="26"/>
      <c r="H49" s="26"/>
      <c r="I49" s="26"/>
      <c r="J49" s="26"/>
      <c r="K49" s="26"/>
      <c r="L49" s="26"/>
      <c r="M49" s="26"/>
      <c r="N49" s="26"/>
      <c r="O49" s="26"/>
      <c r="P49" s="26"/>
      <c r="Q49" s="26"/>
      <c r="R49" s="27"/>
      <c r="S49" s="27"/>
      <c r="T49" s="27"/>
    </row>
    <row r="50" spans="1:20" ht="32.1" customHeight="1" x14ac:dyDescent="0.25">
      <c r="A50" s="26"/>
      <c r="B50" s="137" t="s">
        <v>791</v>
      </c>
      <c r="C50" s="120"/>
      <c r="D50" s="120"/>
      <c r="E50" s="120"/>
      <c r="F50" s="120"/>
      <c r="G50" s="120"/>
      <c r="H50" s="120"/>
      <c r="I50" s="120"/>
      <c r="J50" s="120"/>
      <c r="K50" s="120"/>
      <c r="L50" s="120"/>
      <c r="M50" s="120"/>
      <c r="N50" s="120"/>
      <c r="O50" s="120"/>
      <c r="P50" s="120"/>
      <c r="Q50" s="26"/>
      <c r="R50" s="27"/>
      <c r="S50" s="27"/>
      <c r="T50" s="27"/>
    </row>
    <row r="51" spans="1:20" ht="8.1" customHeight="1" x14ac:dyDescent="0.25">
      <c r="A51" s="26"/>
      <c r="B51" s="35"/>
      <c r="C51" s="35"/>
      <c r="D51" s="35"/>
      <c r="E51" s="35"/>
      <c r="F51" s="35"/>
      <c r="G51" s="35"/>
      <c r="H51" s="35"/>
      <c r="I51" s="35"/>
      <c r="J51" s="35"/>
      <c r="K51" s="35"/>
      <c r="L51" s="35"/>
      <c r="M51" s="35"/>
      <c r="N51" s="26"/>
      <c r="O51" s="26"/>
      <c r="P51" s="26"/>
      <c r="Q51" s="26"/>
      <c r="R51" s="27"/>
      <c r="S51" s="27"/>
      <c r="T51" s="27"/>
    </row>
    <row r="52" spans="1:20" ht="15.95" customHeight="1" x14ac:dyDescent="0.25">
      <c r="A52" s="26"/>
      <c r="B52" s="36" t="s">
        <v>792</v>
      </c>
      <c r="C52" s="35"/>
      <c r="D52" s="35"/>
      <c r="E52" s="35"/>
      <c r="F52" s="35"/>
      <c r="G52" s="35"/>
      <c r="H52" s="35"/>
      <c r="I52" s="35"/>
      <c r="J52" s="36" t="s">
        <v>793</v>
      </c>
      <c r="K52" s="35"/>
      <c r="L52" s="35"/>
      <c r="M52" s="35"/>
      <c r="N52" s="26"/>
      <c r="O52" s="26"/>
      <c r="P52" s="26"/>
      <c r="Q52" s="26"/>
      <c r="R52" s="27"/>
      <c r="S52" s="27"/>
      <c r="T52" s="27"/>
    </row>
    <row r="53" spans="1:20" x14ac:dyDescent="0.25">
      <c r="A53" s="26"/>
      <c r="B53" s="35"/>
      <c r="C53" s="35"/>
      <c r="D53" s="35"/>
      <c r="E53" s="35"/>
      <c r="F53" s="35"/>
      <c r="G53" s="35"/>
      <c r="H53" s="35"/>
      <c r="I53" s="35"/>
      <c r="J53" s="35"/>
      <c r="K53" s="35"/>
      <c r="L53" s="35"/>
      <c r="M53" s="35"/>
      <c r="N53" s="26"/>
      <c r="O53" s="26"/>
      <c r="P53" s="26"/>
      <c r="Q53" s="26"/>
      <c r="R53" s="27"/>
      <c r="S53" s="27"/>
      <c r="T53" s="27"/>
    </row>
    <row r="54" spans="1:20" x14ac:dyDescent="0.25">
      <c r="A54" s="26"/>
      <c r="B54" s="37"/>
      <c r="C54" s="37"/>
      <c r="D54" s="37"/>
      <c r="E54" s="37"/>
      <c r="F54" s="37"/>
      <c r="G54" s="37"/>
      <c r="H54" s="37"/>
      <c r="I54" s="37"/>
      <c r="J54" s="37"/>
      <c r="K54" s="37"/>
      <c r="L54" s="37"/>
      <c r="M54" s="37"/>
      <c r="N54" s="26"/>
      <c r="O54" s="26"/>
      <c r="P54" s="26"/>
      <c r="Q54" s="26"/>
      <c r="R54" s="27"/>
      <c r="S54" s="27"/>
      <c r="T54" s="27"/>
    </row>
    <row r="55" spans="1:20" x14ac:dyDescent="0.25">
      <c r="A55" s="26"/>
      <c r="B55" s="35"/>
      <c r="C55" s="35"/>
      <c r="D55" s="35"/>
      <c r="E55" s="35"/>
      <c r="F55" s="35"/>
      <c r="G55" s="35"/>
      <c r="H55" s="35"/>
      <c r="I55" s="35"/>
      <c r="J55" s="35"/>
      <c r="K55" s="35"/>
      <c r="L55" s="35"/>
      <c r="M55" s="35"/>
      <c r="N55" s="26"/>
      <c r="O55" s="26"/>
      <c r="P55" s="26"/>
      <c r="Q55" s="26"/>
      <c r="R55" s="27"/>
      <c r="S55" s="27"/>
      <c r="T55" s="27"/>
    </row>
    <row r="56" spans="1:20" x14ac:dyDescent="0.25">
      <c r="A56" s="26"/>
      <c r="B56" s="37"/>
      <c r="C56" s="37"/>
      <c r="D56" s="37"/>
      <c r="E56" s="37"/>
      <c r="F56" s="37"/>
      <c r="G56" s="37"/>
      <c r="H56" s="37"/>
      <c r="I56" s="37"/>
      <c r="J56" s="37"/>
      <c r="K56" s="37"/>
      <c r="L56" s="37"/>
      <c r="M56" s="37"/>
      <c r="N56" s="26"/>
      <c r="O56" s="26"/>
      <c r="P56" s="26"/>
      <c r="Q56" s="26"/>
      <c r="R56" s="27"/>
      <c r="S56" s="27"/>
      <c r="T56" s="27"/>
    </row>
    <row r="57" spans="1:20" x14ac:dyDescent="0.25">
      <c r="A57" s="26"/>
      <c r="B57" s="26"/>
      <c r="C57" s="26"/>
      <c r="D57" s="26"/>
      <c r="E57" s="26"/>
      <c r="F57" s="26"/>
      <c r="G57" s="26"/>
      <c r="H57" s="26"/>
      <c r="I57" s="26"/>
      <c r="J57" s="26"/>
      <c r="K57" s="26"/>
      <c r="L57" s="26"/>
      <c r="M57" s="26"/>
      <c r="N57" s="26"/>
      <c r="O57" s="26"/>
      <c r="P57" s="26"/>
      <c r="Q57" s="26"/>
      <c r="R57" s="27"/>
      <c r="S57" s="27"/>
      <c r="T57" s="27"/>
    </row>
    <row r="58" spans="1:20" x14ac:dyDescent="0.25">
      <c r="A58" s="26"/>
      <c r="B58" s="26"/>
      <c r="C58" s="26"/>
      <c r="D58" s="26"/>
      <c r="E58" s="26"/>
      <c r="F58" s="26"/>
      <c r="G58" s="26"/>
      <c r="H58" s="26"/>
      <c r="I58" s="26"/>
      <c r="J58" s="26"/>
      <c r="K58" s="26"/>
      <c r="L58" s="26"/>
      <c r="M58" s="26"/>
      <c r="N58" s="26"/>
      <c r="O58" s="26"/>
      <c r="P58" s="26"/>
      <c r="Q58" s="26"/>
      <c r="R58" s="27"/>
      <c r="S58" s="27"/>
      <c r="T58" s="27"/>
    </row>
    <row r="59" spans="1:20" x14ac:dyDescent="0.25">
      <c r="A59" s="26"/>
      <c r="B59" s="35"/>
      <c r="C59" s="35"/>
      <c r="D59" s="35"/>
      <c r="E59" s="35"/>
      <c r="F59" s="35"/>
      <c r="G59" s="35"/>
      <c r="H59" s="35"/>
      <c r="I59" s="35"/>
      <c r="J59" s="35"/>
      <c r="K59" s="35"/>
      <c r="L59" s="35"/>
      <c r="M59" s="35"/>
      <c r="N59" s="35"/>
      <c r="O59" s="26"/>
      <c r="P59" s="26"/>
      <c r="Q59" s="26"/>
      <c r="R59" s="27"/>
      <c r="S59" s="27"/>
      <c r="T59" s="27"/>
    </row>
    <row r="60" spans="1:20" x14ac:dyDescent="0.25">
      <c r="A60" s="26"/>
      <c r="B60" s="35"/>
      <c r="C60" s="35"/>
      <c r="D60" s="35"/>
      <c r="E60" s="35"/>
      <c r="F60" s="35"/>
      <c r="G60" s="35"/>
      <c r="H60" s="35"/>
      <c r="I60" s="35"/>
      <c r="J60" s="35"/>
      <c r="K60" s="35"/>
      <c r="L60" s="35"/>
      <c r="M60" s="35"/>
      <c r="N60" s="35"/>
      <c r="O60" s="26"/>
      <c r="P60" s="26"/>
      <c r="Q60" s="26"/>
      <c r="R60" s="27"/>
      <c r="S60" s="27"/>
      <c r="T60" s="27"/>
    </row>
    <row r="61" spans="1:20" x14ac:dyDescent="0.25">
      <c r="A61" s="26"/>
      <c r="B61" s="35"/>
      <c r="C61" s="35"/>
      <c r="D61" s="35"/>
      <c r="E61" s="35"/>
      <c r="F61" s="35"/>
      <c r="G61" s="35"/>
      <c r="H61" s="35"/>
      <c r="I61" s="35"/>
      <c r="J61" s="35"/>
      <c r="K61" s="35"/>
      <c r="L61" s="35"/>
      <c r="M61" s="35"/>
      <c r="N61" s="35"/>
      <c r="O61" s="26"/>
      <c r="P61" s="26"/>
      <c r="Q61" s="26"/>
      <c r="R61" s="27"/>
      <c r="S61" s="27"/>
      <c r="T61" s="27"/>
    </row>
    <row r="62" spans="1:20" x14ac:dyDescent="0.25">
      <c r="A62" s="26"/>
      <c r="B62" s="35"/>
      <c r="C62" s="35"/>
      <c r="D62" s="35"/>
      <c r="E62" s="35"/>
      <c r="F62" s="35"/>
      <c r="G62" s="35"/>
      <c r="H62" s="35"/>
      <c r="I62" s="35"/>
      <c r="J62" s="35"/>
      <c r="K62" s="35"/>
      <c r="L62" s="35"/>
      <c r="M62" s="35"/>
      <c r="N62" s="35"/>
      <c r="O62" s="26"/>
      <c r="P62" s="26"/>
      <c r="Q62" s="26"/>
      <c r="R62" s="27"/>
      <c r="S62" s="27"/>
      <c r="T62" s="27"/>
    </row>
    <row r="63" spans="1:20" x14ac:dyDescent="0.25">
      <c r="A63" s="26"/>
      <c r="B63" s="35"/>
      <c r="C63" s="35"/>
      <c r="D63" s="35"/>
      <c r="E63" s="35"/>
      <c r="F63" s="35"/>
      <c r="G63" s="35"/>
      <c r="H63" s="35"/>
      <c r="I63" s="35"/>
      <c r="J63" s="35"/>
      <c r="K63" s="35"/>
      <c r="L63" s="35"/>
      <c r="M63" s="35"/>
      <c r="N63" s="35"/>
      <c r="O63" s="26"/>
      <c r="P63" s="26"/>
      <c r="Q63" s="26"/>
      <c r="R63" s="27"/>
      <c r="S63" s="27"/>
      <c r="T63" s="27"/>
    </row>
    <row r="64" spans="1:20" x14ac:dyDescent="0.25">
      <c r="A64" s="26"/>
      <c r="B64" s="35"/>
      <c r="C64" s="35"/>
      <c r="D64" s="35"/>
      <c r="E64" s="35"/>
      <c r="F64" s="35"/>
      <c r="G64" s="35"/>
      <c r="H64" s="35"/>
      <c r="I64" s="35"/>
      <c r="J64" s="35"/>
      <c r="K64" s="35"/>
      <c r="L64" s="35"/>
      <c r="M64" s="35"/>
      <c r="N64" s="35"/>
      <c r="O64" s="26"/>
      <c r="P64" s="26"/>
      <c r="Q64" s="26"/>
      <c r="R64" s="27"/>
      <c r="S64" s="27"/>
      <c r="T64" s="27"/>
    </row>
    <row r="65" spans="1:20" x14ac:dyDescent="0.25">
      <c r="A65" s="26"/>
      <c r="B65" s="35"/>
      <c r="C65" s="35"/>
      <c r="D65" s="35"/>
      <c r="E65" s="35"/>
      <c r="F65" s="35"/>
      <c r="G65" s="35"/>
      <c r="H65" s="35"/>
      <c r="I65" s="35"/>
      <c r="J65" s="35"/>
      <c r="K65" s="35"/>
      <c r="L65" s="35"/>
      <c r="M65" s="35"/>
      <c r="N65" s="35"/>
      <c r="O65" s="26"/>
      <c r="P65" s="26"/>
      <c r="Q65" s="26"/>
      <c r="R65" s="27"/>
      <c r="S65" s="27"/>
      <c r="T65" s="27"/>
    </row>
    <row r="66" spans="1:20" x14ac:dyDescent="0.25">
      <c r="A66" s="26"/>
      <c r="B66" s="26"/>
      <c r="C66" s="26"/>
      <c r="D66" s="26"/>
      <c r="E66" s="26"/>
      <c r="F66" s="26"/>
      <c r="G66" s="26"/>
      <c r="H66" s="26"/>
      <c r="I66" s="26"/>
      <c r="J66" s="26"/>
      <c r="K66" s="26"/>
      <c r="L66" s="26"/>
      <c r="M66" s="26"/>
      <c r="N66" s="26"/>
      <c r="O66" s="26"/>
      <c r="P66" s="26"/>
      <c r="Q66" s="26"/>
      <c r="R66" s="27"/>
      <c r="S66" s="27"/>
      <c r="T66" s="27"/>
    </row>
    <row r="67" spans="1:20" x14ac:dyDescent="0.25">
      <c r="A67" s="26"/>
      <c r="B67" s="26"/>
      <c r="C67" s="26"/>
      <c r="D67" s="26"/>
      <c r="E67" s="26"/>
      <c r="F67" s="26"/>
      <c r="G67" s="26"/>
      <c r="H67" s="26"/>
      <c r="I67" s="26"/>
      <c r="J67" s="26"/>
      <c r="K67" s="26"/>
      <c r="L67" s="26"/>
      <c r="M67" s="26"/>
      <c r="N67" s="26"/>
      <c r="O67" s="26"/>
      <c r="P67" s="26"/>
      <c r="Q67" s="26"/>
      <c r="R67" s="27"/>
      <c r="S67" s="27"/>
      <c r="T67" s="27"/>
    </row>
    <row r="68" spans="1:20" x14ac:dyDescent="0.25">
      <c r="A68" s="26"/>
      <c r="B68" s="35"/>
      <c r="C68" s="35"/>
      <c r="D68" s="35"/>
      <c r="E68" s="26"/>
      <c r="F68" s="26"/>
      <c r="G68" s="26"/>
      <c r="H68" s="26"/>
      <c r="I68" s="26"/>
      <c r="J68" s="26"/>
      <c r="K68" s="26"/>
      <c r="L68" s="26"/>
      <c r="M68" s="26"/>
      <c r="N68" s="26"/>
      <c r="O68" s="26"/>
      <c r="P68" s="26"/>
      <c r="Q68" s="26"/>
      <c r="R68" s="27"/>
      <c r="S68" s="27"/>
      <c r="T68" s="27"/>
    </row>
    <row r="69" spans="1:20" x14ac:dyDescent="0.25">
      <c r="A69" s="26"/>
      <c r="B69" s="35"/>
      <c r="C69" s="35"/>
      <c r="D69" s="35"/>
      <c r="E69" s="26"/>
      <c r="F69" s="26"/>
      <c r="G69" s="26"/>
      <c r="H69" s="26"/>
      <c r="I69" s="26"/>
      <c r="J69" s="26"/>
      <c r="K69" s="26"/>
      <c r="L69" s="26"/>
      <c r="M69" s="26"/>
      <c r="N69" s="26"/>
      <c r="O69" s="26"/>
      <c r="P69" s="26"/>
      <c r="Q69" s="26"/>
      <c r="R69" s="27"/>
      <c r="S69" s="27"/>
      <c r="T69" s="27"/>
    </row>
    <row r="70" spans="1:20" x14ac:dyDescent="0.25">
      <c r="A70" s="26"/>
      <c r="B70" s="35"/>
      <c r="C70" s="35"/>
      <c r="D70" s="35"/>
      <c r="E70" s="26"/>
      <c r="F70" s="26"/>
      <c r="G70" s="26"/>
      <c r="H70" s="26"/>
      <c r="I70" s="26"/>
      <c r="J70" s="26"/>
      <c r="K70" s="26"/>
      <c r="L70" s="26"/>
      <c r="M70" s="26"/>
      <c r="N70" s="26"/>
      <c r="O70" s="26"/>
      <c r="P70" s="26"/>
      <c r="Q70" s="26"/>
      <c r="R70" s="27"/>
      <c r="S70" s="27"/>
      <c r="T70" s="27"/>
    </row>
    <row r="71" spans="1:20" ht="9.9499999999999993" customHeight="1" x14ac:dyDescent="0.25">
      <c r="A71" s="26"/>
      <c r="B71" s="35"/>
      <c r="C71" s="35"/>
      <c r="D71" s="35"/>
      <c r="E71" s="26"/>
      <c r="F71" s="26"/>
      <c r="G71" s="26"/>
      <c r="H71" s="26"/>
      <c r="I71" s="26"/>
      <c r="J71" s="26"/>
      <c r="K71" s="26"/>
      <c r="L71" s="26"/>
      <c r="M71" s="26"/>
      <c r="N71" s="26"/>
      <c r="O71" s="26"/>
      <c r="P71" s="26"/>
      <c r="Q71" s="26"/>
      <c r="R71" s="27"/>
      <c r="S71" s="27"/>
      <c r="T71" s="27"/>
    </row>
    <row r="72" spans="1:20" ht="15.95" customHeight="1" x14ac:dyDescent="0.25">
      <c r="A72" s="26"/>
      <c r="B72" s="34" t="s">
        <v>794</v>
      </c>
      <c r="C72" s="26"/>
      <c r="D72" s="26"/>
      <c r="E72" s="26"/>
      <c r="F72" s="26"/>
      <c r="G72" s="26"/>
      <c r="H72" s="26"/>
      <c r="I72" s="26"/>
      <c r="J72" s="26"/>
      <c r="K72" s="26"/>
      <c r="L72" s="26"/>
      <c r="M72" s="26"/>
      <c r="N72" s="26"/>
      <c r="O72" s="26"/>
      <c r="P72" s="26"/>
      <c r="Q72" s="26"/>
      <c r="R72" s="27"/>
      <c r="S72" s="27"/>
      <c r="T72" s="27"/>
    </row>
    <row r="73" spans="1:20" x14ac:dyDescent="0.25">
      <c r="A73" s="26"/>
      <c r="B73" s="26"/>
      <c r="C73" s="26"/>
      <c r="D73" s="26"/>
      <c r="E73" s="26"/>
      <c r="F73" s="26"/>
      <c r="G73" s="26"/>
      <c r="H73" s="26"/>
      <c r="I73" s="26"/>
      <c r="J73" s="26"/>
      <c r="K73" s="26"/>
      <c r="L73" s="26"/>
      <c r="M73" s="26"/>
      <c r="N73" s="26"/>
      <c r="O73" s="26"/>
      <c r="P73" s="26"/>
      <c r="Q73" s="26"/>
      <c r="R73" s="27"/>
      <c r="S73" s="27"/>
      <c r="T73" s="27"/>
    </row>
    <row r="74" spans="1:20" x14ac:dyDescent="0.25">
      <c r="A74" s="26"/>
      <c r="B74" s="35"/>
      <c r="C74" s="35"/>
      <c r="D74" s="35"/>
      <c r="E74" s="35"/>
      <c r="F74" s="26"/>
      <c r="G74" s="26"/>
      <c r="H74" s="26"/>
      <c r="I74" s="26"/>
      <c r="J74" s="26"/>
      <c r="K74" s="26"/>
      <c r="L74" s="26"/>
      <c r="M74" s="26"/>
      <c r="N74" s="26"/>
      <c r="O74" s="26"/>
      <c r="P74" s="26"/>
      <c r="Q74" s="26"/>
      <c r="R74" s="27"/>
      <c r="S74" s="27"/>
      <c r="T74" s="27"/>
    </row>
    <row r="75" spans="1:20" x14ac:dyDescent="0.25">
      <c r="A75" s="26"/>
      <c r="B75" s="35"/>
      <c r="C75" s="35"/>
      <c r="D75" s="35"/>
      <c r="E75" s="35"/>
      <c r="F75" s="26"/>
      <c r="G75" s="26"/>
      <c r="H75" s="26"/>
      <c r="I75" s="26"/>
      <c r="J75" s="26"/>
      <c r="K75" s="26"/>
      <c r="L75" s="26"/>
      <c r="M75" s="26"/>
      <c r="N75" s="26"/>
      <c r="O75" s="26"/>
      <c r="P75" s="26"/>
      <c r="Q75" s="26"/>
      <c r="R75" s="27"/>
      <c r="S75" s="27"/>
      <c r="T75" s="27"/>
    </row>
    <row r="76" spans="1:20" x14ac:dyDescent="0.25">
      <c r="A76" s="26"/>
      <c r="B76" s="35"/>
      <c r="C76" s="35"/>
      <c r="D76" s="35"/>
      <c r="E76" s="35"/>
      <c r="F76" s="26"/>
      <c r="G76" s="26"/>
      <c r="H76" s="26"/>
      <c r="I76" s="26"/>
      <c r="J76" s="26"/>
      <c r="K76" s="26"/>
      <c r="L76" s="26"/>
      <c r="M76" s="26"/>
      <c r="N76" s="26"/>
      <c r="O76" s="26"/>
      <c r="P76" s="26"/>
      <c r="Q76" s="26"/>
      <c r="R76" s="27"/>
      <c r="S76" s="27"/>
      <c r="T76" s="27"/>
    </row>
    <row r="77" spans="1:20" x14ac:dyDescent="0.25">
      <c r="A77" s="26"/>
      <c r="B77" s="35"/>
      <c r="C77" s="35"/>
      <c r="D77" s="35"/>
      <c r="E77" s="35"/>
      <c r="F77" s="26"/>
      <c r="G77" s="26"/>
      <c r="H77" s="26"/>
      <c r="I77" s="26"/>
      <c r="J77" s="26"/>
      <c r="K77" s="26"/>
      <c r="L77" s="26"/>
      <c r="M77" s="26"/>
      <c r="N77" s="26"/>
      <c r="O77" s="26"/>
      <c r="P77" s="26"/>
      <c r="Q77" s="26"/>
      <c r="R77" s="27"/>
      <c r="S77" s="27"/>
      <c r="T77" s="27"/>
    </row>
    <row r="78" spans="1:20" x14ac:dyDescent="0.25">
      <c r="A78" s="26"/>
      <c r="B78" s="35"/>
      <c r="C78" s="35"/>
      <c r="D78" s="35"/>
      <c r="E78" s="35"/>
      <c r="F78" s="26"/>
      <c r="G78" s="26"/>
      <c r="H78" s="26"/>
      <c r="I78" s="26"/>
      <c r="J78" s="26"/>
      <c r="K78" s="26"/>
      <c r="L78" s="26"/>
      <c r="M78" s="26"/>
      <c r="N78" s="26"/>
      <c r="O78" s="26"/>
      <c r="P78" s="26"/>
      <c r="Q78" s="26"/>
      <c r="R78" s="27"/>
      <c r="S78" s="27"/>
      <c r="T78" s="27"/>
    </row>
    <row r="79" spans="1:20" x14ac:dyDescent="0.25">
      <c r="A79" s="26"/>
      <c r="B79" s="35"/>
      <c r="C79" s="35"/>
      <c r="D79" s="35"/>
      <c r="E79" s="35"/>
      <c r="F79" s="26"/>
      <c r="G79" s="26"/>
      <c r="H79" s="26"/>
      <c r="I79" s="26"/>
      <c r="J79" s="26"/>
      <c r="K79" s="26"/>
      <c r="L79" s="26"/>
      <c r="M79" s="26"/>
      <c r="N79" s="26"/>
      <c r="O79" s="26"/>
      <c r="P79" s="26"/>
      <c r="Q79" s="26"/>
      <c r="R79" s="27"/>
      <c r="S79" s="27"/>
      <c r="T79" s="27"/>
    </row>
    <row r="80" spans="1:20" x14ac:dyDescent="0.25">
      <c r="A80" s="26"/>
      <c r="B80" s="35"/>
      <c r="C80" s="35"/>
      <c r="D80" s="35"/>
      <c r="E80" s="35"/>
      <c r="F80" s="26"/>
      <c r="G80" s="26"/>
      <c r="H80" s="26"/>
      <c r="I80" s="26"/>
      <c r="J80" s="26"/>
      <c r="K80" s="26"/>
      <c r="L80" s="26"/>
      <c r="M80" s="26"/>
      <c r="N80" s="26"/>
      <c r="O80" s="26"/>
      <c r="P80" s="26"/>
      <c r="Q80" s="26"/>
      <c r="R80" s="27"/>
      <c r="S80" s="27"/>
      <c r="T80" s="27"/>
    </row>
    <row r="81" spans="1:20" x14ac:dyDescent="0.25">
      <c r="A81" s="26"/>
      <c r="B81" s="26"/>
      <c r="C81" s="26"/>
      <c r="D81" s="26"/>
      <c r="E81" s="26"/>
      <c r="F81" s="26"/>
      <c r="G81" s="26"/>
      <c r="H81" s="26"/>
      <c r="I81" s="26"/>
      <c r="J81" s="26"/>
      <c r="K81" s="26"/>
      <c r="L81" s="26"/>
      <c r="M81" s="26"/>
      <c r="N81" s="26"/>
      <c r="O81" s="26"/>
      <c r="P81" s="26"/>
      <c r="Q81" s="26"/>
      <c r="R81" s="27"/>
      <c r="S81" s="27"/>
      <c r="T81" s="27"/>
    </row>
    <row r="82" spans="1:20" x14ac:dyDescent="0.25">
      <c r="A82" s="26"/>
      <c r="B82" s="26"/>
      <c r="C82" s="26"/>
      <c r="D82" s="26"/>
      <c r="E82" s="26"/>
      <c r="F82" s="26"/>
      <c r="G82" s="26"/>
      <c r="H82" s="26"/>
      <c r="I82" s="26"/>
      <c r="J82" s="26"/>
      <c r="K82" s="26"/>
      <c r="L82" s="26"/>
      <c r="M82" s="26"/>
      <c r="N82" s="26"/>
      <c r="O82" s="26"/>
      <c r="P82" s="26"/>
      <c r="Q82" s="26"/>
      <c r="R82" s="27"/>
      <c r="S82" s="27"/>
      <c r="T82" s="27"/>
    </row>
    <row r="83" spans="1:20" x14ac:dyDescent="0.25">
      <c r="A83" s="26"/>
      <c r="B83" s="35"/>
      <c r="C83" s="35"/>
      <c r="D83" s="35"/>
      <c r="E83" s="35"/>
      <c r="F83" s="26"/>
      <c r="G83" s="26"/>
      <c r="H83" s="26"/>
      <c r="I83" s="26"/>
      <c r="J83" s="26"/>
      <c r="K83" s="26"/>
      <c r="L83" s="26"/>
      <c r="M83" s="26"/>
      <c r="N83" s="26"/>
      <c r="O83" s="26"/>
      <c r="P83" s="26"/>
      <c r="Q83" s="26"/>
      <c r="R83" s="27"/>
      <c r="S83" s="27"/>
      <c r="T83" s="27"/>
    </row>
    <row r="84" spans="1:20" x14ac:dyDescent="0.25">
      <c r="A84" s="26"/>
      <c r="B84" s="35"/>
      <c r="C84" s="35"/>
      <c r="D84" s="35"/>
      <c r="E84" s="35"/>
      <c r="F84" s="26"/>
      <c r="G84" s="26"/>
      <c r="H84" s="26"/>
      <c r="I84" s="26"/>
      <c r="J84" s="26"/>
      <c r="K84" s="26"/>
      <c r="L84" s="26"/>
      <c r="M84" s="26"/>
      <c r="N84" s="26"/>
      <c r="O84" s="26"/>
      <c r="P84" s="26"/>
      <c r="Q84" s="26"/>
      <c r="R84" s="27"/>
      <c r="S84" s="27"/>
      <c r="T84" s="27"/>
    </row>
    <row r="85" spans="1:20" x14ac:dyDescent="0.25">
      <c r="A85" s="26"/>
      <c r="B85" s="35"/>
      <c r="C85" s="35"/>
      <c r="D85" s="35"/>
      <c r="E85" s="35"/>
      <c r="F85" s="26"/>
      <c r="G85" s="26"/>
      <c r="H85" s="26"/>
      <c r="I85" s="26"/>
      <c r="J85" s="26"/>
      <c r="K85" s="26"/>
      <c r="L85" s="26"/>
      <c r="M85" s="26"/>
      <c r="N85" s="26"/>
      <c r="O85" s="26"/>
      <c r="P85" s="26"/>
      <c r="Q85" s="26"/>
      <c r="R85" s="27"/>
      <c r="S85" s="27"/>
      <c r="T85" s="27"/>
    </row>
    <row r="86" spans="1:20" x14ac:dyDescent="0.25">
      <c r="A86" s="26"/>
      <c r="B86" s="35"/>
      <c r="C86" s="35"/>
      <c r="D86" s="35"/>
      <c r="E86" s="35"/>
      <c r="F86" s="26"/>
      <c r="G86" s="26"/>
      <c r="H86" s="26"/>
      <c r="I86" s="26"/>
      <c r="J86" s="26"/>
      <c r="K86" s="26"/>
      <c r="L86" s="26"/>
      <c r="M86" s="26"/>
      <c r="N86" s="26"/>
      <c r="O86" s="26"/>
      <c r="P86" s="26"/>
      <c r="Q86" s="26"/>
      <c r="R86" s="27"/>
      <c r="S86" s="27"/>
      <c r="T86" s="27"/>
    </row>
    <row r="87" spans="1:20" x14ac:dyDescent="0.25">
      <c r="A87" s="26"/>
      <c r="B87" s="35"/>
      <c r="C87" s="35"/>
      <c r="D87" s="35"/>
      <c r="E87" s="35"/>
      <c r="F87" s="26"/>
      <c r="G87" s="26"/>
      <c r="H87" s="26"/>
      <c r="I87" s="26"/>
      <c r="J87" s="26"/>
      <c r="K87" s="26"/>
      <c r="L87" s="26"/>
      <c r="M87" s="26"/>
      <c r="N87" s="26"/>
      <c r="O87" s="26"/>
      <c r="P87" s="26"/>
      <c r="Q87" s="26"/>
      <c r="R87" s="27"/>
      <c r="S87" s="27"/>
      <c r="T87" s="27"/>
    </row>
    <row r="88" spans="1:20" x14ac:dyDescent="0.25">
      <c r="A88" s="26"/>
      <c r="B88" s="35"/>
      <c r="C88" s="35"/>
      <c r="D88" s="35"/>
      <c r="E88" s="35"/>
      <c r="F88" s="26"/>
      <c r="G88" s="26"/>
      <c r="H88" s="26"/>
      <c r="I88" s="26"/>
      <c r="J88" s="26"/>
      <c r="K88" s="26"/>
      <c r="L88" s="26"/>
      <c r="M88" s="26"/>
      <c r="N88" s="26"/>
      <c r="O88" s="26"/>
      <c r="P88" s="26"/>
      <c r="Q88" s="26"/>
      <c r="R88" s="27"/>
      <c r="S88" s="27"/>
      <c r="T88" s="27"/>
    </row>
    <row r="89" spans="1:20" x14ac:dyDescent="0.25">
      <c r="A89" s="26"/>
      <c r="B89" s="35"/>
      <c r="C89" s="35"/>
      <c r="D89" s="35"/>
      <c r="E89" s="35"/>
      <c r="F89" s="26"/>
      <c r="G89" s="26"/>
      <c r="H89" s="26"/>
      <c r="I89" s="26"/>
      <c r="J89" s="26"/>
      <c r="K89" s="26"/>
      <c r="L89" s="26"/>
      <c r="M89" s="26"/>
      <c r="N89" s="26"/>
      <c r="O89" s="26"/>
      <c r="P89" s="26"/>
      <c r="Q89" s="26"/>
      <c r="R89" s="27"/>
      <c r="S89" s="27"/>
      <c r="T89" s="27"/>
    </row>
    <row r="90" spans="1:20" x14ac:dyDescent="0.25">
      <c r="A90" s="26"/>
      <c r="B90" s="35"/>
      <c r="C90" s="35"/>
      <c r="D90" s="35"/>
      <c r="E90" s="35"/>
      <c r="F90" s="26"/>
      <c r="G90" s="26"/>
      <c r="H90" s="26"/>
      <c r="I90" s="26"/>
      <c r="J90" s="26"/>
      <c r="K90" s="26"/>
      <c r="L90" s="26"/>
      <c r="M90" s="26"/>
      <c r="N90" s="26"/>
      <c r="O90" s="26"/>
      <c r="P90" s="26"/>
      <c r="Q90" s="26"/>
      <c r="R90" s="27"/>
      <c r="S90" s="27"/>
      <c r="T90" s="27"/>
    </row>
    <row r="91" spans="1:20" ht="39" customHeight="1" x14ac:dyDescent="0.25">
      <c r="A91" s="26"/>
      <c r="B91" s="35"/>
      <c r="C91" s="35"/>
      <c r="D91" s="35"/>
      <c r="E91" s="35"/>
      <c r="F91" s="26"/>
      <c r="G91" s="26"/>
      <c r="H91" s="26"/>
      <c r="I91" s="26"/>
      <c r="J91" s="26"/>
      <c r="K91" s="26"/>
      <c r="L91" s="26"/>
      <c r="M91" s="26"/>
      <c r="N91" s="26"/>
      <c r="O91" s="26"/>
      <c r="P91" s="26"/>
      <c r="Q91" s="26"/>
      <c r="R91" s="27"/>
      <c r="S91" s="27"/>
      <c r="T91" s="27"/>
    </row>
    <row r="92" spans="1:20" ht="32.1" customHeight="1" x14ac:dyDescent="0.25">
      <c r="A92" s="26"/>
      <c r="B92" s="134" t="s">
        <v>795</v>
      </c>
      <c r="C92" s="120"/>
      <c r="D92" s="120"/>
      <c r="E92" s="120"/>
      <c r="F92" s="120"/>
      <c r="G92" s="120"/>
      <c r="H92" s="120"/>
      <c r="I92" s="120"/>
      <c r="J92" s="120"/>
      <c r="K92" s="120"/>
      <c r="L92" s="120"/>
      <c r="M92" s="120"/>
      <c r="N92" s="120"/>
      <c r="O92" s="120"/>
      <c r="P92" s="120"/>
      <c r="Q92" s="26"/>
      <c r="R92" s="27"/>
      <c r="S92" s="27"/>
      <c r="T92" s="27"/>
    </row>
    <row r="93" spans="1:20" ht="8.1" customHeight="1" x14ac:dyDescent="0.25">
      <c r="A93" s="26"/>
      <c r="B93" s="35"/>
      <c r="C93" s="35"/>
      <c r="D93" s="35"/>
      <c r="E93" s="35"/>
      <c r="F93" s="26"/>
      <c r="G93" s="26"/>
      <c r="H93" s="26"/>
      <c r="I93" s="26"/>
      <c r="J93" s="26"/>
      <c r="K93" s="26"/>
      <c r="L93" s="26"/>
      <c r="M93" s="26"/>
      <c r="N93" s="26"/>
      <c r="O93" s="26"/>
      <c r="P93" s="26"/>
      <c r="Q93" s="26"/>
      <c r="R93" s="27"/>
      <c r="S93" s="27"/>
      <c r="T93" s="27"/>
    </row>
    <row r="94" spans="1:20" ht="15.95" customHeight="1" x14ac:dyDescent="0.25">
      <c r="A94" s="26"/>
      <c r="B94" s="36" t="s">
        <v>796</v>
      </c>
      <c r="C94" s="35"/>
      <c r="D94" s="35"/>
      <c r="E94" s="35"/>
      <c r="F94" s="26"/>
      <c r="G94" s="26"/>
      <c r="H94" s="26"/>
      <c r="I94" s="26"/>
      <c r="J94" s="34" t="s">
        <v>797</v>
      </c>
      <c r="K94" s="26"/>
      <c r="L94" s="26"/>
      <c r="M94" s="26"/>
      <c r="N94" s="26"/>
      <c r="O94" s="26"/>
      <c r="P94" s="26"/>
      <c r="Q94" s="26"/>
      <c r="R94" s="27"/>
      <c r="S94" s="27"/>
      <c r="T94" s="27"/>
    </row>
    <row r="95" spans="1:20" x14ac:dyDescent="0.25">
      <c r="A95" s="26"/>
      <c r="B95" s="26"/>
      <c r="C95" s="26"/>
      <c r="D95" s="26"/>
      <c r="E95" s="26"/>
      <c r="F95" s="26"/>
      <c r="G95" s="26"/>
      <c r="H95" s="26"/>
      <c r="I95" s="26"/>
      <c r="J95" s="26"/>
      <c r="K95" s="26"/>
      <c r="L95" s="26"/>
      <c r="M95" s="26"/>
      <c r="N95" s="26"/>
      <c r="O95" s="26"/>
      <c r="P95" s="26"/>
      <c r="Q95" s="26"/>
      <c r="R95" s="27"/>
      <c r="S95" s="27"/>
      <c r="T95" s="27"/>
    </row>
    <row r="96" spans="1:20" x14ac:dyDescent="0.25">
      <c r="A96" s="26"/>
      <c r="B96" s="26"/>
      <c r="C96" s="26"/>
      <c r="D96" s="26"/>
      <c r="E96" s="26"/>
      <c r="F96" s="26"/>
      <c r="G96" s="26"/>
      <c r="H96" s="26"/>
      <c r="I96" s="26"/>
      <c r="J96" s="26"/>
      <c r="K96" s="26"/>
      <c r="L96" s="26"/>
      <c r="M96" s="26"/>
      <c r="N96" s="26"/>
      <c r="O96" s="26"/>
      <c r="P96" s="26"/>
      <c r="Q96" s="26"/>
      <c r="R96" s="27"/>
      <c r="S96" s="27"/>
      <c r="T96" s="27"/>
    </row>
    <row r="97" spans="1:20" x14ac:dyDescent="0.25">
      <c r="A97" s="26"/>
      <c r="B97" s="37"/>
      <c r="C97" s="37"/>
      <c r="D97" s="37"/>
      <c r="E97" s="37"/>
      <c r="F97" s="26"/>
      <c r="G97" s="26"/>
      <c r="H97" s="26"/>
      <c r="I97" s="26"/>
      <c r="J97" s="26"/>
      <c r="K97" s="26"/>
      <c r="L97" s="26"/>
      <c r="M97" s="26"/>
      <c r="N97" s="26"/>
      <c r="O97" s="26"/>
      <c r="P97" s="26"/>
      <c r="Q97" s="26"/>
      <c r="R97" s="27"/>
      <c r="S97" s="27"/>
      <c r="T97" s="27"/>
    </row>
    <row r="98" spans="1:20" x14ac:dyDescent="0.25">
      <c r="A98" s="26"/>
      <c r="B98" s="37"/>
      <c r="C98" s="37"/>
      <c r="D98" s="37"/>
      <c r="E98" s="37"/>
      <c r="F98" s="26"/>
      <c r="G98" s="26"/>
      <c r="H98" s="26"/>
      <c r="I98" s="26"/>
      <c r="J98" s="26"/>
      <c r="K98" s="26"/>
      <c r="L98" s="26"/>
      <c r="M98" s="26"/>
      <c r="N98" s="26"/>
      <c r="O98" s="26"/>
      <c r="P98" s="26"/>
      <c r="Q98" s="26"/>
      <c r="R98" s="27"/>
      <c r="S98" s="27"/>
      <c r="T98" s="27"/>
    </row>
    <row r="99" spans="1:20" x14ac:dyDescent="0.25">
      <c r="A99" s="26"/>
      <c r="B99" s="37"/>
      <c r="C99" s="37"/>
      <c r="D99" s="37"/>
      <c r="E99" s="37"/>
      <c r="F99" s="26"/>
      <c r="G99" s="26"/>
      <c r="H99" s="26"/>
      <c r="I99" s="26"/>
      <c r="J99" s="26"/>
      <c r="K99" s="26"/>
      <c r="L99" s="26"/>
      <c r="M99" s="26"/>
      <c r="N99" s="26"/>
      <c r="O99" s="26"/>
      <c r="P99" s="26"/>
      <c r="Q99" s="26"/>
      <c r="R99" s="27"/>
      <c r="S99" s="27"/>
      <c r="T99" s="27"/>
    </row>
    <row r="100" spans="1:20" x14ac:dyDescent="0.25">
      <c r="A100" s="26"/>
      <c r="B100" s="37"/>
      <c r="C100" s="37"/>
      <c r="D100" s="37"/>
      <c r="E100" s="37"/>
      <c r="F100" s="26"/>
      <c r="G100" s="26"/>
      <c r="H100" s="26"/>
      <c r="I100" s="26"/>
      <c r="J100" s="26"/>
      <c r="K100" s="26"/>
      <c r="L100" s="26"/>
      <c r="M100" s="26"/>
      <c r="N100" s="26"/>
      <c r="O100" s="26"/>
      <c r="P100" s="26"/>
      <c r="Q100" s="26"/>
      <c r="R100" s="27"/>
      <c r="S100" s="27"/>
      <c r="T100" s="27"/>
    </row>
    <row r="101" spans="1:20" x14ac:dyDescent="0.25">
      <c r="A101" s="26"/>
      <c r="B101" s="37"/>
      <c r="C101" s="37"/>
      <c r="D101" s="37"/>
      <c r="E101" s="37"/>
      <c r="F101" s="26"/>
      <c r="G101" s="26"/>
      <c r="H101" s="26"/>
      <c r="I101" s="26"/>
      <c r="J101" s="26"/>
      <c r="K101" s="26"/>
      <c r="L101" s="26"/>
      <c r="M101" s="26"/>
      <c r="N101" s="26"/>
      <c r="O101" s="26"/>
      <c r="P101" s="26"/>
      <c r="Q101" s="26"/>
      <c r="R101" s="27"/>
      <c r="S101" s="27"/>
      <c r="T101" s="27"/>
    </row>
    <row r="102" spans="1:20" x14ac:dyDescent="0.25">
      <c r="A102" s="26"/>
      <c r="B102" s="37"/>
      <c r="C102" s="37"/>
      <c r="D102" s="37"/>
      <c r="E102" s="37"/>
      <c r="F102" s="26"/>
      <c r="G102" s="26"/>
      <c r="H102" s="26"/>
      <c r="I102" s="26"/>
      <c r="J102" s="26"/>
      <c r="K102" s="26"/>
      <c r="L102" s="26"/>
      <c r="M102" s="26"/>
      <c r="N102" s="26"/>
      <c r="O102" s="26"/>
      <c r="P102" s="26"/>
      <c r="Q102" s="26"/>
      <c r="R102" s="27"/>
      <c r="S102" s="27"/>
      <c r="T102" s="27"/>
    </row>
    <row r="103" spans="1:20" x14ac:dyDescent="0.25">
      <c r="A103" s="26"/>
      <c r="B103" s="37"/>
      <c r="C103" s="37"/>
      <c r="D103" s="37"/>
      <c r="E103" s="37"/>
      <c r="F103" s="26"/>
      <c r="G103" s="26"/>
      <c r="H103" s="26"/>
      <c r="I103" s="26"/>
      <c r="J103" s="26"/>
      <c r="K103" s="26"/>
      <c r="L103" s="26"/>
      <c r="M103" s="26"/>
      <c r="N103" s="26"/>
      <c r="O103" s="26"/>
      <c r="P103" s="26"/>
      <c r="Q103" s="26"/>
      <c r="R103" s="27"/>
      <c r="S103" s="27"/>
      <c r="T103" s="27"/>
    </row>
    <row r="104" spans="1:20" x14ac:dyDescent="0.25">
      <c r="A104" s="26"/>
      <c r="B104" s="37"/>
      <c r="C104" s="37"/>
      <c r="D104" s="37"/>
      <c r="E104" s="37"/>
      <c r="F104" s="26"/>
      <c r="G104" s="26"/>
      <c r="H104" s="26"/>
      <c r="I104" s="26"/>
      <c r="J104" s="26"/>
      <c r="K104" s="26"/>
      <c r="L104" s="26"/>
      <c r="M104" s="26"/>
      <c r="N104" s="26"/>
      <c r="O104" s="26"/>
      <c r="P104" s="26"/>
      <c r="Q104" s="26"/>
      <c r="R104" s="27"/>
      <c r="S104" s="27"/>
      <c r="T104" s="27"/>
    </row>
    <row r="105" spans="1:20" x14ac:dyDescent="0.25">
      <c r="A105" s="26"/>
      <c r="B105" s="37"/>
      <c r="C105" s="37"/>
      <c r="D105" s="37"/>
      <c r="E105" s="37"/>
      <c r="F105" s="26"/>
      <c r="G105" s="26"/>
      <c r="H105" s="26"/>
      <c r="I105" s="26"/>
      <c r="J105" s="26"/>
      <c r="K105" s="26"/>
      <c r="L105" s="26"/>
      <c r="M105" s="26"/>
      <c r="N105" s="26"/>
      <c r="O105" s="26"/>
      <c r="P105" s="26"/>
      <c r="Q105" s="26"/>
      <c r="R105" s="27"/>
      <c r="S105" s="27"/>
      <c r="T105" s="27"/>
    </row>
    <row r="106" spans="1:20" x14ac:dyDescent="0.25">
      <c r="A106" s="26"/>
      <c r="B106" s="37"/>
      <c r="C106" s="37"/>
      <c r="D106" s="37"/>
      <c r="E106" s="37"/>
      <c r="F106" s="26"/>
      <c r="G106" s="26"/>
      <c r="H106" s="26"/>
      <c r="I106" s="26"/>
      <c r="J106" s="26"/>
      <c r="K106" s="26"/>
      <c r="L106" s="26"/>
      <c r="M106" s="26"/>
      <c r="N106" s="26"/>
      <c r="O106" s="26"/>
      <c r="P106" s="26"/>
      <c r="Q106" s="26"/>
      <c r="R106" s="27"/>
      <c r="S106" s="27"/>
      <c r="T106" s="27"/>
    </row>
    <row r="107" spans="1:20" x14ac:dyDescent="0.25">
      <c r="A107" s="26"/>
      <c r="B107" s="37"/>
      <c r="C107" s="37"/>
      <c r="D107" s="37"/>
      <c r="E107" s="37"/>
      <c r="F107" s="26"/>
      <c r="G107" s="26"/>
      <c r="H107" s="26"/>
      <c r="I107" s="26"/>
      <c r="J107" s="26"/>
      <c r="K107" s="26"/>
      <c r="L107" s="26"/>
      <c r="M107" s="26"/>
      <c r="N107" s="26"/>
      <c r="O107" s="26"/>
      <c r="P107" s="26"/>
      <c r="Q107" s="26"/>
      <c r="R107" s="27"/>
      <c r="S107" s="27"/>
      <c r="T107" s="27"/>
    </row>
    <row r="108" spans="1:20" x14ac:dyDescent="0.25">
      <c r="A108" s="26"/>
      <c r="B108" s="37"/>
      <c r="C108" s="37"/>
      <c r="D108" s="37"/>
      <c r="E108" s="37"/>
      <c r="F108" s="26"/>
      <c r="G108" s="26"/>
      <c r="H108" s="26"/>
      <c r="I108" s="26"/>
      <c r="J108" s="26"/>
      <c r="K108" s="26"/>
      <c r="L108" s="26"/>
      <c r="M108" s="26"/>
      <c r="N108" s="26"/>
      <c r="O108" s="26"/>
      <c r="P108" s="26"/>
      <c r="Q108" s="26"/>
      <c r="R108" s="27"/>
      <c r="S108" s="27"/>
      <c r="T108" s="27"/>
    </row>
    <row r="109" spans="1:20" x14ac:dyDescent="0.25">
      <c r="A109" s="26"/>
      <c r="B109" s="26"/>
      <c r="C109" s="26"/>
      <c r="D109" s="26"/>
      <c r="E109" s="26"/>
      <c r="F109" s="26"/>
      <c r="G109" s="26"/>
      <c r="H109" s="26"/>
      <c r="I109" s="26"/>
      <c r="J109" s="26"/>
      <c r="K109" s="26"/>
      <c r="L109" s="26"/>
      <c r="M109" s="26"/>
      <c r="N109" s="26"/>
      <c r="O109" s="26"/>
      <c r="P109" s="26"/>
      <c r="Q109" s="26"/>
      <c r="R109" s="27"/>
      <c r="S109" s="27"/>
      <c r="T109" s="27"/>
    </row>
    <row r="110" spans="1:20" x14ac:dyDescent="0.25">
      <c r="A110" s="26"/>
      <c r="B110" s="26"/>
      <c r="C110" s="26"/>
      <c r="D110" s="26"/>
      <c r="E110" s="26"/>
      <c r="F110" s="26"/>
      <c r="G110" s="26"/>
      <c r="H110" s="26"/>
      <c r="I110" s="26"/>
      <c r="J110" s="26"/>
      <c r="K110" s="26"/>
      <c r="L110" s="26"/>
      <c r="M110" s="26"/>
      <c r="N110" s="26"/>
      <c r="O110" s="26"/>
      <c r="P110" s="26"/>
      <c r="Q110" s="26"/>
      <c r="R110" s="27"/>
      <c r="S110" s="27"/>
      <c r="T110" s="27"/>
    </row>
    <row r="111" spans="1:20" x14ac:dyDescent="0.25">
      <c r="A111" s="26"/>
      <c r="B111" s="35"/>
      <c r="C111" s="35"/>
      <c r="D111" s="35"/>
      <c r="E111" s="26"/>
      <c r="F111" s="26"/>
      <c r="G111" s="26"/>
      <c r="H111" s="26"/>
      <c r="I111" s="26"/>
      <c r="J111" s="26"/>
      <c r="K111" s="26"/>
      <c r="L111" s="26"/>
      <c r="M111" s="26"/>
      <c r="N111" s="26"/>
      <c r="O111" s="26"/>
      <c r="P111" s="26"/>
      <c r="Q111" s="26"/>
      <c r="R111" s="27"/>
      <c r="S111" s="27"/>
      <c r="T111" s="27"/>
    </row>
    <row r="112" spans="1:20" ht="53.25" customHeight="1" x14ac:dyDescent="0.25">
      <c r="A112" s="26"/>
      <c r="B112" s="35"/>
      <c r="C112" s="35"/>
      <c r="D112" s="35"/>
      <c r="E112" s="26"/>
      <c r="F112" s="26"/>
      <c r="G112" s="26"/>
      <c r="H112" s="26"/>
      <c r="I112" s="26"/>
      <c r="J112" s="26"/>
      <c r="K112" s="26"/>
      <c r="L112" s="26"/>
      <c r="M112" s="26"/>
      <c r="N112" s="26"/>
      <c r="O112" s="26"/>
      <c r="P112" s="26"/>
      <c r="Q112" s="26"/>
      <c r="R112" s="27"/>
      <c r="S112" s="27"/>
      <c r="T112" s="27"/>
    </row>
    <row r="113" spans="1:20" ht="32.25" customHeight="1" x14ac:dyDescent="0.25">
      <c r="A113" s="26"/>
      <c r="B113" s="35"/>
      <c r="C113" s="35"/>
      <c r="D113" s="35"/>
      <c r="E113" s="26"/>
      <c r="F113" s="26"/>
      <c r="G113" s="26"/>
      <c r="H113" s="26"/>
      <c r="I113" s="26"/>
      <c r="J113" s="26"/>
      <c r="K113" s="26"/>
      <c r="L113" s="26"/>
      <c r="M113" s="26"/>
      <c r="N113" s="26"/>
      <c r="O113" s="26"/>
      <c r="P113" s="26"/>
      <c r="Q113" s="26"/>
      <c r="R113" s="27"/>
      <c r="S113" s="27"/>
      <c r="T113" s="27"/>
    </row>
    <row r="114" spans="1:20" ht="40.5" customHeight="1" x14ac:dyDescent="0.25">
      <c r="A114" s="26"/>
      <c r="B114" s="35"/>
      <c r="C114" s="35"/>
      <c r="D114" s="35"/>
      <c r="E114" s="26"/>
      <c r="F114" s="26"/>
      <c r="G114" s="26"/>
      <c r="H114" s="26"/>
      <c r="I114" s="26"/>
      <c r="J114" s="26"/>
      <c r="K114" s="26"/>
      <c r="L114" s="26"/>
      <c r="M114" s="26"/>
      <c r="N114" s="26"/>
      <c r="O114" s="26"/>
      <c r="P114" s="26"/>
      <c r="Q114" s="26"/>
      <c r="R114" s="27"/>
      <c r="S114" s="27"/>
      <c r="T114" s="27"/>
    </row>
    <row r="115" spans="1:20" x14ac:dyDescent="0.25">
      <c r="A115" s="26"/>
      <c r="B115" s="26"/>
      <c r="C115" s="26"/>
      <c r="D115" s="26"/>
      <c r="E115" s="26"/>
      <c r="F115" s="26"/>
      <c r="G115" s="26"/>
      <c r="H115" s="26"/>
      <c r="I115" s="26"/>
      <c r="J115" s="26"/>
      <c r="K115" s="26"/>
      <c r="L115" s="26"/>
      <c r="M115" s="26"/>
      <c r="N115" s="26"/>
      <c r="O115" s="26"/>
      <c r="P115" s="26"/>
      <c r="Q115" s="26"/>
      <c r="R115" s="27"/>
      <c r="S115" s="27"/>
      <c r="T115" s="27"/>
    </row>
    <row r="116" spans="1:20" x14ac:dyDescent="0.25">
      <c r="A116" s="26"/>
      <c r="B116" s="26"/>
      <c r="C116" s="26"/>
      <c r="D116" s="26"/>
      <c r="E116" s="26"/>
      <c r="F116" s="26"/>
      <c r="G116" s="26"/>
      <c r="H116" s="26"/>
      <c r="I116" s="26"/>
      <c r="J116" s="26"/>
      <c r="K116" s="26"/>
      <c r="L116" s="26"/>
      <c r="M116" s="26"/>
      <c r="N116" s="26"/>
      <c r="O116" s="26"/>
      <c r="P116" s="26"/>
      <c r="Q116" s="26"/>
      <c r="R116" s="27"/>
      <c r="S116" s="27"/>
      <c r="T116" s="27"/>
    </row>
    <row r="117" spans="1:20" x14ac:dyDescent="0.25">
      <c r="A117" s="26"/>
      <c r="B117" s="26"/>
      <c r="C117" s="26"/>
      <c r="D117" s="26"/>
      <c r="E117" s="26"/>
      <c r="F117" s="26"/>
      <c r="G117" s="26"/>
      <c r="H117" s="26"/>
      <c r="I117" s="26"/>
      <c r="J117" s="26"/>
      <c r="K117" s="26"/>
      <c r="L117" s="26"/>
      <c r="M117" s="26"/>
      <c r="N117" s="26"/>
      <c r="O117" s="26"/>
      <c r="P117" s="26"/>
      <c r="Q117" s="26"/>
      <c r="R117" s="27"/>
      <c r="S117" s="27"/>
      <c r="T117" s="27"/>
    </row>
    <row r="118" spans="1:20" x14ac:dyDescent="0.25">
      <c r="A118" s="26"/>
      <c r="B118" s="26"/>
      <c r="C118" s="26"/>
      <c r="D118" s="26"/>
      <c r="E118" s="26"/>
      <c r="F118" s="26"/>
      <c r="G118" s="26"/>
      <c r="H118" s="26"/>
      <c r="I118" s="26"/>
      <c r="J118" s="26"/>
      <c r="K118" s="26"/>
      <c r="L118" s="26"/>
      <c r="M118" s="26"/>
      <c r="N118" s="26"/>
      <c r="O118" s="26"/>
      <c r="P118" s="26"/>
      <c r="Q118" s="26"/>
      <c r="R118" s="27"/>
      <c r="S118" s="27"/>
      <c r="T118" s="27"/>
    </row>
    <row r="119" spans="1:20" x14ac:dyDescent="0.25">
      <c r="A119" s="26"/>
      <c r="B119" s="26"/>
      <c r="C119" s="26"/>
      <c r="D119" s="26"/>
      <c r="E119" s="26"/>
      <c r="F119" s="26"/>
      <c r="G119" s="26"/>
      <c r="H119" s="26"/>
      <c r="I119" s="26"/>
      <c r="J119" s="26"/>
      <c r="K119" s="26"/>
      <c r="L119" s="26"/>
      <c r="M119" s="26"/>
      <c r="N119" s="26"/>
      <c r="O119" s="26"/>
      <c r="P119" s="26"/>
      <c r="Q119" s="26"/>
      <c r="R119" s="27"/>
      <c r="S119" s="27"/>
      <c r="T119" s="27"/>
    </row>
    <row r="120" spans="1:20" x14ac:dyDescent="0.25">
      <c r="A120" s="27"/>
      <c r="B120" s="27"/>
      <c r="C120" s="27"/>
      <c r="D120" s="27"/>
      <c r="E120" s="27"/>
      <c r="F120" s="27"/>
      <c r="G120" s="27"/>
      <c r="H120" s="27"/>
      <c r="I120" s="27"/>
      <c r="J120" s="27"/>
      <c r="K120" s="27"/>
      <c r="L120" s="27"/>
      <c r="M120" s="27"/>
      <c r="N120" s="27"/>
      <c r="O120" s="27"/>
      <c r="P120" s="27"/>
      <c r="Q120" s="27"/>
      <c r="R120" s="27"/>
      <c r="S120" s="27"/>
      <c r="T120" s="27"/>
    </row>
    <row r="121" spans="1:20" x14ac:dyDescent="0.25">
      <c r="A121" s="27"/>
      <c r="B121" s="27"/>
      <c r="C121" s="27"/>
      <c r="D121" s="27"/>
      <c r="E121" s="27"/>
      <c r="F121" s="27"/>
      <c r="G121" s="27"/>
      <c r="H121" s="27"/>
      <c r="I121" s="27"/>
      <c r="J121" s="27"/>
      <c r="K121" s="27"/>
      <c r="L121" s="27"/>
      <c r="M121" s="27"/>
      <c r="N121" s="27"/>
      <c r="O121" s="27"/>
      <c r="P121" s="27"/>
      <c r="Q121" s="27"/>
      <c r="R121" s="27"/>
      <c r="S121" s="27"/>
      <c r="T121" s="27"/>
    </row>
    <row r="122" spans="1:20" x14ac:dyDescent="0.25">
      <c r="A122" s="27"/>
      <c r="B122" s="27"/>
      <c r="C122" s="27"/>
      <c r="D122" s="27"/>
      <c r="E122" s="27"/>
      <c r="F122" s="27"/>
      <c r="G122" s="27"/>
      <c r="H122" s="27"/>
      <c r="I122" s="27"/>
      <c r="J122" s="27"/>
      <c r="K122" s="27"/>
      <c r="L122" s="27"/>
      <c r="M122" s="27"/>
      <c r="N122" s="27"/>
      <c r="O122" s="27"/>
      <c r="P122" s="27"/>
      <c r="Q122" s="27"/>
      <c r="R122" s="27"/>
      <c r="S122" s="27"/>
      <c r="T122" s="27"/>
    </row>
    <row r="123" spans="1:20" x14ac:dyDescent="0.25">
      <c r="A123" s="27"/>
      <c r="B123" s="27"/>
      <c r="C123" s="27"/>
      <c r="D123" s="27"/>
      <c r="E123" s="27"/>
      <c r="F123" s="27"/>
      <c r="G123" s="27"/>
      <c r="H123" s="27"/>
      <c r="I123" s="27"/>
      <c r="J123" s="27"/>
      <c r="K123" s="27"/>
      <c r="L123" s="27"/>
      <c r="M123" s="27"/>
      <c r="N123" s="27"/>
      <c r="O123" s="27"/>
      <c r="P123" s="27"/>
      <c r="Q123" s="27"/>
      <c r="R123" s="27"/>
      <c r="S123" s="27"/>
      <c r="T123" s="27"/>
    </row>
    <row r="124" spans="1:20" x14ac:dyDescent="0.25">
      <c r="A124" s="27"/>
      <c r="B124" s="27"/>
      <c r="C124" s="27"/>
      <c r="D124" s="27"/>
      <c r="E124" s="27"/>
      <c r="F124" s="27"/>
      <c r="G124" s="27"/>
      <c r="H124" s="27"/>
      <c r="I124" s="27"/>
      <c r="J124" s="27"/>
      <c r="K124" s="27"/>
      <c r="L124" s="27"/>
      <c r="M124" s="27"/>
      <c r="N124" s="27"/>
      <c r="O124" s="27"/>
      <c r="P124" s="27"/>
      <c r="Q124" s="27"/>
      <c r="R124" s="27"/>
      <c r="S124" s="27"/>
      <c r="T124" s="27"/>
    </row>
    <row r="125" spans="1:20" x14ac:dyDescent="0.25">
      <c r="A125" s="27"/>
      <c r="B125" s="27"/>
      <c r="C125" s="27"/>
      <c r="D125" s="27"/>
      <c r="E125" s="27"/>
      <c r="F125" s="27"/>
      <c r="G125" s="27"/>
      <c r="H125" s="27"/>
      <c r="I125" s="27"/>
      <c r="J125" s="27"/>
      <c r="K125" s="27"/>
      <c r="L125" s="27"/>
      <c r="M125" s="27"/>
      <c r="N125" s="27"/>
      <c r="O125" s="27"/>
      <c r="P125" s="27"/>
      <c r="Q125" s="27"/>
      <c r="R125" s="27"/>
      <c r="S125" s="27"/>
      <c r="T125" s="27"/>
    </row>
    <row r="126" spans="1:20" x14ac:dyDescent="0.25">
      <c r="A126" s="27"/>
      <c r="B126" s="27"/>
      <c r="C126" s="27"/>
      <c r="D126" s="27"/>
      <c r="E126" s="27"/>
      <c r="F126" s="27"/>
      <c r="G126" s="27"/>
      <c r="H126" s="27"/>
      <c r="I126" s="27"/>
      <c r="J126" s="27"/>
      <c r="K126" s="27"/>
      <c r="L126" s="27"/>
      <c r="M126" s="27"/>
      <c r="N126" s="27"/>
      <c r="O126" s="27"/>
      <c r="P126" s="27"/>
      <c r="Q126" s="27"/>
      <c r="R126" s="27"/>
      <c r="S126" s="27"/>
      <c r="T126" s="27"/>
    </row>
    <row r="127" spans="1:20" x14ac:dyDescent="0.25">
      <c r="A127" s="27"/>
      <c r="B127" s="27"/>
      <c r="C127" s="27"/>
      <c r="D127" s="27"/>
      <c r="E127" s="27"/>
      <c r="F127" s="27"/>
      <c r="G127" s="27"/>
      <c r="H127" s="27"/>
      <c r="I127" s="27"/>
      <c r="J127" s="27"/>
      <c r="K127" s="27"/>
      <c r="L127" s="27"/>
      <c r="M127" s="27"/>
      <c r="N127" s="27"/>
      <c r="O127" s="27"/>
      <c r="P127" s="27"/>
      <c r="Q127" s="27"/>
      <c r="R127" s="27"/>
      <c r="S127" s="27"/>
      <c r="T127" s="27"/>
    </row>
    <row r="128" spans="1:20" x14ac:dyDescent="0.25">
      <c r="A128" s="27"/>
      <c r="B128" s="27"/>
      <c r="C128" s="27"/>
      <c r="D128" s="27"/>
      <c r="E128" s="27"/>
      <c r="F128" s="27"/>
      <c r="G128" s="27"/>
      <c r="H128" s="27"/>
      <c r="I128" s="27"/>
      <c r="J128" s="27"/>
      <c r="K128" s="27"/>
      <c r="L128" s="27"/>
      <c r="M128" s="27"/>
      <c r="N128" s="27"/>
      <c r="O128" s="27"/>
      <c r="P128" s="27"/>
      <c r="Q128" s="27"/>
      <c r="R128" s="27"/>
      <c r="S128" s="27"/>
      <c r="T128" s="27"/>
    </row>
    <row r="129" spans="1:20" x14ac:dyDescent="0.25">
      <c r="A129" s="27"/>
      <c r="B129" s="27"/>
      <c r="C129" s="27"/>
      <c r="D129" s="27"/>
      <c r="E129" s="27"/>
      <c r="F129" s="27"/>
      <c r="G129" s="27"/>
      <c r="H129" s="27"/>
      <c r="I129" s="27"/>
      <c r="J129" s="27"/>
      <c r="K129" s="27"/>
      <c r="L129" s="27"/>
      <c r="M129" s="27"/>
      <c r="N129" s="27"/>
      <c r="O129" s="27"/>
      <c r="P129" s="27"/>
      <c r="Q129" s="27"/>
      <c r="R129" s="27"/>
      <c r="S129" s="27"/>
      <c r="T129" s="27"/>
    </row>
    <row r="130" spans="1:20" x14ac:dyDescent="0.25">
      <c r="A130" s="27"/>
      <c r="B130" s="27"/>
      <c r="C130" s="27"/>
      <c r="D130" s="27"/>
      <c r="E130" s="27"/>
      <c r="F130" s="27"/>
      <c r="G130" s="27"/>
      <c r="H130" s="27"/>
      <c r="I130" s="27"/>
      <c r="J130" s="27"/>
      <c r="K130" s="27"/>
      <c r="L130" s="27"/>
      <c r="M130" s="27"/>
      <c r="N130" s="27"/>
      <c r="O130" s="27"/>
      <c r="P130" s="27"/>
      <c r="Q130" s="27"/>
      <c r="R130" s="27"/>
      <c r="S130" s="27"/>
      <c r="T130" s="27"/>
    </row>
    <row r="131" spans="1:20" x14ac:dyDescent="0.25">
      <c r="A131" s="27"/>
      <c r="B131" s="27"/>
      <c r="C131" s="27"/>
      <c r="D131" s="27"/>
      <c r="E131" s="27"/>
      <c r="F131" s="27"/>
      <c r="G131" s="27"/>
      <c r="H131" s="27"/>
      <c r="I131" s="27"/>
      <c r="J131" s="27"/>
      <c r="K131" s="27"/>
      <c r="L131" s="27"/>
      <c r="M131" s="27"/>
      <c r="N131" s="27"/>
      <c r="O131" s="27"/>
      <c r="P131" s="27"/>
      <c r="Q131" s="27"/>
      <c r="R131" s="27"/>
      <c r="S131" s="27"/>
      <c r="T131" s="27"/>
    </row>
    <row r="132" spans="1:20" x14ac:dyDescent="0.25">
      <c r="A132" s="27"/>
      <c r="B132" s="27"/>
      <c r="C132" s="27"/>
      <c r="D132" s="27"/>
      <c r="E132" s="27"/>
      <c r="F132" s="27"/>
      <c r="G132" s="27"/>
      <c r="H132" s="27"/>
      <c r="I132" s="27"/>
      <c r="J132" s="27"/>
      <c r="K132" s="27"/>
      <c r="L132" s="27"/>
      <c r="M132" s="27"/>
      <c r="N132" s="27"/>
      <c r="O132" s="27"/>
      <c r="P132" s="27"/>
      <c r="Q132" s="27"/>
      <c r="R132" s="27"/>
      <c r="S132" s="27"/>
      <c r="T132" s="27"/>
    </row>
    <row r="133" spans="1:20" x14ac:dyDescent="0.25">
      <c r="A133" s="27"/>
      <c r="B133" s="27"/>
      <c r="C133" s="27"/>
      <c r="D133" s="27"/>
      <c r="E133" s="27"/>
      <c r="F133" s="27"/>
      <c r="G133" s="27"/>
      <c r="H133" s="27"/>
      <c r="I133" s="27"/>
      <c r="J133" s="27"/>
      <c r="K133" s="27"/>
      <c r="L133" s="27"/>
      <c r="M133" s="27"/>
      <c r="N133" s="27"/>
      <c r="O133" s="27"/>
      <c r="P133" s="27"/>
      <c r="Q133" s="27"/>
      <c r="R133" s="27"/>
      <c r="S133" s="27"/>
      <c r="T133" s="27"/>
    </row>
    <row r="134" spans="1:20" x14ac:dyDescent="0.25">
      <c r="A134" s="27"/>
      <c r="B134" s="27"/>
      <c r="C134" s="27"/>
      <c r="D134" s="27"/>
      <c r="E134" s="27"/>
      <c r="F134" s="27"/>
      <c r="G134" s="27"/>
      <c r="H134" s="27"/>
      <c r="I134" s="27"/>
      <c r="J134" s="27"/>
      <c r="K134" s="27"/>
      <c r="L134" s="27"/>
      <c r="M134" s="27"/>
      <c r="N134" s="27"/>
      <c r="O134" s="27"/>
      <c r="P134" s="27"/>
      <c r="Q134" s="27"/>
      <c r="R134" s="27"/>
      <c r="S134" s="27"/>
      <c r="T134" s="27"/>
    </row>
    <row r="135" spans="1:20" x14ac:dyDescent="0.25">
      <c r="A135" s="27"/>
      <c r="B135" s="27"/>
      <c r="C135" s="27"/>
      <c r="D135" s="27"/>
      <c r="E135" s="27"/>
      <c r="F135" s="27"/>
      <c r="G135" s="27"/>
      <c r="H135" s="27"/>
      <c r="I135" s="27"/>
      <c r="J135" s="27"/>
      <c r="K135" s="27"/>
      <c r="L135" s="27"/>
      <c r="M135" s="27"/>
      <c r="N135" s="27"/>
      <c r="O135" s="27"/>
      <c r="P135" s="27"/>
      <c r="Q135" s="27"/>
      <c r="R135" s="27"/>
      <c r="S135" s="27"/>
      <c r="T135" s="27"/>
    </row>
    <row r="136" spans="1:20" x14ac:dyDescent="0.25">
      <c r="A136" s="27"/>
      <c r="B136" s="27"/>
      <c r="C136" s="27"/>
      <c r="D136" s="27"/>
      <c r="E136" s="27"/>
      <c r="F136" s="27"/>
      <c r="G136" s="27"/>
      <c r="H136" s="27"/>
      <c r="I136" s="27"/>
      <c r="J136" s="27"/>
      <c r="K136" s="27"/>
      <c r="L136" s="27"/>
      <c r="M136" s="27"/>
      <c r="N136" s="27"/>
      <c r="O136" s="27"/>
      <c r="P136" s="27"/>
      <c r="Q136" s="27"/>
      <c r="R136" s="27"/>
      <c r="S136" s="27"/>
      <c r="T136" s="27"/>
    </row>
    <row r="137" spans="1:20" x14ac:dyDescent="0.25">
      <c r="A137" s="27"/>
      <c r="B137" s="27"/>
      <c r="C137" s="27"/>
      <c r="D137" s="27"/>
      <c r="E137" s="27"/>
      <c r="F137" s="27"/>
      <c r="G137" s="27"/>
      <c r="H137" s="27"/>
      <c r="I137" s="27"/>
      <c r="J137" s="27"/>
      <c r="K137" s="27"/>
      <c r="L137" s="27"/>
      <c r="M137" s="27"/>
      <c r="N137" s="27"/>
      <c r="O137" s="27"/>
      <c r="P137" s="27"/>
      <c r="Q137" s="27"/>
      <c r="R137" s="27"/>
      <c r="S137" s="27"/>
      <c r="T137" s="27"/>
    </row>
    <row r="138" spans="1:20" x14ac:dyDescent="0.25">
      <c r="A138" s="27"/>
      <c r="B138" s="27"/>
      <c r="C138" s="27"/>
      <c r="D138" s="27"/>
      <c r="E138" s="27"/>
      <c r="F138" s="27"/>
      <c r="G138" s="27"/>
      <c r="H138" s="27"/>
      <c r="I138" s="27"/>
      <c r="J138" s="27"/>
      <c r="K138" s="27"/>
      <c r="L138" s="27"/>
      <c r="M138" s="27"/>
      <c r="N138" s="27"/>
      <c r="O138" s="27"/>
      <c r="P138" s="27"/>
      <c r="Q138" s="27"/>
      <c r="R138" s="27"/>
      <c r="S138" s="27"/>
      <c r="T138" s="27"/>
    </row>
    <row r="139" spans="1:20" x14ac:dyDescent="0.25">
      <c r="A139" s="27"/>
      <c r="B139" s="27"/>
      <c r="C139" s="27"/>
      <c r="D139" s="27"/>
      <c r="E139" s="27"/>
      <c r="F139" s="27"/>
      <c r="G139" s="27"/>
      <c r="H139" s="27"/>
      <c r="I139" s="27"/>
      <c r="J139" s="27"/>
      <c r="K139" s="27"/>
      <c r="L139" s="27"/>
      <c r="M139" s="27"/>
      <c r="N139" s="27"/>
      <c r="O139" s="27"/>
      <c r="P139" s="27"/>
      <c r="Q139" s="27"/>
      <c r="R139" s="27"/>
      <c r="S139" s="27"/>
      <c r="T139" s="27"/>
    </row>
    <row r="140" spans="1:20" x14ac:dyDescent="0.25">
      <c r="A140" s="27"/>
      <c r="B140" s="27"/>
      <c r="C140" s="27"/>
      <c r="D140" s="27"/>
      <c r="E140" s="27"/>
      <c r="F140" s="27"/>
      <c r="G140" s="27"/>
      <c r="H140" s="27"/>
      <c r="I140" s="27"/>
      <c r="J140" s="27"/>
      <c r="K140" s="27"/>
      <c r="L140" s="27"/>
      <c r="M140" s="27"/>
      <c r="N140" s="27"/>
      <c r="O140" s="27"/>
      <c r="P140" s="27"/>
      <c r="Q140" s="27"/>
      <c r="R140" s="27"/>
      <c r="S140" s="27"/>
      <c r="T140" s="27"/>
    </row>
    <row r="141" spans="1:20" x14ac:dyDescent="0.25">
      <c r="A141" s="27"/>
      <c r="B141" s="27"/>
      <c r="C141" s="27"/>
      <c r="D141" s="27"/>
      <c r="E141" s="27"/>
      <c r="F141" s="27"/>
      <c r="G141" s="27"/>
      <c r="H141" s="27"/>
      <c r="I141" s="27"/>
      <c r="J141" s="27"/>
      <c r="K141" s="27"/>
      <c r="L141" s="27"/>
      <c r="M141" s="27"/>
      <c r="N141" s="27"/>
      <c r="O141" s="27"/>
      <c r="P141" s="27"/>
      <c r="Q141" s="27"/>
      <c r="R141" s="27"/>
      <c r="S141" s="27"/>
      <c r="T141" s="27"/>
    </row>
    <row r="142" spans="1:20" x14ac:dyDescent="0.25">
      <c r="A142" s="27"/>
      <c r="B142" s="27"/>
      <c r="C142" s="27"/>
      <c r="D142" s="27"/>
      <c r="E142" s="27"/>
      <c r="F142" s="27"/>
      <c r="G142" s="27"/>
      <c r="H142" s="27"/>
      <c r="I142" s="27"/>
      <c r="J142" s="27"/>
      <c r="K142" s="27"/>
      <c r="L142" s="27"/>
      <c r="M142" s="27"/>
      <c r="N142" s="27"/>
      <c r="O142" s="27"/>
      <c r="P142" s="27"/>
      <c r="Q142" s="27"/>
      <c r="R142" s="27"/>
      <c r="S142" s="27"/>
      <c r="T142" s="27"/>
    </row>
    <row r="143" spans="1:20" x14ac:dyDescent="0.25">
      <c r="A143" s="27"/>
      <c r="B143" s="27"/>
      <c r="C143" s="27"/>
      <c r="D143" s="27"/>
      <c r="E143" s="27"/>
      <c r="F143" s="27"/>
      <c r="G143" s="27"/>
      <c r="H143" s="27"/>
      <c r="I143" s="27"/>
      <c r="J143" s="27"/>
      <c r="K143" s="27"/>
      <c r="L143" s="27"/>
      <c r="M143" s="27"/>
      <c r="N143" s="27"/>
      <c r="O143" s="27"/>
      <c r="P143" s="27"/>
      <c r="Q143" s="27"/>
      <c r="R143" s="27"/>
      <c r="S143" s="27"/>
      <c r="T143" s="27"/>
    </row>
    <row r="144" spans="1:20" x14ac:dyDescent="0.25">
      <c r="A144" s="27"/>
      <c r="B144" s="27"/>
      <c r="C144" s="27"/>
      <c r="D144" s="27"/>
      <c r="E144" s="27"/>
      <c r="F144" s="27"/>
      <c r="G144" s="27"/>
      <c r="H144" s="27"/>
      <c r="I144" s="27"/>
      <c r="J144" s="27"/>
      <c r="K144" s="27"/>
      <c r="L144" s="27"/>
      <c r="M144" s="27"/>
      <c r="N144" s="27"/>
      <c r="O144" s="27"/>
      <c r="P144" s="27"/>
      <c r="Q144" s="27"/>
      <c r="R144" s="27"/>
      <c r="S144" s="27"/>
      <c r="T144" s="27"/>
    </row>
    <row r="145" spans="1:20" x14ac:dyDescent="0.25">
      <c r="A145" s="27"/>
      <c r="B145" s="27"/>
      <c r="C145" s="27"/>
      <c r="D145" s="27"/>
      <c r="E145" s="27"/>
      <c r="F145" s="27"/>
      <c r="G145" s="27"/>
      <c r="H145" s="27"/>
      <c r="I145" s="27"/>
      <c r="J145" s="27"/>
      <c r="K145" s="27"/>
      <c r="L145" s="27"/>
      <c r="M145" s="27"/>
      <c r="N145" s="27"/>
      <c r="O145" s="27"/>
      <c r="P145" s="27"/>
      <c r="Q145" s="27"/>
      <c r="R145" s="27"/>
      <c r="S145" s="27"/>
      <c r="T145" s="27"/>
    </row>
    <row r="146" spans="1:20" x14ac:dyDescent="0.25">
      <c r="A146" s="27"/>
      <c r="B146" s="27"/>
      <c r="C146" s="27"/>
      <c r="D146" s="27"/>
      <c r="E146" s="27"/>
      <c r="F146" s="27"/>
      <c r="G146" s="27"/>
      <c r="H146" s="27"/>
      <c r="I146" s="27"/>
      <c r="J146" s="27"/>
      <c r="K146" s="27"/>
      <c r="L146" s="27"/>
      <c r="M146" s="27"/>
      <c r="N146" s="27"/>
      <c r="O146" s="27"/>
      <c r="P146" s="27"/>
      <c r="Q146" s="27"/>
      <c r="R146" s="27"/>
      <c r="S146" s="27"/>
      <c r="T146" s="27"/>
    </row>
    <row r="147" spans="1:20" x14ac:dyDescent="0.25">
      <c r="A147" s="27"/>
      <c r="B147" s="27"/>
      <c r="C147" s="27"/>
      <c r="D147" s="27"/>
      <c r="E147" s="27"/>
      <c r="F147" s="27"/>
      <c r="G147" s="27"/>
      <c r="H147" s="27"/>
      <c r="I147" s="27"/>
      <c r="J147" s="27"/>
      <c r="K147" s="27"/>
      <c r="L147" s="27"/>
      <c r="M147" s="27"/>
      <c r="N147" s="27"/>
      <c r="O147" s="27"/>
      <c r="P147" s="27"/>
      <c r="Q147" s="27"/>
      <c r="R147" s="27"/>
      <c r="S147" s="27"/>
      <c r="T147" s="27"/>
    </row>
    <row r="148" spans="1:20" x14ac:dyDescent="0.25">
      <c r="A148" s="27"/>
      <c r="B148" s="27"/>
      <c r="C148" s="27"/>
      <c r="D148" s="27"/>
      <c r="E148" s="27"/>
      <c r="F148" s="27"/>
      <c r="G148" s="27"/>
      <c r="H148" s="27"/>
      <c r="I148" s="27"/>
      <c r="J148" s="27"/>
      <c r="K148" s="27"/>
      <c r="L148" s="27"/>
      <c r="M148" s="27"/>
      <c r="N148" s="27"/>
      <c r="O148" s="27"/>
      <c r="P148" s="27"/>
      <c r="Q148" s="27"/>
      <c r="R148" s="27"/>
      <c r="S148" s="27"/>
      <c r="T148" s="27"/>
    </row>
    <row r="149" spans="1:20" x14ac:dyDescent="0.25">
      <c r="A149" s="27"/>
      <c r="B149" s="27"/>
      <c r="C149" s="27"/>
      <c r="D149" s="27"/>
      <c r="E149" s="27"/>
      <c r="F149" s="27"/>
      <c r="G149" s="27"/>
      <c r="H149" s="27"/>
      <c r="I149" s="27"/>
      <c r="J149" s="27"/>
      <c r="K149" s="27"/>
      <c r="L149" s="27"/>
      <c r="M149" s="27"/>
      <c r="N149" s="27"/>
      <c r="O149" s="27"/>
      <c r="P149" s="27"/>
      <c r="Q149" s="27"/>
      <c r="R149" s="27"/>
      <c r="S149" s="27"/>
      <c r="T149" s="27"/>
    </row>
    <row r="150" spans="1:20" x14ac:dyDescent="0.25">
      <c r="A150" s="27"/>
      <c r="B150" s="27"/>
      <c r="C150" s="27"/>
      <c r="D150" s="27"/>
      <c r="E150" s="27"/>
      <c r="F150" s="27"/>
      <c r="G150" s="27"/>
      <c r="H150" s="27"/>
      <c r="I150" s="27"/>
      <c r="J150" s="27"/>
      <c r="K150" s="27"/>
      <c r="L150" s="27"/>
      <c r="M150" s="27"/>
      <c r="N150" s="27"/>
      <c r="O150" s="27"/>
      <c r="P150" s="27"/>
      <c r="Q150" s="27"/>
      <c r="R150" s="27"/>
      <c r="S150" s="27"/>
      <c r="T150" s="27"/>
    </row>
    <row r="151" spans="1:20" x14ac:dyDescent="0.25">
      <c r="A151" s="27"/>
      <c r="B151" s="27"/>
      <c r="C151" s="27"/>
      <c r="D151" s="27"/>
      <c r="E151" s="27"/>
      <c r="F151" s="27"/>
      <c r="G151" s="27"/>
      <c r="H151" s="27"/>
      <c r="I151" s="27"/>
      <c r="J151" s="27"/>
      <c r="K151" s="27"/>
      <c r="L151" s="27"/>
      <c r="M151" s="27"/>
      <c r="N151" s="27"/>
      <c r="O151" s="27"/>
      <c r="P151" s="27"/>
      <c r="Q151" s="27"/>
      <c r="R151" s="27"/>
      <c r="S151" s="27"/>
      <c r="T151" s="27"/>
    </row>
    <row r="152" spans="1:20" x14ac:dyDescent="0.25">
      <c r="A152" s="27"/>
      <c r="B152" s="27"/>
      <c r="C152" s="27"/>
      <c r="D152" s="27"/>
      <c r="E152" s="27"/>
      <c r="F152" s="27"/>
      <c r="G152" s="27"/>
      <c r="H152" s="27"/>
      <c r="I152" s="27"/>
      <c r="J152" s="27"/>
      <c r="K152" s="27"/>
      <c r="L152" s="27"/>
      <c r="M152" s="27"/>
      <c r="N152" s="27"/>
      <c r="O152" s="27"/>
      <c r="P152" s="27"/>
      <c r="Q152" s="27"/>
      <c r="R152" s="27"/>
      <c r="S152" s="27"/>
      <c r="T152" s="27"/>
    </row>
    <row r="153" spans="1:20" x14ac:dyDescent="0.25">
      <c r="A153" s="27"/>
      <c r="B153" s="27"/>
      <c r="C153" s="27"/>
      <c r="D153" s="27"/>
      <c r="E153" s="27"/>
      <c r="F153" s="27"/>
      <c r="G153" s="27"/>
      <c r="H153" s="27"/>
      <c r="I153" s="27"/>
      <c r="J153" s="27"/>
      <c r="K153" s="27"/>
      <c r="L153" s="27"/>
      <c r="M153" s="27"/>
      <c r="N153" s="27"/>
      <c r="O153" s="27"/>
      <c r="P153" s="27"/>
      <c r="Q153" s="27"/>
      <c r="R153" s="27"/>
      <c r="S153" s="27"/>
      <c r="T153" s="27"/>
    </row>
    <row r="154" spans="1:20" x14ac:dyDescent="0.25">
      <c r="A154" s="27"/>
      <c r="B154" s="27"/>
      <c r="C154" s="27"/>
      <c r="D154" s="27"/>
      <c r="E154" s="27"/>
      <c r="F154" s="27"/>
      <c r="G154" s="27"/>
      <c r="H154" s="27"/>
      <c r="I154" s="27"/>
      <c r="J154" s="27"/>
      <c r="K154" s="27"/>
      <c r="L154" s="27"/>
      <c r="M154" s="27"/>
      <c r="N154" s="27"/>
      <c r="O154" s="27"/>
      <c r="P154" s="27"/>
      <c r="Q154" s="27"/>
      <c r="R154" s="27"/>
      <c r="S154" s="27"/>
      <c r="T154" s="27"/>
    </row>
    <row r="155" spans="1:20" x14ac:dyDescent="0.25">
      <c r="A155" s="27"/>
      <c r="B155" s="27"/>
      <c r="C155" s="27"/>
      <c r="D155" s="27"/>
      <c r="E155" s="27"/>
      <c r="F155" s="27"/>
      <c r="G155" s="27"/>
      <c r="H155" s="27"/>
      <c r="I155" s="27"/>
      <c r="J155" s="27"/>
      <c r="K155" s="27"/>
      <c r="L155" s="27"/>
      <c r="M155" s="27"/>
      <c r="N155" s="27"/>
      <c r="O155" s="27"/>
      <c r="P155" s="27"/>
      <c r="Q155" s="27"/>
      <c r="R155" s="27"/>
      <c r="S155" s="27"/>
      <c r="T155" s="27"/>
    </row>
    <row r="156" spans="1:20" x14ac:dyDescent="0.25">
      <c r="A156" s="27"/>
      <c r="B156" s="27"/>
      <c r="C156" s="27"/>
      <c r="D156" s="27"/>
      <c r="E156" s="27"/>
      <c r="F156" s="27"/>
      <c r="G156" s="27"/>
      <c r="H156" s="27"/>
      <c r="I156" s="27"/>
      <c r="J156" s="27"/>
      <c r="K156" s="27"/>
      <c r="L156" s="27"/>
      <c r="M156" s="27"/>
      <c r="N156" s="27"/>
      <c r="O156" s="27"/>
      <c r="P156" s="27"/>
      <c r="Q156" s="27"/>
      <c r="R156" s="27"/>
      <c r="S156" s="27"/>
      <c r="T156" s="27"/>
    </row>
    <row r="157" spans="1:20" x14ac:dyDescent="0.25">
      <c r="A157" s="27"/>
      <c r="B157" s="27"/>
      <c r="C157" s="27"/>
      <c r="D157" s="27"/>
      <c r="E157" s="27"/>
      <c r="F157" s="27"/>
      <c r="G157" s="27"/>
      <c r="H157" s="27"/>
      <c r="I157" s="27"/>
      <c r="J157" s="27"/>
      <c r="K157" s="27"/>
      <c r="L157" s="27"/>
      <c r="M157" s="27"/>
      <c r="N157" s="27"/>
      <c r="O157" s="27"/>
      <c r="P157" s="27"/>
      <c r="Q157" s="27"/>
      <c r="R157" s="27"/>
      <c r="S157" s="27"/>
      <c r="T157" s="27"/>
    </row>
    <row r="158" spans="1:20" x14ac:dyDescent="0.25">
      <c r="A158" s="27"/>
      <c r="B158" s="27"/>
      <c r="C158" s="27"/>
      <c r="D158" s="27"/>
      <c r="E158" s="27"/>
      <c r="F158" s="27"/>
      <c r="G158" s="27"/>
      <c r="H158" s="27"/>
      <c r="I158" s="27"/>
      <c r="J158" s="27"/>
      <c r="K158" s="27"/>
      <c r="L158" s="27"/>
      <c r="M158" s="27"/>
      <c r="N158" s="27"/>
      <c r="O158" s="27"/>
      <c r="P158" s="27"/>
      <c r="Q158" s="27"/>
      <c r="R158" s="27"/>
      <c r="S158" s="27"/>
      <c r="T158" s="27"/>
    </row>
    <row r="159" spans="1:20" x14ac:dyDescent="0.25">
      <c r="A159" s="27"/>
      <c r="B159" s="27"/>
      <c r="C159" s="27"/>
      <c r="D159" s="27"/>
      <c r="E159" s="27"/>
      <c r="F159" s="27"/>
      <c r="G159" s="27"/>
      <c r="H159" s="27"/>
      <c r="I159" s="27"/>
      <c r="J159" s="27"/>
      <c r="K159" s="27"/>
      <c r="L159" s="27"/>
      <c r="M159" s="27"/>
      <c r="N159" s="27"/>
      <c r="O159" s="27"/>
      <c r="P159" s="27"/>
      <c r="Q159" s="27"/>
      <c r="R159" s="27"/>
      <c r="S159" s="27"/>
      <c r="T159" s="27"/>
    </row>
    <row r="160" spans="1:20" x14ac:dyDescent="0.25">
      <c r="A160" s="27"/>
      <c r="B160" s="27"/>
      <c r="C160" s="27"/>
      <c r="D160" s="27"/>
      <c r="E160" s="27"/>
      <c r="F160" s="27"/>
      <c r="G160" s="27"/>
      <c r="H160" s="27"/>
      <c r="I160" s="27"/>
      <c r="J160" s="27"/>
      <c r="K160" s="27"/>
      <c r="L160" s="27"/>
      <c r="M160" s="27"/>
      <c r="N160" s="27"/>
      <c r="O160" s="27"/>
      <c r="P160" s="27"/>
      <c r="Q160" s="27"/>
      <c r="R160" s="27"/>
      <c r="S160" s="27"/>
      <c r="T160" s="27"/>
    </row>
    <row r="161" spans="1:20" x14ac:dyDescent="0.25">
      <c r="A161" s="27"/>
      <c r="B161" s="27"/>
      <c r="C161" s="27"/>
      <c r="D161" s="27"/>
      <c r="E161" s="27"/>
      <c r="F161" s="27"/>
      <c r="G161" s="27"/>
      <c r="H161" s="27"/>
      <c r="I161" s="27"/>
      <c r="J161" s="27"/>
      <c r="K161" s="27"/>
      <c r="L161" s="27"/>
      <c r="M161" s="27"/>
      <c r="N161" s="27"/>
      <c r="O161" s="27"/>
      <c r="P161" s="27"/>
      <c r="Q161" s="27"/>
      <c r="R161" s="27"/>
      <c r="S161" s="27"/>
      <c r="T161" s="27"/>
    </row>
    <row r="162" spans="1:20" x14ac:dyDescent="0.25">
      <c r="A162" s="27"/>
      <c r="B162" s="27"/>
      <c r="C162" s="27"/>
      <c r="D162" s="27"/>
      <c r="E162" s="27"/>
      <c r="F162" s="27"/>
      <c r="G162" s="27"/>
      <c r="H162" s="27"/>
      <c r="I162" s="27"/>
      <c r="J162" s="27"/>
      <c r="K162" s="27"/>
      <c r="L162" s="27"/>
      <c r="M162" s="27"/>
      <c r="N162" s="27"/>
      <c r="O162" s="27"/>
      <c r="P162" s="27"/>
      <c r="Q162" s="27"/>
      <c r="R162" s="27"/>
      <c r="S162" s="27"/>
      <c r="T162" s="27"/>
    </row>
    <row r="163" spans="1:20" x14ac:dyDescent="0.25">
      <c r="A163" s="27"/>
      <c r="B163" s="27"/>
      <c r="C163" s="27"/>
      <c r="D163" s="27"/>
      <c r="E163" s="27"/>
      <c r="F163" s="27"/>
      <c r="G163" s="27"/>
      <c r="H163" s="27"/>
      <c r="I163" s="27"/>
      <c r="J163" s="27"/>
      <c r="K163" s="27"/>
      <c r="L163" s="27"/>
      <c r="M163" s="27"/>
      <c r="N163" s="27"/>
      <c r="O163" s="27"/>
      <c r="P163" s="27"/>
      <c r="Q163" s="27"/>
      <c r="R163" s="27"/>
      <c r="S163" s="27"/>
      <c r="T163" s="27"/>
    </row>
    <row r="164" spans="1:20" x14ac:dyDescent="0.25">
      <c r="A164" s="27"/>
      <c r="B164" s="27"/>
      <c r="C164" s="27"/>
      <c r="D164" s="27"/>
      <c r="E164" s="27"/>
      <c r="F164" s="27"/>
      <c r="G164" s="27"/>
      <c r="H164" s="27"/>
      <c r="I164" s="27"/>
      <c r="J164" s="27"/>
      <c r="K164" s="27"/>
      <c r="L164" s="27"/>
      <c r="M164" s="27"/>
      <c r="N164" s="27"/>
      <c r="O164" s="27"/>
      <c r="P164" s="27"/>
      <c r="Q164" s="27"/>
      <c r="R164" s="27"/>
      <c r="S164" s="27"/>
      <c r="T164" s="27"/>
    </row>
    <row r="165" spans="1:20" x14ac:dyDescent="0.25">
      <c r="A165" s="27"/>
      <c r="B165" s="27"/>
      <c r="C165" s="27"/>
      <c r="D165" s="27"/>
      <c r="E165" s="27"/>
      <c r="F165" s="27"/>
      <c r="G165" s="27"/>
      <c r="H165" s="27"/>
      <c r="I165" s="27"/>
      <c r="J165" s="27"/>
      <c r="K165" s="27"/>
      <c r="L165" s="27"/>
      <c r="M165" s="27"/>
      <c r="N165" s="27"/>
      <c r="O165" s="27"/>
      <c r="P165" s="27"/>
      <c r="Q165" s="27"/>
      <c r="R165" s="27"/>
      <c r="S165" s="27"/>
      <c r="T165" s="27"/>
    </row>
    <row r="166" spans="1:20" x14ac:dyDescent="0.25">
      <c r="A166" s="27"/>
      <c r="B166" s="27"/>
      <c r="C166" s="27"/>
      <c r="D166" s="27"/>
      <c r="E166" s="27"/>
      <c r="F166" s="27"/>
      <c r="G166" s="27"/>
      <c r="H166" s="27"/>
      <c r="I166" s="27"/>
      <c r="J166" s="27"/>
      <c r="K166" s="27"/>
      <c r="L166" s="27"/>
      <c r="M166" s="27"/>
      <c r="N166" s="27"/>
      <c r="O166" s="27"/>
      <c r="P166" s="27"/>
      <c r="Q166" s="27"/>
      <c r="R166" s="27"/>
      <c r="S166" s="27"/>
      <c r="T166" s="27"/>
    </row>
    <row r="167" spans="1:20" x14ac:dyDescent="0.25">
      <c r="A167" s="27"/>
      <c r="B167" s="27"/>
      <c r="C167" s="27"/>
      <c r="D167" s="27"/>
      <c r="E167" s="27"/>
      <c r="F167" s="27"/>
      <c r="G167" s="27"/>
      <c r="H167" s="27"/>
      <c r="I167" s="27"/>
      <c r="J167" s="27"/>
      <c r="K167" s="27"/>
      <c r="L167" s="27"/>
      <c r="M167" s="27"/>
      <c r="N167" s="27"/>
      <c r="O167" s="27"/>
      <c r="P167" s="27"/>
      <c r="Q167" s="27"/>
      <c r="R167" s="27"/>
      <c r="S167" s="27"/>
      <c r="T167" s="27"/>
    </row>
    <row r="168" spans="1:20" x14ac:dyDescent="0.25">
      <c r="A168" s="27"/>
      <c r="B168" s="27"/>
      <c r="C168" s="27"/>
      <c r="D168" s="27"/>
      <c r="E168" s="27"/>
      <c r="F168" s="27"/>
      <c r="G168" s="27"/>
      <c r="H168" s="27"/>
      <c r="I168" s="27"/>
      <c r="J168" s="27"/>
      <c r="K168" s="27"/>
      <c r="L168" s="27"/>
      <c r="M168" s="27"/>
      <c r="N168" s="27"/>
      <c r="O168" s="27"/>
      <c r="P168" s="27"/>
      <c r="Q168" s="27"/>
      <c r="R168" s="27"/>
      <c r="S168" s="27"/>
      <c r="T168" s="27"/>
    </row>
    <row r="169" spans="1:20" x14ac:dyDescent="0.25">
      <c r="A169" s="27"/>
      <c r="B169" s="27"/>
      <c r="C169" s="27"/>
      <c r="D169" s="27"/>
      <c r="E169" s="27"/>
      <c r="F169" s="27"/>
      <c r="G169" s="27"/>
      <c r="H169" s="27"/>
      <c r="I169" s="27"/>
      <c r="J169" s="27"/>
      <c r="K169" s="27"/>
      <c r="L169" s="27"/>
      <c r="M169" s="27"/>
      <c r="N169" s="27"/>
      <c r="O169" s="27"/>
      <c r="P169" s="27"/>
      <c r="Q169" s="27"/>
      <c r="R169" s="27"/>
      <c r="S169" s="27"/>
      <c r="T169" s="27"/>
    </row>
    <row r="170" spans="1:20" x14ac:dyDescent="0.25">
      <c r="A170" s="27"/>
      <c r="B170" s="27"/>
      <c r="C170" s="27"/>
      <c r="D170" s="27"/>
      <c r="E170" s="27"/>
      <c r="F170" s="27"/>
      <c r="G170" s="27"/>
      <c r="H170" s="27"/>
      <c r="I170" s="27"/>
      <c r="J170" s="27"/>
      <c r="K170" s="27"/>
      <c r="L170" s="27"/>
      <c r="M170" s="27"/>
      <c r="N170" s="27"/>
      <c r="O170" s="27"/>
      <c r="P170" s="27"/>
      <c r="Q170" s="27"/>
      <c r="R170" s="27"/>
      <c r="S170" s="27"/>
      <c r="T170" s="27"/>
    </row>
    <row r="171" spans="1:20" x14ac:dyDescent="0.25">
      <c r="A171" s="27"/>
      <c r="B171" s="27"/>
      <c r="C171" s="27"/>
      <c r="D171" s="27"/>
      <c r="E171" s="27"/>
      <c r="F171" s="27"/>
      <c r="G171" s="27"/>
      <c r="H171" s="27"/>
      <c r="I171" s="27"/>
      <c r="J171" s="27"/>
      <c r="K171" s="27"/>
      <c r="L171" s="27"/>
      <c r="M171" s="27"/>
      <c r="N171" s="27"/>
      <c r="O171" s="27"/>
      <c r="P171" s="27"/>
      <c r="Q171" s="27"/>
      <c r="R171" s="27"/>
      <c r="S171" s="27"/>
      <c r="T171" s="27"/>
    </row>
    <row r="172" spans="1:20" x14ac:dyDescent="0.25">
      <c r="A172" s="27"/>
      <c r="B172" s="27"/>
      <c r="C172" s="27"/>
      <c r="D172" s="27"/>
      <c r="E172" s="27"/>
      <c r="F172" s="27"/>
      <c r="G172" s="27"/>
      <c r="H172" s="27"/>
      <c r="I172" s="27"/>
      <c r="J172" s="27"/>
      <c r="K172" s="27"/>
      <c r="L172" s="27"/>
      <c r="M172" s="27"/>
      <c r="N172" s="27"/>
      <c r="O172" s="27"/>
      <c r="P172" s="27"/>
      <c r="Q172" s="27"/>
      <c r="R172" s="27"/>
      <c r="S172" s="27"/>
      <c r="T172" s="27"/>
    </row>
    <row r="173" spans="1:20" x14ac:dyDescent="0.25">
      <c r="A173" s="27"/>
      <c r="B173" s="27"/>
      <c r="C173" s="27"/>
      <c r="D173" s="27"/>
      <c r="E173" s="27"/>
      <c r="F173" s="27"/>
      <c r="G173" s="27"/>
      <c r="H173" s="27"/>
      <c r="I173" s="27"/>
      <c r="J173" s="27"/>
      <c r="K173" s="27"/>
      <c r="L173" s="27"/>
      <c r="M173" s="27"/>
      <c r="N173" s="27"/>
      <c r="O173" s="27"/>
      <c r="P173" s="27"/>
      <c r="Q173" s="27"/>
      <c r="R173" s="27"/>
      <c r="S173" s="27"/>
      <c r="T173" s="27"/>
    </row>
    <row r="174" spans="1:20" x14ac:dyDescent="0.25">
      <c r="A174" s="27"/>
      <c r="B174" s="27"/>
      <c r="C174" s="27"/>
      <c r="D174" s="27"/>
      <c r="E174" s="27"/>
      <c r="F174" s="27"/>
      <c r="G174" s="27"/>
      <c r="H174" s="27"/>
      <c r="I174" s="27"/>
      <c r="J174" s="27"/>
      <c r="K174" s="27"/>
      <c r="L174" s="27"/>
      <c r="M174" s="27"/>
      <c r="N174" s="27"/>
      <c r="O174" s="27"/>
      <c r="P174" s="27"/>
      <c r="Q174" s="27"/>
      <c r="R174" s="27"/>
      <c r="S174" s="27"/>
      <c r="T174" s="27"/>
    </row>
    <row r="175" spans="1:20" x14ac:dyDescent="0.25">
      <c r="A175" s="27"/>
      <c r="B175" s="27"/>
      <c r="C175" s="27"/>
      <c r="D175" s="27"/>
      <c r="E175" s="27"/>
      <c r="F175" s="27"/>
      <c r="G175" s="27"/>
      <c r="H175" s="27"/>
      <c r="I175" s="27"/>
      <c r="J175" s="27"/>
      <c r="K175" s="27"/>
      <c r="L175" s="27"/>
      <c r="M175" s="27"/>
      <c r="N175" s="27"/>
      <c r="O175" s="27"/>
      <c r="P175" s="27"/>
      <c r="Q175" s="27"/>
      <c r="R175" s="27"/>
      <c r="S175" s="27"/>
      <c r="T175" s="27"/>
    </row>
    <row r="176" spans="1:20" x14ac:dyDescent="0.25">
      <c r="A176" s="27"/>
      <c r="B176" s="27"/>
      <c r="C176" s="27"/>
      <c r="D176" s="27"/>
      <c r="E176" s="27"/>
      <c r="F176" s="27"/>
      <c r="G176" s="27"/>
      <c r="H176" s="27"/>
      <c r="I176" s="27"/>
      <c r="J176" s="27"/>
      <c r="K176" s="27"/>
      <c r="L176" s="27"/>
      <c r="M176" s="27"/>
      <c r="N176" s="27"/>
      <c r="O176" s="27"/>
      <c r="P176" s="27"/>
      <c r="Q176" s="27"/>
      <c r="R176" s="27"/>
      <c r="S176" s="27"/>
      <c r="T176" s="27"/>
    </row>
    <row r="177" spans="1:20" x14ac:dyDescent="0.25">
      <c r="A177" s="27"/>
      <c r="B177" s="27"/>
      <c r="C177" s="27"/>
      <c r="D177" s="27"/>
      <c r="E177" s="27"/>
      <c r="F177" s="27"/>
      <c r="G177" s="27"/>
      <c r="H177" s="27"/>
      <c r="I177" s="27"/>
      <c r="J177" s="27"/>
      <c r="K177" s="27"/>
      <c r="L177" s="27"/>
      <c r="M177" s="27"/>
      <c r="N177" s="27"/>
      <c r="O177" s="27"/>
      <c r="P177" s="27"/>
      <c r="Q177" s="27"/>
      <c r="R177" s="27"/>
      <c r="S177" s="27"/>
      <c r="T177" s="27"/>
    </row>
    <row r="178" spans="1:20" x14ac:dyDescent="0.25">
      <c r="A178" s="27"/>
      <c r="B178" s="27"/>
      <c r="C178" s="27"/>
      <c r="D178" s="27"/>
      <c r="E178" s="27"/>
      <c r="F178" s="27"/>
      <c r="G178" s="27"/>
      <c r="H178" s="27"/>
      <c r="I178" s="27"/>
      <c r="J178" s="27"/>
      <c r="K178" s="27"/>
      <c r="L178" s="27"/>
      <c r="M178" s="27"/>
      <c r="N178" s="27"/>
      <c r="O178" s="27"/>
      <c r="P178" s="27"/>
      <c r="Q178" s="27"/>
      <c r="R178" s="27"/>
      <c r="S178" s="27"/>
      <c r="T178" s="27"/>
    </row>
    <row r="179" spans="1:20" x14ac:dyDescent="0.25">
      <c r="A179" s="27"/>
      <c r="B179" s="27"/>
      <c r="C179" s="27"/>
      <c r="D179" s="27"/>
      <c r="E179" s="27"/>
      <c r="F179" s="27"/>
      <c r="G179" s="27"/>
      <c r="H179" s="27"/>
      <c r="I179" s="27"/>
      <c r="J179" s="27"/>
      <c r="K179" s="27"/>
      <c r="L179" s="27"/>
      <c r="M179" s="27"/>
      <c r="N179" s="27"/>
      <c r="O179" s="27"/>
      <c r="P179" s="27"/>
      <c r="Q179" s="27"/>
      <c r="R179" s="27"/>
      <c r="S179" s="27"/>
      <c r="T179" s="27"/>
    </row>
    <row r="180" spans="1:20" x14ac:dyDescent="0.25">
      <c r="A180" s="27"/>
      <c r="B180" s="27"/>
      <c r="C180" s="27"/>
      <c r="D180" s="27"/>
      <c r="E180" s="27"/>
      <c r="F180" s="27"/>
      <c r="G180" s="27"/>
      <c r="H180" s="27"/>
      <c r="I180" s="27"/>
      <c r="J180" s="27"/>
      <c r="K180" s="27"/>
      <c r="L180" s="27"/>
      <c r="M180" s="27"/>
      <c r="N180" s="27"/>
      <c r="O180" s="27"/>
      <c r="P180" s="27"/>
      <c r="Q180" s="27"/>
      <c r="R180" s="27"/>
      <c r="S180" s="27"/>
      <c r="T180" s="27"/>
    </row>
    <row r="181" spans="1:20" x14ac:dyDescent="0.25">
      <c r="A181" s="27"/>
      <c r="B181" s="27"/>
      <c r="C181" s="27"/>
      <c r="D181" s="27"/>
      <c r="E181" s="27"/>
      <c r="F181" s="27"/>
      <c r="G181" s="27"/>
      <c r="H181" s="27"/>
      <c r="I181" s="27"/>
      <c r="J181" s="27"/>
      <c r="K181" s="27"/>
      <c r="L181" s="27"/>
      <c r="M181" s="27"/>
      <c r="N181" s="27"/>
      <c r="O181" s="27"/>
      <c r="P181" s="27"/>
      <c r="Q181" s="27"/>
      <c r="R181" s="27"/>
      <c r="S181" s="27"/>
      <c r="T181" s="27"/>
    </row>
    <row r="182" spans="1:20" x14ac:dyDescent="0.25">
      <c r="A182" s="27"/>
      <c r="B182" s="27"/>
      <c r="C182" s="27"/>
      <c r="D182" s="27"/>
      <c r="E182" s="27"/>
      <c r="F182" s="27"/>
      <c r="G182" s="27"/>
      <c r="H182" s="27"/>
      <c r="I182" s="27"/>
      <c r="J182" s="27"/>
      <c r="K182" s="27"/>
      <c r="L182" s="27"/>
      <c r="M182" s="27"/>
      <c r="N182" s="27"/>
      <c r="O182" s="27"/>
      <c r="P182" s="27"/>
      <c r="Q182" s="27"/>
      <c r="R182" s="27"/>
      <c r="S182" s="27"/>
      <c r="T182" s="27"/>
    </row>
    <row r="183" spans="1:20" x14ac:dyDescent="0.25">
      <c r="A183" s="27"/>
      <c r="B183" s="27"/>
      <c r="C183" s="27"/>
      <c r="D183" s="27"/>
      <c r="E183" s="27"/>
      <c r="F183" s="27"/>
      <c r="G183" s="27"/>
      <c r="H183" s="27"/>
      <c r="I183" s="27"/>
      <c r="J183" s="27"/>
      <c r="K183" s="27"/>
      <c r="L183" s="27"/>
      <c r="M183" s="27"/>
      <c r="N183" s="27"/>
      <c r="O183" s="27"/>
      <c r="P183" s="27"/>
      <c r="Q183" s="27"/>
      <c r="R183" s="27"/>
      <c r="S183" s="27"/>
      <c r="T183" s="27"/>
    </row>
    <row r="184" spans="1:20" x14ac:dyDescent="0.25">
      <c r="A184" s="27"/>
      <c r="B184" s="27"/>
      <c r="C184" s="27"/>
      <c r="D184" s="27"/>
      <c r="E184" s="27"/>
      <c r="F184" s="27"/>
      <c r="G184" s="27"/>
      <c r="H184" s="27"/>
      <c r="I184" s="27"/>
      <c r="J184" s="27"/>
      <c r="K184" s="27"/>
      <c r="L184" s="27"/>
      <c r="M184" s="27"/>
      <c r="N184" s="27"/>
      <c r="O184" s="27"/>
      <c r="P184" s="27"/>
      <c r="Q184" s="27"/>
      <c r="R184" s="27"/>
      <c r="S184" s="27"/>
      <c r="T184" s="27"/>
    </row>
    <row r="185" spans="1:20" x14ac:dyDescent="0.25">
      <c r="A185" s="27"/>
      <c r="B185" s="27"/>
      <c r="C185" s="27"/>
      <c r="D185" s="27"/>
      <c r="E185" s="27"/>
      <c r="F185" s="27"/>
      <c r="G185" s="27"/>
      <c r="H185" s="27"/>
      <c r="I185" s="27"/>
      <c r="J185" s="27"/>
      <c r="K185" s="27"/>
      <c r="L185" s="27"/>
      <c r="M185" s="27"/>
      <c r="N185" s="27"/>
      <c r="O185" s="27"/>
      <c r="P185" s="27"/>
      <c r="Q185" s="27"/>
      <c r="R185" s="27"/>
      <c r="S185" s="27"/>
      <c r="T185" s="27"/>
    </row>
    <row r="186" spans="1:20" x14ac:dyDescent="0.25">
      <c r="A186" s="27"/>
      <c r="B186" s="27"/>
      <c r="C186" s="27"/>
      <c r="D186" s="27"/>
      <c r="E186" s="27"/>
      <c r="F186" s="27"/>
      <c r="G186" s="27"/>
      <c r="H186" s="27"/>
      <c r="I186" s="27"/>
      <c r="J186" s="27"/>
      <c r="K186" s="27"/>
      <c r="L186" s="27"/>
      <c r="M186" s="27"/>
      <c r="N186" s="27"/>
      <c r="O186" s="27"/>
      <c r="P186" s="27"/>
      <c r="Q186" s="27"/>
      <c r="R186" s="27"/>
      <c r="S186" s="27"/>
      <c r="T186" s="27"/>
    </row>
    <row r="187" spans="1:20" x14ac:dyDescent="0.25">
      <c r="A187" s="27"/>
      <c r="B187" s="27"/>
      <c r="C187" s="27"/>
      <c r="D187" s="27"/>
      <c r="E187" s="27"/>
      <c r="F187" s="27"/>
      <c r="G187" s="27"/>
      <c r="H187" s="27"/>
      <c r="I187" s="27"/>
      <c r="J187" s="27"/>
      <c r="K187" s="27"/>
      <c r="L187" s="27"/>
      <c r="M187" s="27"/>
      <c r="N187" s="27"/>
      <c r="O187" s="27"/>
      <c r="P187" s="27"/>
      <c r="Q187" s="27"/>
      <c r="R187" s="27"/>
      <c r="S187" s="27"/>
      <c r="T187" s="27"/>
    </row>
    <row r="188" spans="1:20" x14ac:dyDescent="0.25">
      <c r="A188" s="27"/>
      <c r="B188" s="27"/>
      <c r="C188" s="27"/>
      <c r="D188" s="27"/>
      <c r="E188" s="27"/>
      <c r="F188" s="27"/>
      <c r="G188" s="27"/>
      <c r="H188" s="27"/>
      <c r="I188" s="27"/>
      <c r="J188" s="27"/>
      <c r="K188" s="27"/>
      <c r="L188" s="27"/>
      <c r="M188" s="27"/>
      <c r="N188" s="27"/>
      <c r="O188" s="27"/>
      <c r="P188" s="27"/>
      <c r="Q188" s="27"/>
      <c r="R188" s="27"/>
      <c r="S188" s="27"/>
      <c r="T188" s="27"/>
    </row>
    <row r="189" spans="1:20" x14ac:dyDescent="0.25">
      <c r="A189" s="27"/>
      <c r="B189" s="27"/>
      <c r="C189" s="27"/>
      <c r="D189" s="27"/>
      <c r="E189" s="27"/>
      <c r="F189" s="27"/>
      <c r="G189" s="27"/>
      <c r="H189" s="27"/>
      <c r="I189" s="27"/>
      <c r="J189" s="27"/>
      <c r="K189" s="27"/>
      <c r="L189" s="27"/>
      <c r="M189" s="27"/>
      <c r="N189" s="27"/>
      <c r="O189" s="27"/>
      <c r="P189" s="27"/>
      <c r="Q189" s="27"/>
      <c r="R189" s="27"/>
      <c r="S189" s="27"/>
      <c r="T189" s="27"/>
    </row>
    <row r="190" spans="1:20" x14ac:dyDescent="0.25">
      <c r="A190" s="27"/>
      <c r="B190" s="27"/>
      <c r="C190" s="27"/>
      <c r="D190" s="27"/>
      <c r="E190" s="27"/>
      <c r="F190" s="27"/>
      <c r="G190" s="27"/>
      <c r="H190" s="27"/>
      <c r="I190" s="27"/>
      <c r="J190" s="27"/>
      <c r="K190" s="27"/>
      <c r="L190" s="27"/>
      <c r="M190" s="27"/>
      <c r="N190" s="27"/>
      <c r="O190" s="27"/>
      <c r="P190" s="27"/>
      <c r="Q190" s="27"/>
      <c r="R190" s="27"/>
      <c r="S190" s="27"/>
      <c r="T190" s="27"/>
    </row>
    <row r="191" spans="1:20" x14ac:dyDescent="0.25">
      <c r="A191" s="27"/>
      <c r="B191" s="27"/>
      <c r="C191" s="27"/>
      <c r="D191" s="27"/>
      <c r="E191" s="27"/>
      <c r="F191" s="27"/>
      <c r="G191" s="27"/>
      <c r="H191" s="27"/>
      <c r="I191" s="27"/>
      <c r="J191" s="27"/>
      <c r="K191" s="27"/>
      <c r="L191" s="27"/>
      <c r="M191" s="27"/>
      <c r="N191" s="27"/>
      <c r="O191" s="27"/>
      <c r="P191" s="27"/>
      <c r="Q191" s="27"/>
      <c r="R191" s="27"/>
      <c r="S191" s="27"/>
      <c r="T191" s="27"/>
    </row>
    <row r="192" spans="1:20" x14ac:dyDescent="0.25">
      <c r="A192" s="27"/>
      <c r="B192" s="27"/>
      <c r="C192" s="27"/>
      <c r="D192" s="27"/>
      <c r="E192" s="27"/>
      <c r="F192" s="27"/>
      <c r="G192" s="27"/>
      <c r="H192" s="27"/>
      <c r="I192" s="27"/>
      <c r="J192" s="27"/>
      <c r="K192" s="27"/>
      <c r="L192" s="27"/>
      <c r="M192" s="27"/>
      <c r="N192" s="27"/>
      <c r="O192" s="27"/>
      <c r="P192" s="27"/>
      <c r="Q192" s="27"/>
      <c r="R192" s="27"/>
      <c r="S192" s="27"/>
      <c r="T192" s="27"/>
    </row>
    <row r="193" spans="1:20" x14ac:dyDescent="0.25">
      <c r="A193" s="27"/>
      <c r="B193" s="27"/>
      <c r="C193" s="27"/>
      <c r="D193" s="27"/>
      <c r="E193" s="27"/>
      <c r="F193" s="27"/>
      <c r="G193" s="27"/>
      <c r="H193" s="27"/>
      <c r="I193" s="27"/>
      <c r="J193" s="27"/>
      <c r="K193" s="27"/>
      <c r="L193" s="27"/>
      <c r="M193" s="27"/>
      <c r="N193" s="27"/>
      <c r="O193" s="27"/>
      <c r="P193" s="27"/>
      <c r="Q193" s="27"/>
      <c r="R193" s="27"/>
      <c r="S193" s="27"/>
      <c r="T193" s="27"/>
    </row>
    <row r="194" spans="1:20" x14ac:dyDescent="0.25">
      <c r="A194" s="27"/>
      <c r="B194" s="27"/>
      <c r="C194" s="27"/>
      <c r="D194" s="27"/>
      <c r="E194" s="27"/>
      <c r="F194" s="27"/>
      <c r="G194" s="27"/>
      <c r="H194" s="27"/>
      <c r="I194" s="27"/>
      <c r="J194" s="27"/>
      <c r="K194" s="27"/>
      <c r="L194" s="27"/>
      <c r="M194" s="27"/>
      <c r="N194" s="27"/>
      <c r="O194" s="27"/>
      <c r="P194" s="27"/>
      <c r="Q194" s="27"/>
      <c r="R194" s="27"/>
      <c r="S194" s="27"/>
      <c r="T194" s="27"/>
    </row>
    <row r="195" spans="1:20" x14ac:dyDescent="0.25">
      <c r="A195" s="27"/>
      <c r="B195" s="27"/>
      <c r="C195" s="27"/>
      <c r="D195" s="27"/>
      <c r="E195" s="27"/>
      <c r="F195" s="27"/>
      <c r="G195" s="27"/>
      <c r="H195" s="27"/>
      <c r="I195" s="27"/>
      <c r="J195" s="27"/>
      <c r="K195" s="27"/>
      <c r="L195" s="27"/>
      <c r="M195" s="27"/>
      <c r="N195" s="27"/>
      <c r="O195" s="27"/>
      <c r="P195" s="27"/>
      <c r="Q195" s="27"/>
      <c r="R195" s="27"/>
      <c r="S195" s="27"/>
      <c r="T195" s="27"/>
    </row>
    <row r="196" spans="1:20" x14ac:dyDescent="0.25">
      <c r="A196" s="27"/>
      <c r="B196" s="27"/>
      <c r="C196" s="27"/>
      <c r="D196" s="27"/>
      <c r="E196" s="27"/>
      <c r="F196" s="27"/>
      <c r="G196" s="27"/>
      <c r="H196" s="27"/>
      <c r="I196" s="27"/>
      <c r="J196" s="27"/>
      <c r="K196" s="27"/>
      <c r="L196" s="27"/>
      <c r="M196" s="27"/>
      <c r="N196" s="27"/>
      <c r="O196" s="27"/>
      <c r="P196" s="27"/>
      <c r="Q196" s="27"/>
      <c r="R196" s="27"/>
      <c r="S196" s="27"/>
      <c r="T196" s="27"/>
    </row>
    <row r="197" spans="1:20" x14ac:dyDescent="0.25">
      <c r="A197" s="27"/>
      <c r="B197" s="27"/>
      <c r="C197" s="27"/>
      <c r="D197" s="27"/>
      <c r="E197" s="27"/>
      <c r="F197" s="27"/>
      <c r="G197" s="27"/>
      <c r="H197" s="27"/>
      <c r="I197" s="27"/>
      <c r="J197" s="27"/>
      <c r="K197" s="27"/>
      <c r="L197" s="27"/>
      <c r="M197" s="27"/>
      <c r="N197" s="27"/>
      <c r="O197" s="27"/>
      <c r="P197" s="27"/>
      <c r="Q197" s="27"/>
      <c r="R197" s="27"/>
      <c r="S197" s="27"/>
      <c r="T197" s="27"/>
    </row>
    <row r="198" spans="1:20" x14ac:dyDescent="0.25">
      <c r="A198" s="27"/>
      <c r="B198" s="27"/>
      <c r="C198" s="27"/>
      <c r="D198" s="27"/>
      <c r="E198" s="27"/>
      <c r="F198" s="27"/>
      <c r="G198" s="27"/>
      <c r="H198" s="27"/>
      <c r="I198" s="27"/>
      <c r="J198" s="27"/>
      <c r="K198" s="27"/>
      <c r="L198" s="27"/>
      <c r="M198" s="27"/>
      <c r="N198" s="27"/>
      <c r="O198" s="27"/>
      <c r="P198" s="27"/>
      <c r="Q198" s="27"/>
      <c r="R198" s="27"/>
      <c r="S198" s="27"/>
      <c r="T198" s="27"/>
    </row>
    <row r="199" spans="1:20" x14ac:dyDescent="0.25">
      <c r="A199" s="38" t="s">
        <v>798</v>
      </c>
      <c r="B199" s="27"/>
      <c r="C199" s="27"/>
      <c r="D199" s="27"/>
      <c r="E199" s="27"/>
      <c r="F199" s="27"/>
      <c r="G199" s="27"/>
      <c r="H199" s="27"/>
      <c r="I199" s="27"/>
      <c r="J199" s="27"/>
      <c r="K199" s="27"/>
      <c r="L199" s="27"/>
      <c r="M199" s="27"/>
      <c r="N199" s="27"/>
      <c r="O199" s="27"/>
      <c r="P199" s="27"/>
      <c r="Q199" s="27"/>
      <c r="R199" s="27"/>
      <c r="S199" s="27"/>
      <c r="T199" s="27"/>
    </row>
    <row r="200" spans="1:20" x14ac:dyDescent="0.25">
      <c r="A200" s="39" t="s">
        <v>748</v>
      </c>
      <c r="B200" s="39" t="s">
        <v>799</v>
      </c>
      <c r="C200" s="39" t="s">
        <v>800</v>
      </c>
      <c r="D200" s="39" t="s">
        <v>801</v>
      </c>
      <c r="E200" s="39" t="s">
        <v>802</v>
      </c>
      <c r="F200" s="39" t="s">
        <v>803</v>
      </c>
      <c r="G200" s="39" t="s">
        <v>804</v>
      </c>
      <c r="H200" s="39" t="s">
        <v>805</v>
      </c>
      <c r="I200" s="39" t="s">
        <v>806</v>
      </c>
      <c r="J200" s="39" t="s">
        <v>807</v>
      </c>
      <c r="K200" s="39" t="s">
        <v>808</v>
      </c>
      <c r="L200" s="39" t="s">
        <v>809</v>
      </c>
      <c r="M200" s="39" t="s">
        <v>810</v>
      </c>
      <c r="N200" s="27"/>
      <c r="O200" s="27"/>
      <c r="P200" s="27"/>
      <c r="Q200" s="27"/>
      <c r="R200" s="27"/>
      <c r="S200" s="27"/>
      <c r="T200" s="27"/>
    </row>
    <row r="201" spans="1:20" x14ac:dyDescent="0.25">
      <c r="A201" s="39" t="s">
        <v>602</v>
      </c>
      <c r="B201" s="40">
        <f>IF($C$6="iGO",'Product Line Summary'!B8,IF($C$6="Affirm",'Product Line Summary'!B16,IF($C$6="InsureSight",'Product Line Summary'!B24,'Product Line Summary'!B32)))</f>
        <v>5368.51</v>
      </c>
      <c r="C201" s="40">
        <f>IF($C$6="iGO",'Product Line Summary'!C8,IF($C$6="Affirm",'Product Line Summary'!C16,IF($C$6="InsureSight",'Product Line Summary'!C24,'Product Line Summary'!C32)))</f>
        <v>5486.35</v>
      </c>
      <c r="D201" s="40">
        <f>IF($C$6="iGO",'Product Line Summary'!D8,IF($C$6="Affirm",'Product Line Summary'!D16,IF($C$6="InsureSight",'Product Line Summary'!D24,'Product Line Summary'!D32)))</f>
        <v>5756.57</v>
      </c>
      <c r="E201" s="40">
        <f>IF($C$6="iGO",'Product Line Summary'!E8,IF($C$6="Affirm",'Product Line Summary'!E16,IF($C$6="InsureSight",'Product Line Summary'!E24,'Product Line Summary'!E32)))</f>
        <v>5657.28</v>
      </c>
      <c r="F201" s="40">
        <f>IF($C$6="iGO",'Product Line Summary'!F8,IF($C$6="Affirm",'Product Line Summary'!F16,IF($C$6="InsureSight",'Product Line Summary'!F24,'Product Line Summary'!F32)))</f>
        <v>5682.14</v>
      </c>
      <c r="G201" s="40">
        <f>IF($C$6="iGO",'Product Line Summary'!G8,IF($C$6="Affirm",'Product Line Summary'!G16,IF($C$6="InsureSight",'Product Line Summary'!G24,'Product Line Summary'!G32)))</f>
        <v>5904.8</v>
      </c>
      <c r="H201" s="40">
        <f>IF($C$6="iGO",'Product Line Summary'!H8,IF($C$6="Affirm",'Product Line Summary'!H16,IF($C$6="InsureSight",'Product Line Summary'!H24,'Product Line Summary'!H32)))</f>
        <v>5870.32</v>
      </c>
      <c r="I201" s="40">
        <f>IF($C$6="iGO",'Product Line Summary'!I8,IF($C$6="Affirm",'Product Line Summary'!I16,IF($C$6="InsureSight",'Product Line Summary'!I24,'Product Line Summary'!I32)))</f>
        <v>6118.46</v>
      </c>
      <c r="J201" s="40">
        <f>IF($C$6="iGO",'Product Line Summary'!J8,IF($C$6="Affirm",'Product Line Summary'!J16,IF($C$6="InsureSight",'Product Line Summary'!J24,'Product Line Summary'!J32)))</f>
        <v>6180.1399999999994</v>
      </c>
      <c r="K201" s="40">
        <f>IF($C$6="iGO",'Product Line Summary'!K8,IF($C$6="Affirm",'Product Line Summary'!K16,IF($C$6="InsureSight",'Product Line Summary'!K24,'Product Line Summary'!K32)))</f>
        <v>6698.01</v>
      </c>
      <c r="L201" s="40">
        <f>IF($C$6="iGO",'Product Line Summary'!L8,IF($C$6="Affirm",'Product Line Summary'!L16,IF($C$6="InsureSight",'Product Line Summary'!L24,'Product Line Summary'!L32)))</f>
        <v>6624.03</v>
      </c>
      <c r="M201" s="40">
        <f>IF($C$6="iGO",'Product Line Summary'!M8,IF($C$6="Affirm",'Product Line Summary'!M16,IF($C$6="InsureSight",'Product Line Summary'!M24,'Product Line Summary'!M32)))</f>
        <v>6712.7500000000009</v>
      </c>
      <c r="N201" s="27"/>
      <c r="O201" s="27"/>
      <c r="P201" s="27"/>
      <c r="Q201" s="27"/>
      <c r="R201" s="27"/>
      <c r="S201" s="27"/>
      <c r="T201" s="27"/>
    </row>
    <row r="202" spans="1:20" x14ac:dyDescent="0.25">
      <c r="A202" s="39" t="s">
        <v>742</v>
      </c>
      <c r="B202" s="40">
        <f>IF($C$6="iGO",'Product Line Summary'!B9,IF($C$6="Affirm",'Product Line Summary'!B17,IF($C$6="InsureSight",'Product Line Summary'!B25,'Product Line Summary'!B33)))</f>
        <v>1448.8999999999996</v>
      </c>
      <c r="C202" s="40">
        <f>IF($C$6="iGO",'Product Line Summary'!C9,IF($C$6="Affirm",'Product Line Summary'!C17,IF($C$6="InsureSight",'Product Line Summary'!C25,'Product Line Summary'!C33)))</f>
        <v>1536.0800000000002</v>
      </c>
      <c r="D202" s="40">
        <f>IF($C$6="iGO",'Product Line Summary'!D9,IF($C$6="Affirm",'Product Line Summary'!D17,IF($C$6="InsureSight",'Product Line Summary'!D25,'Product Line Summary'!D33)))</f>
        <v>1632.9499999999998</v>
      </c>
      <c r="E202" s="40">
        <f>IF($C$6="iGO",'Product Line Summary'!E9,IF($C$6="Affirm",'Product Line Summary'!E17,IF($C$6="InsureSight",'Product Line Summary'!E25,'Product Line Summary'!E33)))</f>
        <v>1455.6999999999998</v>
      </c>
      <c r="F202" s="40">
        <f>IF($C$6="iGO",'Product Line Summary'!F9,IF($C$6="Affirm",'Product Line Summary'!F17,IF($C$6="InsureSight",'Product Line Summary'!F25,'Product Line Summary'!F33)))</f>
        <v>1589.12</v>
      </c>
      <c r="G202" s="40">
        <f>IF($C$6="iGO",'Product Line Summary'!G9,IF($C$6="Affirm",'Product Line Summary'!G17,IF($C$6="InsureSight",'Product Line Summary'!G25,'Product Line Summary'!G33)))</f>
        <v>1732.4299999999998</v>
      </c>
      <c r="H202" s="40">
        <f>IF($C$6="iGO",'Product Line Summary'!H9,IF($C$6="Affirm",'Product Line Summary'!H17,IF($C$6="InsureSight",'Product Line Summary'!H25,'Product Line Summary'!H33)))</f>
        <v>1582.57</v>
      </c>
      <c r="I202" s="40">
        <f>IF($C$6="iGO",'Product Line Summary'!I9,IF($C$6="Affirm",'Product Line Summary'!I17,IF($C$6="InsureSight",'Product Line Summary'!I25,'Product Line Summary'!I33)))</f>
        <v>1706.45</v>
      </c>
      <c r="J202" s="40">
        <f>IF($C$6="iGO",'Product Line Summary'!J9,IF($C$6="Affirm",'Product Line Summary'!J17,IF($C$6="InsureSight",'Product Line Summary'!J25,'Product Line Summary'!J33)))</f>
        <v>1781.7500000000002</v>
      </c>
      <c r="K202" s="40">
        <f>IF($C$6="iGO",'Product Line Summary'!K9,IF($C$6="Affirm",'Product Line Summary'!K17,IF($C$6="InsureSight",'Product Line Summary'!K25,'Product Line Summary'!K33)))</f>
        <v>1853.5900000000001</v>
      </c>
      <c r="L202" s="40">
        <f>IF($C$6="iGO",'Product Line Summary'!L9,IF($C$6="Affirm",'Product Line Summary'!L17,IF($C$6="InsureSight",'Product Line Summary'!L25,'Product Line Summary'!L33)))</f>
        <v>1801.82</v>
      </c>
      <c r="M202" s="40">
        <f>IF($C$6="iGO",'Product Line Summary'!M9,IF($C$6="Affirm",'Product Line Summary'!M17,IF($C$6="InsureSight",'Product Line Summary'!M25,'Product Line Summary'!M33)))</f>
        <v>2034.3899999999999</v>
      </c>
      <c r="N202" s="27"/>
      <c r="O202" s="27"/>
      <c r="P202" s="27"/>
      <c r="Q202" s="27"/>
      <c r="R202" s="27"/>
      <c r="S202" s="27"/>
      <c r="T202" s="27"/>
    </row>
    <row r="203" spans="1:20" x14ac:dyDescent="0.25">
      <c r="A203" s="39" t="s">
        <v>743</v>
      </c>
      <c r="B203" s="40">
        <f>IF($C$6="iGO",'Product Line Summary'!B10,IF($C$6="Affirm",'Product Line Summary'!B18,IF($C$6="InsureSight",'Product Line Summary'!B26,'Product Line Summary'!B34)))</f>
        <v>2909.5100000000007</v>
      </c>
      <c r="C203" s="40">
        <f>IF($C$6="iGO",'Product Line Summary'!C10,IF($C$6="Affirm",'Product Line Summary'!C18,IF($C$6="InsureSight",'Product Line Summary'!C26,'Product Line Summary'!C34)))</f>
        <v>3069.52</v>
      </c>
      <c r="D203" s="40">
        <f>IF($C$6="iGO",'Product Line Summary'!D10,IF($C$6="Affirm",'Product Line Summary'!D18,IF($C$6="InsureSight",'Product Line Summary'!D26,'Product Line Summary'!D34)))</f>
        <v>3219</v>
      </c>
      <c r="E203" s="40">
        <f>IF($C$6="iGO",'Product Line Summary'!E10,IF($C$6="Affirm",'Product Line Summary'!E18,IF($C$6="InsureSight",'Product Line Summary'!E26,'Product Line Summary'!E34)))</f>
        <v>3156.0000000000005</v>
      </c>
      <c r="F203" s="40">
        <f>IF($C$6="iGO",'Product Line Summary'!F10,IF($C$6="Affirm",'Product Line Summary'!F18,IF($C$6="InsureSight",'Product Line Summary'!F26,'Product Line Summary'!F34)))</f>
        <v>3095.4700000000003</v>
      </c>
      <c r="G203" s="40">
        <f>IF($C$6="iGO",'Product Line Summary'!G10,IF($C$6="Affirm",'Product Line Summary'!G18,IF($C$6="InsureSight",'Product Line Summary'!G26,'Product Line Summary'!G34)))</f>
        <v>3250.55</v>
      </c>
      <c r="H203" s="40">
        <f>IF($C$6="iGO",'Product Line Summary'!H10,IF($C$6="Affirm",'Product Line Summary'!H18,IF($C$6="InsureSight",'Product Line Summary'!H26,'Product Line Summary'!H34)))</f>
        <v>3280.5500000000006</v>
      </c>
      <c r="I203" s="40">
        <f>IF($C$6="iGO",'Product Line Summary'!I10,IF($C$6="Affirm",'Product Line Summary'!I18,IF($C$6="InsureSight",'Product Line Summary'!I26,'Product Line Summary'!I34)))</f>
        <v>3364.44</v>
      </c>
      <c r="J203" s="40">
        <f>IF($C$6="iGO",'Product Line Summary'!J10,IF($C$6="Affirm",'Product Line Summary'!J18,IF($C$6="InsureSight",'Product Line Summary'!J26,'Product Line Summary'!J34)))</f>
        <v>3391.2400000000002</v>
      </c>
      <c r="K203" s="40">
        <f>IF($C$6="iGO",'Product Line Summary'!K10,IF($C$6="Affirm",'Product Line Summary'!K18,IF($C$6="InsureSight",'Product Line Summary'!K26,'Product Line Summary'!K34)))</f>
        <v>3590.79</v>
      </c>
      <c r="L203" s="40">
        <f>IF($C$6="iGO",'Product Line Summary'!L10,IF($C$6="Affirm",'Product Line Summary'!L18,IF($C$6="InsureSight",'Product Line Summary'!L26,'Product Line Summary'!L34)))</f>
        <v>3608.25</v>
      </c>
      <c r="M203" s="40">
        <f>IF($C$6="iGO",'Product Line Summary'!M10,IF($C$6="Affirm",'Product Line Summary'!M18,IF($C$6="InsureSight",'Product Line Summary'!M26,'Product Line Summary'!M34)))</f>
        <v>3655.8900000000003</v>
      </c>
      <c r="N203" s="27"/>
      <c r="O203" s="27"/>
      <c r="P203" s="27"/>
      <c r="Q203" s="27"/>
      <c r="R203" s="27"/>
      <c r="S203" s="27"/>
      <c r="T203" s="27"/>
    </row>
    <row r="204" spans="1:20" x14ac:dyDescent="0.25">
      <c r="A204" s="39" t="s">
        <v>744</v>
      </c>
      <c r="B204" s="41">
        <f>IF($C$6="iGO",'Product Line Summary'!B11,IF($C$6="Affirm",'Product Line Summary'!B19,IF($C$6="InsureSight",'Product Line Summary'!B27,'Product Line Summary'!B35)))</f>
        <v>0.5419585695099759</v>
      </c>
      <c r="C204" s="41">
        <f>IF($C$6="iGO",'Product Line Summary'!C11,IF($C$6="Affirm",'Product Line Summary'!C19,IF($C$6="InsureSight",'Product Line Summary'!C27,'Product Line Summary'!C35)))</f>
        <v>0.55948308073673747</v>
      </c>
      <c r="D204" s="41">
        <f>IF($C$6="iGO",'Product Line Summary'!D11,IF($C$6="Affirm",'Product Line Summary'!D19,IF($C$6="InsureSight",'Product Line Summary'!D27,'Product Line Summary'!D35)))</f>
        <v>0.5591871548508921</v>
      </c>
      <c r="E204" s="41">
        <f>IF($C$6="iGO",'Product Line Summary'!E11,IF($C$6="Affirm",'Product Line Summary'!E19,IF($C$6="InsureSight",'Product Line Summary'!E27,'Product Line Summary'!E35)))</f>
        <v>0.5578652638723911</v>
      </c>
      <c r="F204" s="41">
        <f>IF($C$6="iGO",'Product Line Summary'!F11,IF($C$6="Affirm",'Product Line Summary'!F19,IF($C$6="InsureSight",'Product Line Summary'!F27,'Product Line Summary'!F35)))</f>
        <v>0.54477186412161616</v>
      </c>
      <c r="G204" s="41">
        <f>IF($C$6="iGO",'Product Line Summary'!G11,IF($C$6="Affirm",'Product Line Summary'!G19,IF($C$6="InsureSight",'Product Line Summary'!G27,'Product Line Summary'!G35)))</f>
        <v>0.55049281940116512</v>
      </c>
      <c r="H204" s="41">
        <f>IF($C$6="iGO",'Product Line Summary'!H11,IF($C$6="Affirm",'Product Line Summary'!H19,IF($C$6="InsureSight",'Product Line Summary'!H27,'Product Line Summary'!H35)))</f>
        <v>0.55883665626405388</v>
      </c>
      <c r="I204" s="41">
        <f>IF($C$6="iGO",'Product Line Summary'!I11,IF($C$6="Affirm",'Product Line Summary'!I19,IF($C$6="InsureSight",'Product Line Summary'!I27,'Product Line Summary'!I35)))</f>
        <v>0.5498834674084655</v>
      </c>
      <c r="J204" s="41">
        <f>IF($C$6="iGO",'Product Line Summary'!J11,IF($C$6="Affirm",'Product Line Summary'!J19,IF($C$6="InsureSight",'Product Line Summary'!J27,'Product Line Summary'!J35)))</f>
        <v>0.54873190574970798</v>
      </c>
      <c r="K204" s="41">
        <f>IF($C$6="iGO",'Product Line Summary'!K11,IF($C$6="Affirm",'Product Line Summary'!K19,IF($C$6="InsureSight",'Product Line Summary'!K27,'Product Line Summary'!K35)))</f>
        <v>0.53609803508803355</v>
      </c>
      <c r="L204" s="41">
        <f>IF($C$6="iGO",'Product Line Summary'!L11,IF($C$6="Affirm",'Product Line Summary'!L19,IF($C$6="InsureSight",'Product Line Summary'!L27,'Product Line Summary'!L35)))</f>
        <v>0.54472126484934402</v>
      </c>
      <c r="M204" s="41">
        <f>IF($C$6="iGO",'Product Line Summary'!M11,IF($C$6="Affirm",'Product Line Summary'!M19,IF($C$6="InsureSight",'Product Line Summary'!M27,'Product Line Summary'!M35)))</f>
        <v>0.54461882239022752</v>
      </c>
      <c r="N204" s="27"/>
      <c r="O204" s="27"/>
      <c r="P204" s="27"/>
      <c r="Q204" s="27"/>
      <c r="R204" s="27"/>
      <c r="S204" s="27"/>
      <c r="T204" s="27"/>
    </row>
    <row r="205" spans="1:20" x14ac:dyDescent="0.25">
      <c r="A205" s="39" t="s">
        <v>811</v>
      </c>
      <c r="B205" s="40">
        <f>IF($C$6="iGO",'Product Line Summary'!B12,IF($C$6="Affirm",'Product Line Summary'!B20,IF($C$6="InsureSight",'Product Line Summary'!B28,'Product Line Summary'!B36)))</f>
        <v>2289.2900000000009</v>
      </c>
      <c r="C205" s="40">
        <f>IF($C$6="iGO",'Product Line Summary'!C12,IF($C$6="Affirm",'Product Line Summary'!C20,IF($C$6="InsureSight",'Product Line Summary'!C28,'Product Line Summary'!C36)))</f>
        <v>2507.1899999999996</v>
      </c>
      <c r="D205" s="40">
        <f>IF($C$6="iGO",'Product Line Summary'!D12,IF($C$6="Affirm",'Product Line Summary'!D20,IF($C$6="InsureSight",'Product Line Summary'!D28,'Product Line Summary'!D36)))</f>
        <v>2566.7200000000003</v>
      </c>
      <c r="E205" s="40">
        <f>IF($C$6="iGO",'Product Line Summary'!E12,IF($C$6="Affirm",'Product Line Summary'!E20,IF($C$6="InsureSight",'Product Line Summary'!E28,'Product Line Summary'!E36)))</f>
        <v>2526.2800000000002</v>
      </c>
      <c r="F205" s="40">
        <f>IF($C$6="iGO",'Product Line Summary'!F12,IF($C$6="Affirm",'Product Line Summary'!F20,IF($C$6="InsureSight",'Product Line Summary'!F28,'Product Line Summary'!F36)))</f>
        <v>2500.04</v>
      </c>
      <c r="G205" s="40">
        <f>IF($C$6="iGO",'Product Line Summary'!G12,IF($C$6="Affirm",'Product Line Summary'!G20,IF($C$6="InsureSight",'Product Line Summary'!G28,'Product Line Summary'!G36)))</f>
        <v>2584.8300000000004</v>
      </c>
      <c r="H205" s="40">
        <f>IF($C$6="iGO",'Product Line Summary'!H12,IF($C$6="Affirm",'Product Line Summary'!H20,IF($C$6="InsureSight",'Product Line Summary'!H28,'Product Line Summary'!H36)))</f>
        <v>2642.0500000000006</v>
      </c>
      <c r="I205" s="40">
        <f>IF($C$6="iGO",'Product Line Summary'!I12,IF($C$6="Affirm",'Product Line Summary'!I20,IF($C$6="InsureSight",'Product Line Summary'!I28,'Product Line Summary'!I36)))</f>
        <v>2708.1600000000003</v>
      </c>
      <c r="J205" s="40">
        <f>IF($C$6="iGO",'Product Line Summary'!J12,IF($C$6="Affirm",'Product Line Summary'!J20,IF($C$6="InsureSight",'Product Line Summary'!J28,'Product Line Summary'!J36)))</f>
        <v>2736.01</v>
      </c>
      <c r="K205" s="40">
        <f>IF($C$6="iGO",'Product Line Summary'!K12,IF($C$6="Affirm",'Product Line Summary'!K20,IF($C$6="InsureSight",'Product Line Summary'!K28,'Product Line Summary'!K36)))</f>
        <v>2846.7799999999997</v>
      </c>
      <c r="L205" s="40">
        <f>IF($C$6="iGO",'Product Line Summary'!L12,IF($C$6="Affirm",'Product Line Summary'!L20,IF($C$6="InsureSight",'Product Line Summary'!L28,'Product Line Summary'!L36)))</f>
        <v>2895.34</v>
      </c>
      <c r="M205" s="40">
        <f>IF($C$6="iGO",'Product Line Summary'!M12,IF($C$6="Affirm",'Product Line Summary'!M20,IF($C$6="InsureSight",'Product Line Summary'!M28,'Product Line Summary'!M36)))</f>
        <v>2898.17</v>
      </c>
      <c r="N205" s="27"/>
      <c r="O205" s="27"/>
      <c r="P205" s="27"/>
      <c r="Q205" s="27"/>
      <c r="R205" s="27"/>
      <c r="S205" s="27"/>
      <c r="T205" s="27"/>
    </row>
    <row r="206" spans="1:20" x14ac:dyDescent="0.25">
      <c r="A206" s="39" t="s">
        <v>812</v>
      </c>
      <c r="B206" s="41">
        <f>IF($C$6="iGO",'Product Line Summary'!B13,IF($C$6="Affirm",'Product Line Summary'!B21,IF($C$6="InsureSight",'Product Line Summary'!B29,'Product Line Summary'!B37)))</f>
        <v>0.42642930720069455</v>
      </c>
      <c r="C206" s="41">
        <f>IF($C$6="iGO",'Product Line Summary'!C13,IF($C$6="Affirm",'Product Line Summary'!C21,IF($C$6="InsureSight",'Product Line Summary'!C29,'Product Line Summary'!C37)))</f>
        <v>0.45698688563434697</v>
      </c>
      <c r="D206" s="41">
        <f>IF($C$6="iGO",'Product Line Summary'!D13,IF($C$6="Affirm",'Product Line Summary'!D21,IF($C$6="InsureSight",'Product Line Summary'!D29,'Product Line Summary'!D37)))</f>
        <v>0.44587662444823922</v>
      </c>
      <c r="E206" s="41">
        <f>IF($C$6="iGO",'Product Line Summary'!E13,IF($C$6="Affirm",'Product Line Summary'!E21,IF($C$6="InsureSight",'Product Line Summary'!E29,'Product Line Summary'!E37)))</f>
        <v>0.44655382091747275</v>
      </c>
      <c r="F206" s="41">
        <f>IF($C$6="iGO",'Product Line Summary'!F13,IF($C$6="Affirm",'Product Line Summary'!F21,IF($C$6="InsureSight",'Product Line Summary'!F29,'Product Line Summary'!F37)))</f>
        <v>0.43998211941275644</v>
      </c>
      <c r="G206" s="41">
        <f>IF($C$6="iGO",'Product Line Summary'!G13,IF($C$6="Affirm",'Product Line Summary'!G21,IF($C$6="InsureSight",'Product Line Summary'!G29,'Product Line Summary'!G37)))</f>
        <v>0.43775064354423526</v>
      </c>
      <c r="H206" s="41">
        <f>IF($C$6="iGO",'Product Line Summary'!H13,IF($C$6="Affirm",'Product Line Summary'!H21,IF($C$6="InsureSight",'Product Line Summary'!H29,'Product Line Summary'!H37)))</f>
        <v>0.45006916147671688</v>
      </c>
      <c r="I206" s="41">
        <f>IF($C$6="iGO",'Product Line Summary'!I13,IF($C$6="Affirm",'Product Line Summary'!I21,IF($C$6="InsureSight",'Product Line Summary'!I29,'Product Line Summary'!I37)))</f>
        <v>0.44262118245440851</v>
      </c>
      <c r="J206" s="41">
        <f>IF($C$6="iGO",'Product Line Summary'!J13,IF($C$6="Affirm",'Product Line Summary'!J21,IF($C$6="InsureSight",'Product Line Summary'!J29,'Product Line Summary'!J37)))</f>
        <v>0.44271003569498435</v>
      </c>
      <c r="K206" s="41">
        <f>IF($C$6="iGO",'Product Line Summary'!K13,IF($C$6="Affirm",'Product Line Summary'!K21,IF($C$6="InsureSight",'Product Line Summary'!K29,'Product Line Summary'!K37)))</f>
        <v>0.42501877423294376</v>
      </c>
      <c r="L206" s="41">
        <f>IF($C$6="iGO",'Product Line Summary'!L13,IF($C$6="Affirm",'Product Line Summary'!L21,IF($C$6="InsureSight",'Product Line Summary'!L29,'Product Line Summary'!L37)))</f>
        <v>0.43709645034820194</v>
      </c>
      <c r="M206" s="41">
        <f>IF($C$6="iGO",'Product Line Summary'!M13,IF($C$6="Affirm",'Product Line Summary'!M21,IF($C$6="InsureSight",'Product Line Summary'!M29,'Product Line Summary'!M37)))</f>
        <v>0.43174108971732894</v>
      </c>
      <c r="N206" s="27"/>
      <c r="O206" s="27"/>
      <c r="P206" s="27"/>
      <c r="Q206" s="27"/>
      <c r="R206" s="27"/>
      <c r="S206" s="27"/>
      <c r="T206" s="27"/>
    </row>
    <row r="207" spans="1:20" x14ac:dyDescent="0.25">
      <c r="A207" s="27"/>
      <c r="B207" s="27"/>
      <c r="C207" s="27"/>
      <c r="D207" s="27"/>
      <c r="E207" s="27"/>
      <c r="F207" s="27"/>
      <c r="G207" s="27"/>
      <c r="H207" s="27"/>
      <c r="I207" s="27"/>
      <c r="J207" s="27"/>
      <c r="K207" s="27"/>
      <c r="L207" s="27"/>
      <c r="M207" s="27"/>
      <c r="N207" s="27"/>
      <c r="O207" s="27"/>
      <c r="P207" s="27"/>
      <c r="Q207" s="27"/>
      <c r="R207" s="27"/>
      <c r="S207" s="27"/>
      <c r="T207" s="27"/>
    </row>
    <row r="208" spans="1:20" x14ac:dyDescent="0.25">
      <c r="A208" s="39" t="s">
        <v>2</v>
      </c>
      <c r="B208" s="39" t="s">
        <v>799</v>
      </c>
      <c r="C208" s="39" t="s">
        <v>800</v>
      </c>
      <c r="D208" s="39" t="s">
        <v>801</v>
      </c>
      <c r="E208" s="39" t="s">
        <v>802</v>
      </c>
      <c r="F208" s="39" t="s">
        <v>803</v>
      </c>
      <c r="G208" s="39" t="s">
        <v>804</v>
      </c>
      <c r="H208" s="39" t="s">
        <v>805</v>
      </c>
      <c r="I208" s="39" t="s">
        <v>806</v>
      </c>
      <c r="J208" s="39" t="s">
        <v>807</v>
      </c>
      <c r="K208" s="39" t="s">
        <v>808</v>
      </c>
      <c r="L208" s="39" t="s">
        <v>809</v>
      </c>
      <c r="M208" s="39" t="s">
        <v>810</v>
      </c>
      <c r="N208" s="27"/>
      <c r="O208" s="27"/>
      <c r="P208" s="27"/>
      <c r="Q208" s="27"/>
      <c r="R208" s="27"/>
      <c r="S208" s="27"/>
      <c r="T208" s="27"/>
    </row>
    <row r="209" spans="1:20" x14ac:dyDescent="0.25">
      <c r="A209" s="39" t="s">
        <v>21</v>
      </c>
      <c r="B209" s="40">
        <f>IF($C$6="iGO",'Product Line Summary'!B43,IF($C$6="Affirm",'Product Line Summary'!B53,IF($C$6="InsureSight",'Product Line Summary'!B63,'Product Line Summary'!B73)))</f>
        <v>726.3</v>
      </c>
      <c r="C209" s="40">
        <f>IF($C$6="iGO",'Product Line Summary'!C43,IF($C$6="Affirm",'Product Line Summary'!C53,IF($C$6="InsureSight",'Product Line Summary'!C63,'Product Line Summary'!C73)))</f>
        <v>742.28</v>
      </c>
      <c r="D209" s="40">
        <f>IF($C$6="iGO",'Product Line Summary'!D43,IF($C$6="Affirm",'Product Line Summary'!D53,IF($C$6="InsureSight",'Product Line Summary'!D63,'Product Line Summary'!D73)))</f>
        <v>774.61</v>
      </c>
      <c r="E209" s="40">
        <f>IF($C$6="iGO",'Product Line Summary'!E43,IF($C$6="Affirm",'Product Line Summary'!E53,IF($C$6="InsureSight",'Product Line Summary'!E63,'Product Line Summary'!E73)))</f>
        <v>754.97</v>
      </c>
      <c r="F209" s="40">
        <f>IF($C$6="iGO",'Product Line Summary'!F43,IF($C$6="Affirm",'Product Line Summary'!F53,IF($C$6="InsureSight",'Product Line Summary'!F63,'Product Line Summary'!F73)))</f>
        <v>752.67</v>
      </c>
      <c r="G209" s="40">
        <f>IF($C$6="iGO",'Product Line Summary'!G43,IF($C$6="Affirm",'Product Line Summary'!G53,IF($C$6="InsureSight",'Product Line Summary'!G63,'Product Line Summary'!G73)))</f>
        <v>847.48</v>
      </c>
      <c r="H209" s="40">
        <f>IF($C$6="iGO",'Product Line Summary'!H43,IF($C$6="Affirm",'Product Line Summary'!H53,IF($C$6="InsureSight",'Product Line Summary'!H63,'Product Line Summary'!H73)))</f>
        <v>792.59</v>
      </c>
      <c r="I209" s="40">
        <f>IF($C$6="iGO",'Product Line Summary'!I43,IF($C$6="Affirm",'Product Line Summary'!I53,IF($C$6="InsureSight",'Product Line Summary'!I63,'Product Line Summary'!I73)))</f>
        <v>870.9</v>
      </c>
      <c r="J209" s="40">
        <f>IF($C$6="iGO",'Product Line Summary'!J43,IF($C$6="Affirm",'Product Line Summary'!J53,IF($C$6="InsureSight",'Product Line Summary'!J63,'Product Line Summary'!J73)))</f>
        <v>808.45</v>
      </c>
      <c r="K209" s="40">
        <f>IF($C$6="iGO",'Product Line Summary'!K43,IF($C$6="Affirm",'Product Line Summary'!K53,IF($C$6="InsureSight",'Product Line Summary'!K63,'Product Line Summary'!K73)))</f>
        <v>874.51</v>
      </c>
      <c r="L209" s="40">
        <f>IF($C$6="iGO",'Product Line Summary'!L43,IF($C$6="Affirm",'Product Line Summary'!L53,IF($C$6="InsureSight",'Product Line Summary'!L63,'Product Line Summary'!L73)))</f>
        <v>964.98</v>
      </c>
      <c r="M209" s="40">
        <f>IF($C$6="iGO",'Product Line Summary'!M43,IF($C$6="Affirm",'Product Line Summary'!M53,IF($C$6="InsureSight",'Product Line Summary'!M63,'Product Line Summary'!M73)))</f>
        <v>945.25</v>
      </c>
      <c r="N209" s="40">
        <f t="shared" ref="N209:N215" si="0">SUM(B209:M209)</f>
        <v>9854.99</v>
      </c>
      <c r="O209" s="27"/>
      <c r="P209" s="27"/>
      <c r="Q209" s="27"/>
      <c r="R209" s="27"/>
      <c r="S209" s="27"/>
      <c r="T209" s="27"/>
    </row>
    <row r="210" spans="1:20" x14ac:dyDescent="0.25">
      <c r="A210" s="39" t="s">
        <v>56</v>
      </c>
      <c r="B210" s="40">
        <f>IF($C$6="iGO",'Product Line Summary'!B44,IF($C$6="Affirm",'Product Line Summary'!B54,IF($C$6="InsureSight",'Product Line Summary'!B64,'Product Line Summary'!B74)))</f>
        <v>162.53</v>
      </c>
      <c r="C210" s="40">
        <f>IF($C$6="iGO",'Product Line Summary'!C44,IF($C$6="Affirm",'Product Line Summary'!C54,IF($C$6="InsureSight",'Product Line Summary'!C64,'Product Line Summary'!C74)))</f>
        <v>173.52</v>
      </c>
      <c r="D210" s="40">
        <f>IF($C$6="iGO",'Product Line Summary'!D44,IF($C$6="Affirm",'Product Line Summary'!D54,IF($C$6="InsureSight",'Product Line Summary'!D64,'Product Line Summary'!D74)))</f>
        <v>167.85</v>
      </c>
      <c r="E210" s="40">
        <f>IF($C$6="iGO",'Product Line Summary'!E44,IF($C$6="Affirm",'Product Line Summary'!E54,IF($C$6="InsureSight",'Product Line Summary'!E64,'Product Line Summary'!E74)))</f>
        <v>171.95</v>
      </c>
      <c r="F210" s="40">
        <f>IF($C$6="iGO",'Product Line Summary'!F44,IF($C$6="Affirm",'Product Line Summary'!F54,IF($C$6="InsureSight",'Product Line Summary'!F64,'Product Line Summary'!F74)))</f>
        <v>177.25</v>
      </c>
      <c r="G210" s="40">
        <f>IF($C$6="iGO",'Product Line Summary'!G44,IF($C$6="Affirm",'Product Line Summary'!G54,IF($C$6="InsureSight",'Product Line Summary'!G64,'Product Line Summary'!G74)))</f>
        <v>181.03</v>
      </c>
      <c r="H210" s="40">
        <f>IF($C$6="iGO",'Product Line Summary'!H44,IF($C$6="Affirm",'Product Line Summary'!H54,IF($C$6="InsureSight",'Product Line Summary'!H64,'Product Line Summary'!H74)))</f>
        <v>181.13</v>
      </c>
      <c r="I210" s="40">
        <f>IF($C$6="iGO",'Product Line Summary'!I44,IF($C$6="Affirm",'Product Line Summary'!I54,IF($C$6="InsureSight",'Product Line Summary'!I64,'Product Line Summary'!I74)))</f>
        <v>192.85</v>
      </c>
      <c r="J210" s="40">
        <f>IF($C$6="iGO",'Product Line Summary'!J44,IF($C$6="Affirm",'Product Line Summary'!J54,IF($C$6="InsureSight",'Product Line Summary'!J64,'Product Line Summary'!J74)))</f>
        <v>172.48</v>
      </c>
      <c r="K210" s="40">
        <f>IF($C$6="iGO",'Product Line Summary'!K44,IF($C$6="Affirm",'Product Line Summary'!K54,IF($C$6="InsureSight",'Product Line Summary'!K64,'Product Line Summary'!K74)))</f>
        <v>197.49</v>
      </c>
      <c r="L210" s="40">
        <f>IF($C$6="iGO",'Product Line Summary'!L44,IF($C$6="Affirm",'Product Line Summary'!L54,IF($C$6="InsureSight",'Product Line Summary'!L64,'Product Line Summary'!L74)))</f>
        <v>205.12</v>
      </c>
      <c r="M210" s="40">
        <f>IF($C$6="iGO",'Product Line Summary'!M44,IF($C$6="Affirm",'Product Line Summary'!M54,IF($C$6="InsureSight",'Product Line Summary'!M64,'Product Line Summary'!M74)))</f>
        <v>207.2</v>
      </c>
      <c r="N210" s="40">
        <f t="shared" si="0"/>
        <v>2190.3999999999996</v>
      </c>
      <c r="O210" s="27"/>
      <c r="P210" s="27"/>
      <c r="Q210" s="27"/>
      <c r="R210" s="27"/>
      <c r="S210" s="27"/>
      <c r="T210" s="27"/>
    </row>
    <row r="211" spans="1:20" x14ac:dyDescent="0.25">
      <c r="A211" s="39" t="s">
        <v>54</v>
      </c>
      <c r="B211" s="40">
        <f>IF($C$6="iGO",'Product Line Summary'!B45,IF($C$6="Affirm",'Product Line Summary'!B55,IF($C$6="InsureSight",'Product Line Summary'!B65,'Product Line Summary'!B75)))</f>
        <v>234.14</v>
      </c>
      <c r="C211" s="40">
        <f>IF($C$6="iGO",'Product Line Summary'!C45,IF($C$6="Affirm",'Product Line Summary'!C55,IF($C$6="InsureSight",'Product Line Summary'!C65,'Product Line Summary'!C75)))</f>
        <v>266.45</v>
      </c>
      <c r="D211" s="40">
        <f>IF($C$6="iGO",'Product Line Summary'!D45,IF($C$6="Affirm",'Product Line Summary'!D55,IF($C$6="InsureSight",'Product Line Summary'!D65,'Product Line Summary'!D75)))</f>
        <v>249.83</v>
      </c>
      <c r="E211" s="40">
        <f>IF($C$6="iGO",'Product Line Summary'!E45,IF($C$6="Affirm",'Product Line Summary'!E55,IF($C$6="InsureSight",'Product Line Summary'!E65,'Product Line Summary'!E75)))</f>
        <v>255.01</v>
      </c>
      <c r="F211" s="40">
        <f>IF($C$6="iGO",'Product Line Summary'!F45,IF($C$6="Affirm",'Product Line Summary'!F55,IF($C$6="InsureSight",'Product Line Summary'!F65,'Product Line Summary'!F75)))</f>
        <v>256.38</v>
      </c>
      <c r="G211" s="40">
        <f>IF($C$6="iGO",'Product Line Summary'!G45,IF($C$6="Affirm",'Product Line Summary'!G55,IF($C$6="InsureSight",'Product Line Summary'!G65,'Product Line Summary'!G75)))</f>
        <v>274.14</v>
      </c>
      <c r="H211" s="40">
        <f>IF($C$6="iGO",'Product Line Summary'!H45,IF($C$6="Affirm",'Product Line Summary'!H55,IF($C$6="InsureSight",'Product Line Summary'!H65,'Product Line Summary'!H75)))</f>
        <v>263.38</v>
      </c>
      <c r="I211" s="40">
        <f>IF($C$6="iGO",'Product Line Summary'!I45,IF($C$6="Affirm",'Product Line Summary'!I55,IF($C$6="InsureSight",'Product Line Summary'!I65,'Product Line Summary'!I75)))</f>
        <v>271.55</v>
      </c>
      <c r="J211" s="40">
        <f>IF($C$6="iGO",'Product Line Summary'!J45,IF($C$6="Affirm",'Product Line Summary'!J55,IF($C$6="InsureSight",'Product Line Summary'!J65,'Product Line Summary'!J75)))</f>
        <v>281.27</v>
      </c>
      <c r="K211" s="40">
        <f>IF($C$6="iGO",'Product Line Summary'!K45,IF($C$6="Affirm",'Product Line Summary'!K55,IF($C$6="InsureSight",'Product Line Summary'!K65,'Product Line Summary'!K75)))</f>
        <v>286.31</v>
      </c>
      <c r="L211" s="40">
        <f>IF($C$6="iGO",'Product Line Summary'!L45,IF($C$6="Affirm",'Product Line Summary'!L55,IF($C$6="InsureSight",'Product Line Summary'!L65,'Product Line Summary'!L75)))</f>
        <v>310.5</v>
      </c>
      <c r="M211" s="40">
        <f>IF($C$6="iGO",'Product Line Summary'!M45,IF($C$6="Affirm",'Product Line Summary'!M55,IF($C$6="InsureSight",'Product Line Summary'!M65,'Product Line Summary'!M75)))</f>
        <v>303.8</v>
      </c>
      <c r="N211" s="40">
        <f t="shared" si="0"/>
        <v>3252.76</v>
      </c>
      <c r="O211" s="27"/>
      <c r="P211" s="27"/>
      <c r="Q211" s="27"/>
      <c r="R211" s="27"/>
      <c r="S211" s="27"/>
      <c r="T211" s="27"/>
    </row>
    <row r="212" spans="1:20" x14ac:dyDescent="0.25">
      <c r="A212" s="39" t="s">
        <v>15</v>
      </c>
      <c r="B212" s="40">
        <f>IF($C$6="iGO",'Product Line Summary'!B46,IF($C$6="Affirm",'Product Line Summary'!B56,IF($C$6="InsureSight",'Product Line Summary'!B66,'Product Line Summary'!B76)))</f>
        <v>120.24</v>
      </c>
      <c r="C212" s="40">
        <f>IF($C$6="iGO",'Product Line Summary'!C46,IF($C$6="Affirm",'Product Line Summary'!C56,IF($C$6="InsureSight",'Product Line Summary'!C66,'Product Line Summary'!C76)))</f>
        <v>128.41999999999999</v>
      </c>
      <c r="D212" s="40">
        <f>IF($C$6="iGO",'Product Line Summary'!D46,IF($C$6="Affirm",'Product Line Summary'!D56,IF($C$6="InsureSight",'Product Line Summary'!D66,'Product Line Summary'!D76)))</f>
        <v>130.69</v>
      </c>
      <c r="E212" s="40">
        <f>IF($C$6="iGO",'Product Line Summary'!E46,IF($C$6="Affirm",'Product Line Summary'!E56,IF($C$6="InsureSight",'Product Line Summary'!E66,'Product Line Summary'!E76)))</f>
        <v>137.36000000000001</v>
      </c>
      <c r="F212" s="40">
        <f>IF($C$6="iGO",'Product Line Summary'!F46,IF($C$6="Affirm",'Product Line Summary'!F56,IF($C$6="InsureSight",'Product Line Summary'!F66,'Product Line Summary'!F76)))</f>
        <v>123.23</v>
      </c>
      <c r="G212" s="40">
        <f>IF($C$6="iGO",'Product Line Summary'!G46,IF($C$6="Affirm",'Product Line Summary'!G56,IF($C$6="InsureSight",'Product Line Summary'!G66,'Product Line Summary'!G76)))</f>
        <v>137.62</v>
      </c>
      <c r="H212" s="40">
        <f>IF($C$6="iGO",'Product Line Summary'!H46,IF($C$6="Affirm",'Product Line Summary'!H56,IF($C$6="InsureSight",'Product Line Summary'!H66,'Product Line Summary'!H76)))</f>
        <v>131.74</v>
      </c>
      <c r="I212" s="40">
        <f>IF($C$6="iGO",'Product Line Summary'!I46,IF($C$6="Affirm",'Product Line Summary'!I56,IF($C$6="InsureSight",'Product Line Summary'!I66,'Product Line Summary'!I76)))</f>
        <v>139.66999999999999</v>
      </c>
      <c r="J212" s="40">
        <f>IF($C$6="iGO",'Product Line Summary'!J46,IF($C$6="Affirm",'Product Line Summary'!J56,IF($C$6="InsureSight",'Product Line Summary'!J66,'Product Line Summary'!J76)))</f>
        <v>137.66999999999999</v>
      </c>
      <c r="K212" s="40">
        <f>IF($C$6="iGO",'Product Line Summary'!K46,IF($C$6="Affirm",'Product Line Summary'!K56,IF($C$6="InsureSight",'Product Line Summary'!K66,'Product Line Summary'!K76)))</f>
        <v>143.94</v>
      </c>
      <c r="L212" s="40">
        <f>IF($C$6="iGO",'Product Line Summary'!L46,IF($C$6="Affirm",'Product Line Summary'!L56,IF($C$6="InsureSight",'Product Line Summary'!L66,'Product Line Summary'!L76)))</f>
        <v>150.97</v>
      </c>
      <c r="M212" s="40">
        <f>IF($C$6="iGO",'Product Line Summary'!M46,IF($C$6="Affirm",'Product Line Summary'!M56,IF($C$6="InsureSight",'Product Line Summary'!M66,'Product Line Summary'!M76)))</f>
        <v>153.88999999999999</v>
      </c>
      <c r="N212" s="40">
        <f t="shared" si="0"/>
        <v>1635.44</v>
      </c>
      <c r="O212" s="27"/>
      <c r="P212" s="27"/>
      <c r="Q212" s="27"/>
      <c r="R212" s="27"/>
      <c r="S212" s="27"/>
      <c r="T212" s="27"/>
    </row>
    <row r="213" spans="1:20" x14ac:dyDescent="0.25">
      <c r="A213" s="39" t="s">
        <v>40</v>
      </c>
      <c r="B213" s="40">
        <f>IF($C$6="iGO",'Product Line Summary'!B47,IF($C$6="Affirm",'Product Line Summary'!B57,IF($C$6="InsureSight",'Product Line Summary'!B67,'Product Line Summary'!B77)))</f>
        <v>19.34</v>
      </c>
      <c r="C213" s="40">
        <f>IF($C$6="iGO",'Product Line Summary'!C47,IF($C$6="Affirm",'Product Line Summary'!C57,IF($C$6="InsureSight",'Product Line Summary'!C67,'Product Line Summary'!C77)))</f>
        <v>21.14</v>
      </c>
      <c r="D213" s="40">
        <f>IF($C$6="iGO",'Product Line Summary'!D47,IF($C$6="Affirm",'Product Line Summary'!D57,IF($C$6="InsureSight",'Product Line Summary'!D67,'Product Line Summary'!D77)))</f>
        <v>22.82</v>
      </c>
      <c r="E213" s="40">
        <f>IF($C$6="iGO",'Product Line Summary'!E47,IF($C$6="Affirm",'Product Line Summary'!E57,IF($C$6="InsureSight",'Product Line Summary'!E67,'Product Line Summary'!E77)))</f>
        <v>23.03</v>
      </c>
      <c r="F213" s="40">
        <f>IF($C$6="iGO",'Product Line Summary'!F47,IF($C$6="Affirm",'Product Line Summary'!F57,IF($C$6="InsureSight",'Product Line Summary'!F67,'Product Line Summary'!F77)))</f>
        <v>20.260000000000002</v>
      </c>
      <c r="G213" s="40">
        <f>IF($C$6="iGO",'Product Line Summary'!G47,IF($C$6="Affirm",'Product Line Summary'!G57,IF($C$6="InsureSight",'Product Line Summary'!G67,'Product Line Summary'!G77)))</f>
        <v>21.81</v>
      </c>
      <c r="H213" s="40">
        <f>IF($C$6="iGO",'Product Line Summary'!H47,IF($C$6="Affirm",'Product Line Summary'!H57,IF($C$6="InsureSight",'Product Line Summary'!H67,'Product Line Summary'!H77)))</f>
        <v>22.02</v>
      </c>
      <c r="I213" s="40">
        <f>IF($C$6="iGO",'Product Line Summary'!I47,IF($C$6="Affirm",'Product Line Summary'!I57,IF($C$6="InsureSight",'Product Line Summary'!I67,'Product Line Summary'!I77)))</f>
        <v>24.54</v>
      </c>
      <c r="J213" s="40">
        <f>IF($C$6="iGO",'Product Line Summary'!J47,IF($C$6="Affirm",'Product Line Summary'!J57,IF($C$6="InsureSight",'Product Line Summary'!J67,'Product Line Summary'!J77)))</f>
        <v>23.42</v>
      </c>
      <c r="K213" s="40">
        <f>IF($C$6="iGO",'Product Line Summary'!K47,IF($C$6="Affirm",'Product Line Summary'!K57,IF($C$6="InsureSight",'Product Line Summary'!K67,'Product Line Summary'!K77)))</f>
        <v>25.41</v>
      </c>
      <c r="L213" s="40">
        <f>IF($C$6="iGO",'Product Line Summary'!L47,IF($C$6="Affirm",'Product Line Summary'!L57,IF($C$6="InsureSight",'Product Line Summary'!L67,'Product Line Summary'!L77)))</f>
        <v>25.3</v>
      </c>
      <c r="M213" s="40">
        <f>IF($C$6="iGO",'Product Line Summary'!M47,IF($C$6="Affirm",'Product Line Summary'!M57,IF($C$6="InsureSight",'Product Line Summary'!M67,'Product Line Summary'!M77)))</f>
        <v>24.16</v>
      </c>
      <c r="N213" s="40">
        <f t="shared" si="0"/>
        <v>273.25</v>
      </c>
      <c r="O213" s="27"/>
      <c r="P213" s="27"/>
      <c r="Q213" s="27"/>
      <c r="R213" s="27"/>
      <c r="S213" s="27"/>
      <c r="T213" s="27"/>
    </row>
    <row r="214" spans="1:20" x14ac:dyDescent="0.25">
      <c r="A214" s="39" t="s">
        <v>757</v>
      </c>
      <c r="B214" s="40">
        <f>IF($C$6="iGO",'Product Line Summary'!B48,IF($C$6="Affirm",'Product Line Summary'!B58,IF($C$6="InsureSight",'Product Line Summary'!B68,'Product Line Summary'!B78)))</f>
        <v>443.47</v>
      </c>
      <c r="C214" s="40">
        <f>IF($C$6="iGO",'Product Line Summary'!C48,IF($C$6="Affirm",'Product Line Summary'!C58,IF($C$6="InsureSight",'Product Line Summary'!C68,'Product Line Summary'!C78)))</f>
        <v>404.34</v>
      </c>
      <c r="D214" s="40">
        <f>IF($C$6="iGO",'Product Line Summary'!D48,IF($C$6="Affirm",'Product Line Summary'!D58,IF($C$6="InsureSight",'Product Line Summary'!D68,'Product Line Summary'!D78)))</f>
        <v>492.87</v>
      </c>
      <c r="E214" s="40">
        <f>IF($C$6="iGO",'Product Line Summary'!E48,IF($C$6="Affirm",'Product Line Summary'!E58,IF($C$6="InsureSight",'Product Line Summary'!E68,'Product Line Summary'!E78)))</f>
        <v>456.44</v>
      </c>
      <c r="F214" s="40">
        <f>IF($C$6="iGO",'Product Line Summary'!F48,IF($C$6="Affirm",'Product Line Summary'!F58,IF($C$6="InsureSight",'Product Line Summary'!F68,'Product Line Summary'!F78)))</f>
        <v>433.01</v>
      </c>
      <c r="G214" s="40">
        <f>IF($C$6="iGO",'Product Line Summary'!G48,IF($C$6="Affirm",'Product Line Summary'!G58,IF($C$6="InsureSight",'Product Line Summary'!G68,'Product Line Summary'!G78)))</f>
        <v>503.02</v>
      </c>
      <c r="H214" s="40">
        <f>IF($C$6="iGO",'Product Line Summary'!H48,IF($C$6="Affirm",'Product Line Summary'!H58,IF($C$6="InsureSight",'Product Line Summary'!H68,'Product Line Summary'!H78)))</f>
        <v>452.84</v>
      </c>
      <c r="I214" s="40">
        <f>IF($C$6="iGO",'Product Line Summary'!I48,IF($C$6="Affirm",'Product Line Summary'!I58,IF($C$6="InsureSight",'Product Line Summary'!I68,'Product Line Summary'!I78)))</f>
        <v>470.83</v>
      </c>
      <c r="J214" s="40">
        <f>IF($C$6="iGO",'Product Line Summary'!J48,IF($C$6="Affirm",'Product Line Summary'!J58,IF($C$6="InsureSight",'Product Line Summary'!J68,'Product Line Summary'!J78)))</f>
        <v>455.62</v>
      </c>
      <c r="K214" s="40">
        <f>IF($C$6="iGO",'Product Line Summary'!K48,IF($C$6="Affirm",'Product Line Summary'!K58,IF($C$6="InsureSight",'Product Line Summary'!K68,'Product Line Summary'!K78)))</f>
        <v>539.75</v>
      </c>
      <c r="L214" s="40">
        <f>IF($C$6="iGO",'Product Line Summary'!L48,IF($C$6="Affirm",'Product Line Summary'!L58,IF($C$6="InsureSight",'Product Line Summary'!L68,'Product Line Summary'!L78)))</f>
        <v>498.33</v>
      </c>
      <c r="M214" s="40">
        <f>IF($C$6="iGO",'Product Line Summary'!M48,IF($C$6="Affirm",'Product Line Summary'!M58,IF($C$6="InsureSight",'Product Line Summary'!M68,'Product Line Summary'!M78)))</f>
        <v>568.01</v>
      </c>
      <c r="N214" s="40">
        <f t="shared" si="0"/>
        <v>5718.5300000000007</v>
      </c>
      <c r="O214" s="27"/>
      <c r="P214" s="27"/>
      <c r="Q214" s="27"/>
      <c r="R214" s="27"/>
      <c r="S214" s="27"/>
      <c r="T214" s="27"/>
    </row>
    <row r="215" spans="1:20" x14ac:dyDescent="0.25">
      <c r="A215" s="39" t="s">
        <v>43</v>
      </c>
      <c r="B215" s="40">
        <f>IF($C$6="iGO",'Product Line Summary'!B49,IF($C$6="Affirm",'Product Line Summary'!B59,IF($C$6="InsureSight",'Product Line Summary'!B69,'Product Line Summary'!B79)))</f>
        <v>176.75</v>
      </c>
      <c r="C215" s="40">
        <f>IF($C$6="iGO",'Product Line Summary'!C49,IF($C$6="Affirm",'Product Line Summary'!C59,IF($C$6="InsureSight",'Product Line Summary'!C69,'Product Line Summary'!C79)))</f>
        <v>157.99</v>
      </c>
      <c r="D215" s="40">
        <f>IF($C$6="iGO",'Product Line Summary'!D49,IF($C$6="Affirm",'Product Line Summary'!D59,IF($C$6="InsureSight",'Product Line Summary'!D69,'Product Line Summary'!D79)))</f>
        <v>159.41</v>
      </c>
      <c r="E215" s="40">
        <f>IF($C$6="iGO",'Product Line Summary'!E49,IF($C$6="Affirm",'Product Line Summary'!E59,IF($C$6="InsureSight",'Product Line Summary'!E69,'Product Line Summary'!E79)))</f>
        <v>173.28</v>
      </c>
      <c r="F215" s="40">
        <f>IF($C$6="iGO",'Product Line Summary'!F49,IF($C$6="Affirm",'Product Line Summary'!F59,IF($C$6="InsureSight",'Product Line Summary'!F69,'Product Line Summary'!F79)))</f>
        <v>162.41999999999999</v>
      </c>
      <c r="G215" s="40">
        <f>IF($C$6="iGO",'Product Line Summary'!G49,IF($C$6="Affirm",'Product Line Summary'!G59,IF($C$6="InsureSight",'Product Line Summary'!G69,'Product Line Summary'!G79)))</f>
        <v>162.69999999999999</v>
      </c>
      <c r="H215" s="40">
        <f>IF($C$6="iGO",'Product Line Summary'!H49,IF($C$6="Affirm",'Product Line Summary'!H59,IF($C$6="InsureSight",'Product Line Summary'!H69,'Product Line Summary'!H79)))</f>
        <v>185.66</v>
      </c>
      <c r="I215" s="40">
        <f>IF($C$6="iGO",'Product Line Summary'!I49,IF($C$6="Affirm",'Product Line Summary'!I59,IF($C$6="InsureSight",'Product Line Summary'!I69,'Product Line Summary'!I79)))</f>
        <v>185.45</v>
      </c>
      <c r="J215" s="40">
        <f>IF($C$6="iGO",'Product Line Summary'!J49,IF($C$6="Affirm",'Product Line Summary'!J59,IF($C$6="InsureSight",'Product Line Summary'!J69,'Product Line Summary'!J79)))</f>
        <v>199.61</v>
      </c>
      <c r="K215" s="40">
        <f>IF($C$6="iGO",'Product Line Summary'!K49,IF($C$6="Affirm",'Product Line Summary'!K59,IF($C$6="InsureSight",'Product Line Summary'!K69,'Product Line Summary'!K79)))</f>
        <v>204.26</v>
      </c>
      <c r="L215" s="40">
        <f>IF($C$6="iGO",'Product Line Summary'!L49,IF($C$6="Affirm",'Product Line Summary'!L59,IF($C$6="InsureSight",'Product Line Summary'!L69,'Product Line Summary'!L79)))</f>
        <v>214.58</v>
      </c>
      <c r="M215" s="40">
        <f>IF($C$6="iGO",'Product Line Summary'!M49,IF($C$6="Affirm",'Product Line Summary'!M59,IF($C$6="InsureSight",'Product Line Summary'!M69,'Product Line Summary'!M79)))</f>
        <v>189.71</v>
      </c>
      <c r="N215" s="40">
        <f t="shared" si="0"/>
        <v>2171.8199999999997</v>
      </c>
      <c r="O215" s="27"/>
      <c r="P215" s="27"/>
      <c r="Q215" s="27"/>
      <c r="R215" s="27"/>
      <c r="S215" s="27"/>
      <c r="T215" s="27"/>
    </row>
    <row r="216" spans="1:20" x14ac:dyDescent="0.25">
      <c r="A216" s="27"/>
      <c r="B216" s="27"/>
      <c r="C216" s="27"/>
      <c r="D216" s="27"/>
      <c r="E216" s="27"/>
      <c r="F216" s="27"/>
      <c r="G216" s="27"/>
      <c r="H216" s="27"/>
      <c r="I216" s="27"/>
      <c r="J216" s="27"/>
      <c r="K216" s="27"/>
      <c r="L216" s="27"/>
      <c r="M216" s="27"/>
      <c r="N216" s="27"/>
      <c r="O216" s="27"/>
      <c r="P216" s="27"/>
      <c r="Q216" s="27"/>
      <c r="R216" s="27"/>
      <c r="S216" s="27"/>
      <c r="T216" s="27"/>
    </row>
    <row r="217" spans="1:20" x14ac:dyDescent="0.25">
      <c r="A217" s="27"/>
      <c r="B217" s="27"/>
      <c r="C217" s="27"/>
      <c r="D217" s="27"/>
      <c r="E217" s="27"/>
      <c r="F217" s="27"/>
      <c r="G217" s="27"/>
      <c r="H217" s="27"/>
      <c r="I217" s="27"/>
      <c r="J217" s="27"/>
      <c r="K217" s="27"/>
      <c r="L217" s="27"/>
      <c r="M217" s="27"/>
      <c r="N217" s="27"/>
      <c r="O217" s="27"/>
      <c r="P217" s="27"/>
      <c r="Q217" s="27"/>
      <c r="R217" s="27"/>
      <c r="S217" s="27"/>
      <c r="T217" s="27"/>
    </row>
    <row r="218" spans="1:20" x14ac:dyDescent="0.25">
      <c r="A218" s="39" t="s">
        <v>3</v>
      </c>
      <c r="B218" s="39" t="s">
        <v>813</v>
      </c>
      <c r="C218" s="39" t="s">
        <v>814</v>
      </c>
      <c r="D218" s="39" t="s">
        <v>815</v>
      </c>
      <c r="E218" s="27"/>
      <c r="F218" s="27"/>
      <c r="G218" s="27"/>
      <c r="H218" s="27"/>
      <c r="I218" s="27"/>
      <c r="J218" s="27"/>
      <c r="K218" s="27"/>
      <c r="L218" s="27"/>
      <c r="M218" s="27"/>
      <c r="N218" s="27"/>
      <c r="O218" s="27"/>
      <c r="P218" s="27"/>
      <c r="Q218" s="27"/>
      <c r="R218" s="27"/>
      <c r="S218" s="27"/>
      <c r="T218" s="27"/>
    </row>
    <row r="219" spans="1:20" x14ac:dyDescent="0.25">
      <c r="A219" s="39" t="s">
        <v>25</v>
      </c>
      <c r="B219" s="40">
        <f>'Product Line Summary'!R8</f>
        <v>72059.360000000001</v>
      </c>
      <c r="C219" s="40">
        <f>'Product Line Summary'!R9</f>
        <v>20155.75</v>
      </c>
      <c r="D219" s="40">
        <f>'Product Line Summary'!R10</f>
        <v>39591.21</v>
      </c>
      <c r="E219" s="27"/>
      <c r="F219" s="27"/>
      <c r="G219" s="27"/>
      <c r="H219" s="27"/>
      <c r="I219" s="27"/>
      <c r="J219" s="27"/>
      <c r="K219" s="27"/>
      <c r="L219" s="27"/>
      <c r="M219" s="27"/>
      <c r="N219" s="27"/>
      <c r="O219" s="27"/>
      <c r="P219" s="27"/>
      <c r="Q219" s="27"/>
      <c r="R219" s="27"/>
      <c r="S219" s="27"/>
      <c r="T219" s="27"/>
    </row>
    <row r="220" spans="1:20" x14ac:dyDescent="0.25">
      <c r="A220" s="39" t="s">
        <v>36</v>
      </c>
      <c r="B220" s="40">
        <f>'Product Line Summary'!R16</f>
        <v>34483.47</v>
      </c>
      <c r="C220" s="40">
        <f>'Product Line Summary'!R17</f>
        <v>4553.4500000000007</v>
      </c>
      <c r="D220" s="40">
        <f>'Product Line Summary'!R18</f>
        <v>24030.149999999998</v>
      </c>
      <c r="E220" s="27"/>
      <c r="F220" s="27"/>
      <c r="G220" s="27"/>
      <c r="H220" s="27"/>
      <c r="I220" s="27"/>
      <c r="J220" s="27"/>
      <c r="K220" s="27"/>
      <c r="L220" s="27"/>
      <c r="M220" s="27"/>
      <c r="N220" s="27"/>
      <c r="O220" s="27"/>
      <c r="P220" s="27"/>
      <c r="Q220" s="27"/>
      <c r="R220" s="27"/>
      <c r="S220" s="27"/>
      <c r="T220" s="27"/>
    </row>
    <row r="221" spans="1:20" x14ac:dyDescent="0.25">
      <c r="A221" s="39" t="s">
        <v>16</v>
      </c>
      <c r="B221" s="40">
        <f>'Product Line Summary'!R24</f>
        <v>11290.61</v>
      </c>
      <c r="C221" s="40">
        <f>'Product Line Summary'!R25</f>
        <v>4150.91</v>
      </c>
      <c r="D221" s="40">
        <f>'Product Line Summary'!R26</f>
        <v>5233.8499999999995</v>
      </c>
      <c r="E221" s="27"/>
      <c r="F221" s="27"/>
      <c r="G221" s="27"/>
      <c r="H221" s="27"/>
      <c r="I221" s="27"/>
      <c r="J221" s="27"/>
      <c r="K221" s="27"/>
      <c r="L221" s="27"/>
      <c r="M221" s="27"/>
      <c r="N221" s="27"/>
      <c r="O221" s="27"/>
      <c r="P221" s="27"/>
      <c r="Q221" s="27"/>
      <c r="R221" s="27"/>
      <c r="S221" s="27"/>
      <c r="T221" s="27"/>
    </row>
    <row r="222" spans="1:20" x14ac:dyDescent="0.25">
      <c r="A222" s="39" t="s">
        <v>10</v>
      </c>
      <c r="B222" s="40">
        <f>'Product Line Summary'!R32</f>
        <v>4635.12</v>
      </c>
      <c r="C222" s="40">
        <f>'Product Line Summary'!R33</f>
        <v>1830.7299999999998</v>
      </c>
      <c r="D222" s="40">
        <f>'Product Line Summary'!R34</f>
        <v>2017.7700000000002</v>
      </c>
      <c r="E222" s="27"/>
      <c r="F222" s="27"/>
      <c r="G222" s="27"/>
      <c r="H222" s="27"/>
      <c r="I222" s="27"/>
      <c r="J222" s="27"/>
      <c r="K222" s="27"/>
      <c r="L222" s="27"/>
      <c r="M222" s="27"/>
      <c r="N222" s="27"/>
      <c r="O222" s="27"/>
      <c r="P222" s="27"/>
      <c r="Q222" s="27"/>
      <c r="R222" s="27"/>
      <c r="S222" s="27"/>
      <c r="T222" s="27"/>
    </row>
    <row r="223" spans="1:20" x14ac:dyDescent="0.25">
      <c r="A223" s="27"/>
      <c r="B223" s="27"/>
      <c r="C223" s="27"/>
      <c r="D223" s="27"/>
      <c r="E223" s="27"/>
      <c r="F223" s="27"/>
      <c r="G223" s="27"/>
      <c r="H223" s="27"/>
      <c r="I223" s="27"/>
      <c r="J223" s="27"/>
      <c r="K223" s="27"/>
      <c r="L223" s="27"/>
      <c r="M223" s="27"/>
      <c r="N223" s="27"/>
      <c r="O223" s="27"/>
      <c r="P223" s="27"/>
      <c r="Q223" s="27"/>
      <c r="R223" s="27"/>
      <c r="S223" s="27"/>
      <c r="T223" s="27"/>
    </row>
    <row r="224" spans="1:20" x14ac:dyDescent="0.25">
      <c r="A224" s="39" t="s">
        <v>2</v>
      </c>
      <c r="B224" s="39" t="s">
        <v>25</v>
      </c>
      <c r="C224" s="39" t="s">
        <v>36</v>
      </c>
      <c r="D224" s="39" t="s">
        <v>16</v>
      </c>
      <c r="E224" s="39" t="s">
        <v>10</v>
      </c>
      <c r="F224" s="27"/>
      <c r="G224" s="27"/>
      <c r="H224" s="27"/>
      <c r="I224" s="27"/>
      <c r="J224" s="27"/>
      <c r="K224" s="27"/>
      <c r="L224" s="27"/>
      <c r="M224" s="27"/>
      <c r="N224" s="27"/>
      <c r="O224" s="27"/>
      <c r="P224" s="27"/>
      <c r="Q224" s="27"/>
      <c r="R224" s="27"/>
      <c r="S224" s="27"/>
      <c r="T224" s="27"/>
    </row>
    <row r="225" spans="1:20" x14ac:dyDescent="0.25">
      <c r="A225" s="39" t="s">
        <v>21</v>
      </c>
      <c r="B225" s="40">
        <f>'Product Line Summary'!R43</f>
        <v>9854.99</v>
      </c>
      <c r="C225" s="40">
        <f>'Product Line Summary'!R53</f>
        <v>1578.7000000000003</v>
      </c>
      <c r="D225" s="40">
        <f>'Product Line Summary'!R63</f>
        <v>1855.19</v>
      </c>
      <c r="E225" s="40">
        <f>'Product Line Summary'!R73</f>
        <v>875.18000000000006</v>
      </c>
      <c r="F225" s="27"/>
      <c r="G225" s="27"/>
      <c r="H225" s="27"/>
      <c r="I225" s="27"/>
      <c r="J225" s="27"/>
      <c r="K225" s="27"/>
      <c r="L225" s="27"/>
      <c r="M225" s="27"/>
      <c r="N225" s="27"/>
      <c r="O225" s="27"/>
      <c r="P225" s="27"/>
      <c r="Q225" s="27"/>
      <c r="R225" s="27"/>
      <c r="S225" s="27"/>
      <c r="T225" s="27"/>
    </row>
    <row r="226" spans="1:20" x14ac:dyDescent="0.25">
      <c r="A226" s="39" t="s">
        <v>56</v>
      </c>
      <c r="B226" s="40">
        <f>'Product Line Summary'!R44</f>
        <v>2190.3999999999996</v>
      </c>
      <c r="C226" s="40">
        <f>'Product Line Summary'!R54</f>
        <v>524.66000000000008</v>
      </c>
      <c r="D226" s="40">
        <f>'Product Line Summary'!R64</f>
        <v>428.74999999999994</v>
      </c>
      <c r="E226" s="40">
        <f>'Product Line Summary'!R74</f>
        <v>212.60000000000002</v>
      </c>
      <c r="F226" s="27"/>
      <c r="G226" s="27"/>
      <c r="H226" s="27"/>
      <c r="I226" s="27"/>
      <c r="J226" s="27"/>
      <c r="K226" s="27"/>
      <c r="L226" s="27"/>
      <c r="M226" s="27"/>
      <c r="N226" s="27"/>
      <c r="O226" s="27"/>
      <c r="P226" s="27"/>
      <c r="Q226" s="27"/>
      <c r="R226" s="27"/>
      <c r="S226" s="27"/>
      <c r="T226" s="27"/>
    </row>
    <row r="227" spans="1:20" x14ac:dyDescent="0.25">
      <c r="A227" s="39" t="s">
        <v>54</v>
      </c>
      <c r="B227" s="40">
        <f>'Product Line Summary'!R45</f>
        <v>3252.76</v>
      </c>
      <c r="C227" s="40">
        <f>'Product Line Summary'!R55</f>
        <v>774.85000000000014</v>
      </c>
      <c r="D227" s="40">
        <f>'Product Line Summary'!R65</f>
        <v>685.05999999999983</v>
      </c>
      <c r="E227" s="40">
        <f>'Product Line Summary'!R75</f>
        <v>353.77000000000004</v>
      </c>
      <c r="F227" s="27"/>
      <c r="G227" s="27"/>
      <c r="H227" s="27"/>
      <c r="I227" s="27"/>
      <c r="J227" s="27"/>
      <c r="K227" s="27"/>
      <c r="L227" s="27"/>
      <c r="M227" s="27"/>
      <c r="N227" s="27"/>
      <c r="O227" s="27"/>
      <c r="P227" s="27"/>
      <c r="Q227" s="27"/>
      <c r="R227" s="27"/>
      <c r="S227" s="27"/>
      <c r="T227" s="27"/>
    </row>
    <row r="228" spans="1:20" x14ac:dyDescent="0.25">
      <c r="A228" s="39" t="s">
        <v>15</v>
      </c>
      <c r="B228" s="40">
        <f>'Product Line Summary'!R46</f>
        <v>1635.44</v>
      </c>
      <c r="C228" s="40">
        <f>'Product Line Summary'!R56</f>
        <v>520.30000000000007</v>
      </c>
      <c r="D228" s="40">
        <f>'Product Line Summary'!R66</f>
        <v>502.96999999999997</v>
      </c>
      <c r="E228" s="40">
        <f>'Product Line Summary'!R76</f>
        <v>143.79</v>
      </c>
      <c r="F228" s="27"/>
      <c r="G228" s="27"/>
      <c r="H228" s="27"/>
      <c r="I228" s="27"/>
      <c r="J228" s="27"/>
      <c r="K228" s="27"/>
      <c r="L228" s="27"/>
      <c r="M228" s="27"/>
      <c r="N228" s="27"/>
      <c r="O228" s="27"/>
      <c r="P228" s="27"/>
      <c r="Q228" s="27"/>
      <c r="R228" s="27"/>
      <c r="S228" s="27"/>
      <c r="T228" s="27"/>
    </row>
    <row r="229" spans="1:20" x14ac:dyDescent="0.25">
      <c r="A229" s="39" t="s">
        <v>40</v>
      </c>
      <c r="B229" s="40">
        <f>'Product Line Summary'!R47</f>
        <v>273.25</v>
      </c>
      <c r="C229" s="40">
        <f>'Product Line Summary'!R57</f>
        <v>77.990000000000009</v>
      </c>
      <c r="D229" s="40">
        <f>'Product Line Summary'!R67</f>
        <v>85.250000000000014</v>
      </c>
      <c r="E229" s="40">
        <f>'Product Line Summary'!R77</f>
        <v>28.360000000000003</v>
      </c>
      <c r="F229" s="27"/>
      <c r="G229" s="27"/>
      <c r="H229" s="27"/>
      <c r="I229" s="27"/>
      <c r="J229" s="27"/>
      <c r="K229" s="27"/>
      <c r="L229" s="27"/>
      <c r="M229" s="27"/>
      <c r="N229" s="27"/>
      <c r="O229" s="27"/>
      <c r="P229" s="27"/>
      <c r="Q229" s="27"/>
      <c r="R229" s="27"/>
      <c r="S229" s="27"/>
      <c r="T229" s="27"/>
    </row>
    <row r="230" spans="1:20" x14ac:dyDescent="0.25">
      <c r="A230" s="39" t="s">
        <v>9</v>
      </c>
      <c r="B230" s="40">
        <f>'Product Line Summary'!R48</f>
        <v>5718.5300000000007</v>
      </c>
      <c r="C230" s="40">
        <f>'Product Line Summary'!R58</f>
        <v>1696.6500000000003</v>
      </c>
      <c r="D230" s="40">
        <f>'Product Line Summary'!R68</f>
        <v>1325.33</v>
      </c>
      <c r="E230" s="40">
        <f>'Product Line Summary'!R78</f>
        <v>687.75</v>
      </c>
      <c r="F230" s="27"/>
      <c r="G230" s="27"/>
      <c r="H230" s="27"/>
      <c r="I230" s="27"/>
      <c r="J230" s="27"/>
      <c r="K230" s="27"/>
      <c r="L230" s="27"/>
      <c r="M230" s="27"/>
      <c r="N230" s="27"/>
      <c r="O230" s="27"/>
      <c r="P230" s="27"/>
      <c r="Q230" s="27"/>
      <c r="R230" s="27"/>
      <c r="S230" s="27"/>
      <c r="T230" s="27"/>
    </row>
    <row r="231" spans="1:20" x14ac:dyDescent="0.25">
      <c r="A231" s="39" t="s">
        <v>816</v>
      </c>
      <c r="B231" s="40">
        <f>'Product Line Summary'!R49</f>
        <v>2171.8199999999997</v>
      </c>
      <c r="C231" s="40">
        <f>'Product Line Summary'!R59</f>
        <v>681.65</v>
      </c>
      <c r="D231" s="40">
        <f>'Product Line Summary'!R69</f>
        <v>453.39</v>
      </c>
      <c r="E231" s="40">
        <f>'Product Line Summary'!R79</f>
        <v>229.88</v>
      </c>
      <c r="F231" s="27"/>
      <c r="G231" s="27"/>
      <c r="H231" s="27"/>
      <c r="I231" s="27"/>
      <c r="J231" s="27"/>
      <c r="K231" s="27"/>
      <c r="L231" s="27"/>
      <c r="M231" s="27"/>
      <c r="N231" s="27"/>
      <c r="O231" s="27"/>
      <c r="P231" s="27"/>
      <c r="Q231" s="27"/>
      <c r="R231" s="27"/>
      <c r="S231" s="27"/>
      <c r="T231" s="27"/>
    </row>
    <row r="232" spans="1:20" x14ac:dyDescent="0.25">
      <c r="A232" s="27"/>
      <c r="B232" s="27"/>
      <c r="C232" s="27"/>
      <c r="D232" s="27"/>
      <c r="E232" s="27"/>
      <c r="F232" s="27"/>
      <c r="G232" s="27"/>
      <c r="H232" s="27"/>
      <c r="I232" s="27"/>
      <c r="J232" s="27"/>
      <c r="K232" s="27"/>
      <c r="L232" s="27"/>
      <c r="M232" s="27"/>
      <c r="N232" s="27"/>
      <c r="O232" s="27"/>
      <c r="P232" s="27"/>
      <c r="Q232" s="27"/>
      <c r="R232" s="27"/>
      <c r="S232" s="27"/>
      <c r="T232" s="27"/>
    </row>
    <row r="233" spans="1:20" x14ac:dyDescent="0.25">
      <c r="A233" s="39" t="s">
        <v>695</v>
      </c>
      <c r="B233" s="39" t="s">
        <v>25</v>
      </c>
      <c r="C233" s="39" t="s">
        <v>36</v>
      </c>
      <c r="D233" s="39" t="s">
        <v>16</v>
      </c>
      <c r="E233" s="39" t="s">
        <v>10</v>
      </c>
      <c r="F233" s="27"/>
      <c r="G233" s="27"/>
      <c r="H233" s="27"/>
      <c r="I233" s="27"/>
      <c r="J233" s="27"/>
      <c r="K233" s="27"/>
      <c r="L233" s="27"/>
      <c r="M233" s="27"/>
      <c r="N233" s="27"/>
      <c r="O233" s="27"/>
      <c r="P233" s="27"/>
      <c r="Q233" s="27"/>
      <c r="R233" s="27"/>
      <c r="S233" s="27"/>
      <c r="T233" s="27"/>
    </row>
    <row r="234" spans="1:20" x14ac:dyDescent="0.25">
      <c r="A234" s="39" t="s">
        <v>799</v>
      </c>
      <c r="B234" s="40">
        <f>'Product Line Summary'!B8</f>
        <v>5368.51</v>
      </c>
      <c r="C234" s="40">
        <f>'Product Line Summary'!B16</f>
        <v>2644.98</v>
      </c>
      <c r="D234" s="40">
        <f>'Product Line Summary'!B24</f>
        <v>859.56999999999994</v>
      </c>
      <c r="E234" s="40">
        <f>'Product Line Summary'!B32</f>
        <v>351.40999999999997</v>
      </c>
      <c r="F234" s="27"/>
      <c r="G234" s="27"/>
      <c r="H234" s="27"/>
      <c r="I234" s="27"/>
      <c r="J234" s="27"/>
      <c r="K234" s="27"/>
      <c r="L234" s="27"/>
      <c r="M234" s="27"/>
      <c r="N234" s="27"/>
      <c r="O234" s="27"/>
      <c r="P234" s="27"/>
      <c r="Q234" s="27"/>
      <c r="R234" s="27"/>
      <c r="S234" s="27"/>
      <c r="T234" s="27"/>
    </row>
    <row r="235" spans="1:20" x14ac:dyDescent="0.25">
      <c r="A235" s="39" t="s">
        <v>800</v>
      </c>
      <c r="B235" s="40">
        <f>'Product Line Summary'!C8</f>
        <v>5486.35</v>
      </c>
      <c r="C235" s="40">
        <f>'Product Line Summary'!C16</f>
        <v>2697.4700000000003</v>
      </c>
      <c r="D235" s="40">
        <f>'Product Line Summary'!C24</f>
        <v>872.37</v>
      </c>
      <c r="E235" s="40">
        <f>'Product Line Summary'!C32</f>
        <v>356.11</v>
      </c>
      <c r="F235" s="27"/>
      <c r="G235" s="27"/>
      <c r="H235" s="27"/>
      <c r="I235" s="27"/>
      <c r="J235" s="27"/>
      <c r="K235" s="27"/>
      <c r="L235" s="27"/>
      <c r="M235" s="27"/>
      <c r="N235" s="27"/>
      <c r="O235" s="27"/>
      <c r="P235" s="27"/>
      <c r="Q235" s="27"/>
      <c r="R235" s="27"/>
      <c r="S235" s="27"/>
      <c r="T235" s="27"/>
    </row>
    <row r="236" spans="1:20" x14ac:dyDescent="0.25">
      <c r="A236" s="39" t="s">
        <v>801</v>
      </c>
      <c r="B236" s="40">
        <f>'Product Line Summary'!D8</f>
        <v>5756.57</v>
      </c>
      <c r="C236" s="40">
        <f>'Product Line Summary'!D16</f>
        <v>2699.1</v>
      </c>
      <c r="D236" s="40">
        <f>'Product Line Summary'!D24</f>
        <v>867.19</v>
      </c>
      <c r="E236" s="40">
        <f>'Product Line Summary'!D32</f>
        <v>370.34999999999997</v>
      </c>
      <c r="F236" s="27"/>
      <c r="G236" s="27"/>
      <c r="H236" s="27"/>
      <c r="I236" s="27"/>
      <c r="J236" s="27"/>
      <c r="K236" s="27"/>
      <c r="L236" s="27"/>
      <c r="M236" s="27"/>
      <c r="N236" s="27"/>
      <c r="O236" s="27"/>
      <c r="P236" s="27"/>
      <c r="Q236" s="27"/>
      <c r="R236" s="27"/>
      <c r="S236" s="27"/>
      <c r="T236" s="27"/>
    </row>
    <row r="237" spans="1:20" x14ac:dyDescent="0.25">
      <c r="A237" s="39" t="s">
        <v>802</v>
      </c>
      <c r="B237" s="40">
        <f>'Product Line Summary'!E8</f>
        <v>5657.28</v>
      </c>
      <c r="C237" s="40">
        <f>'Product Line Summary'!E16</f>
        <v>2723</v>
      </c>
      <c r="D237" s="40">
        <f>'Product Line Summary'!E24</f>
        <v>903.7600000000001</v>
      </c>
      <c r="E237" s="40">
        <f>'Product Line Summary'!E32</f>
        <v>358.08</v>
      </c>
      <c r="F237" s="27"/>
      <c r="G237" s="27"/>
      <c r="H237" s="27"/>
      <c r="I237" s="27"/>
      <c r="J237" s="27"/>
      <c r="K237" s="27"/>
      <c r="L237" s="27"/>
      <c r="M237" s="27"/>
      <c r="N237" s="27"/>
      <c r="O237" s="27"/>
      <c r="P237" s="27"/>
      <c r="Q237" s="27"/>
      <c r="R237" s="27"/>
      <c r="S237" s="27"/>
      <c r="T237" s="27"/>
    </row>
    <row r="238" spans="1:20" x14ac:dyDescent="0.25">
      <c r="A238" s="39" t="s">
        <v>803</v>
      </c>
      <c r="B238" s="40">
        <f>'Product Line Summary'!F8</f>
        <v>5682.14</v>
      </c>
      <c r="C238" s="40">
        <f>'Product Line Summary'!F16</f>
        <v>2815.92</v>
      </c>
      <c r="D238" s="40">
        <f>'Product Line Summary'!F24</f>
        <v>913.2700000000001</v>
      </c>
      <c r="E238" s="40">
        <f>'Product Line Summary'!F32</f>
        <v>361.31</v>
      </c>
      <c r="F238" s="27"/>
      <c r="G238" s="27"/>
      <c r="H238" s="27"/>
      <c r="I238" s="27"/>
      <c r="J238" s="27"/>
      <c r="K238" s="27"/>
      <c r="L238" s="27"/>
      <c r="M238" s="27"/>
      <c r="N238" s="27"/>
      <c r="O238" s="27"/>
      <c r="P238" s="27"/>
      <c r="Q238" s="27"/>
      <c r="R238" s="27"/>
      <c r="S238" s="27"/>
      <c r="T238" s="27"/>
    </row>
    <row r="239" spans="1:20" x14ac:dyDescent="0.25">
      <c r="A239" s="39" t="s">
        <v>804</v>
      </c>
      <c r="B239" s="40">
        <f>'Product Line Summary'!G8</f>
        <v>5904.8</v>
      </c>
      <c r="C239" s="40">
        <f>'Product Line Summary'!G16</f>
        <v>2862.55</v>
      </c>
      <c r="D239" s="40">
        <f>'Product Line Summary'!G24</f>
        <v>934.31999999999994</v>
      </c>
      <c r="E239" s="40">
        <f>'Product Line Summary'!G32</f>
        <v>383.94</v>
      </c>
      <c r="F239" s="27"/>
      <c r="G239" s="27"/>
      <c r="H239" s="27"/>
      <c r="I239" s="27"/>
      <c r="J239" s="27"/>
      <c r="K239" s="27"/>
      <c r="L239" s="27"/>
      <c r="M239" s="27"/>
      <c r="N239" s="27"/>
      <c r="O239" s="27"/>
      <c r="P239" s="27"/>
      <c r="Q239" s="27"/>
      <c r="R239" s="27"/>
      <c r="S239" s="27"/>
      <c r="T239" s="27"/>
    </row>
    <row r="240" spans="1:20" x14ac:dyDescent="0.25">
      <c r="A240" s="39" t="s">
        <v>805</v>
      </c>
      <c r="B240" s="40">
        <f>'Product Line Summary'!H8</f>
        <v>5870.32</v>
      </c>
      <c r="C240" s="40">
        <f>'Product Line Summary'!H16</f>
        <v>2875.4300000000003</v>
      </c>
      <c r="D240" s="40">
        <f>'Product Line Summary'!H24</f>
        <v>901.31000000000006</v>
      </c>
      <c r="E240" s="40">
        <f>'Product Line Summary'!H32</f>
        <v>372.8</v>
      </c>
      <c r="F240" s="27"/>
      <c r="G240" s="27"/>
      <c r="H240" s="27"/>
      <c r="I240" s="27"/>
      <c r="J240" s="27"/>
      <c r="K240" s="27"/>
      <c r="L240" s="27"/>
      <c r="M240" s="27"/>
      <c r="N240" s="27"/>
      <c r="O240" s="27"/>
      <c r="P240" s="27"/>
      <c r="Q240" s="27"/>
      <c r="R240" s="27"/>
      <c r="S240" s="27"/>
      <c r="T240" s="27"/>
    </row>
    <row r="241" spans="1:20" x14ac:dyDescent="0.25">
      <c r="A241" s="39" t="s">
        <v>806</v>
      </c>
      <c r="B241" s="40">
        <f>'Product Line Summary'!I8</f>
        <v>6118.46</v>
      </c>
      <c r="C241" s="40">
        <f>'Product Line Summary'!I16</f>
        <v>2819.3399999999997</v>
      </c>
      <c r="D241" s="40">
        <f>'Product Line Summary'!I24</f>
        <v>927.18000000000006</v>
      </c>
      <c r="E241" s="40">
        <f>'Product Line Summary'!I32</f>
        <v>397.42</v>
      </c>
      <c r="F241" s="27"/>
      <c r="G241" s="27"/>
      <c r="H241" s="27"/>
      <c r="I241" s="27"/>
      <c r="J241" s="27"/>
      <c r="K241" s="27"/>
      <c r="L241" s="27"/>
      <c r="M241" s="27"/>
      <c r="N241" s="27"/>
      <c r="O241" s="27"/>
      <c r="P241" s="27"/>
      <c r="Q241" s="27"/>
      <c r="R241" s="27"/>
      <c r="S241" s="27"/>
      <c r="T241" s="27"/>
    </row>
    <row r="242" spans="1:20" x14ac:dyDescent="0.25">
      <c r="A242" s="39" t="s">
        <v>807</v>
      </c>
      <c r="B242" s="40">
        <f>'Product Line Summary'!J8</f>
        <v>6180.1399999999994</v>
      </c>
      <c r="C242" s="40">
        <f>'Product Line Summary'!J16</f>
        <v>2844.73</v>
      </c>
      <c r="D242" s="40">
        <f>'Product Line Summary'!J24</f>
        <v>973.03</v>
      </c>
      <c r="E242" s="40">
        <f>'Product Line Summary'!J32</f>
        <v>402.92</v>
      </c>
      <c r="F242" s="27"/>
      <c r="G242" s="27"/>
      <c r="H242" s="27"/>
      <c r="I242" s="27"/>
      <c r="J242" s="27"/>
      <c r="K242" s="27"/>
      <c r="L242" s="27"/>
      <c r="M242" s="27"/>
      <c r="N242" s="27"/>
      <c r="O242" s="27"/>
      <c r="P242" s="27"/>
      <c r="Q242" s="27"/>
      <c r="R242" s="27"/>
      <c r="S242" s="27"/>
      <c r="T242" s="27"/>
    </row>
    <row r="243" spans="1:20" x14ac:dyDescent="0.25">
      <c r="A243" s="39" t="s">
        <v>808</v>
      </c>
      <c r="B243" s="40">
        <f>'Product Line Summary'!K8</f>
        <v>6698.01</v>
      </c>
      <c r="C243" s="40">
        <f>'Product Line Summary'!K16</f>
        <v>3068.73</v>
      </c>
      <c r="D243" s="40">
        <f>'Product Line Summary'!K24</f>
        <v>1037.3599999999999</v>
      </c>
      <c r="E243" s="40">
        <f>'Product Line Summary'!K32</f>
        <v>424.79</v>
      </c>
      <c r="F243" s="27"/>
      <c r="G243" s="27"/>
      <c r="H243" s="27"/>
      <c r="I243" s="27"/>
      <c r="J243" s="27"/>
      <c r="K243" s="27"/>
      <c r="L243" s="27"/>
      <c r="M243" s="27"/>
      <c r="N243" s="27"/>
      <c r="O243" s="27"/>
      <c r="P243" s="27"/>
      <c r="Q243" s="27"/>
      <c r="R243" s="27"/>
      <c r="S243" s="27"/>
      <c r="T243" s="27"/>
    </row>
    <row r="244" spans="1:20" x14ac:dyDescent="0.25">
      <c r="A244" s="39" t="s">
        <v>809</v>
      </c>
      <c r="B244" s="40">
        <f>'Product Line Summary'!L8</f>
        <v>6624.03</v>
      </c>
      <c r="C244" s="40">
        <f>'Product Line Summary'!L16</f>
        <v>3164.49</v>
      </c>
      <c r="D244" s="40">
        <f>'Product Line Summary'!L24</f>
        <v>1051.95</v>
      </c>
      <c r="E244" s="40">
        <f>'Product Line Summary'!L32</f>
        <v>426.16</v>
      </c>
      <c r="F244" s="27"/>
      <c r="G244" s="27"/>
      <c r="H244" s="27"/>
      <c r="I244" s="27"/>
      <c r="J244" s="27"/>
      <c r="K244" s="27"/>
      <c r="L244" s="27"/>
      <c r="M244" s="27"/>
      <c r="N244" s="27"/>
      <c r="O244" s="27"/>
      <c r="P244" s="27"/>
      <c r="Q244" s="27"/>
      <c r="R244" s="27"/>
      <c r="S244" s="27"/>
      <c r="T244" s="27"/>
    </row>
    <row r="245" spans="1:20" x14ac:dyDescent="0.25">
      <c r="A245" s="39" t="s">
        <v>810</v>
      </c>
      <c r="B245" s="40">
        <f>'Product Line Summary'!M8</f>
        <v>6712.7500000000009</v>
      </c>
      <c r="C245" s="40">
        <f>'Product Line Summary'!M16</f>
        <v>3267.7299999999996</v>
      </c>
      <c r="D245" s="40">
        <f>'Product Line Summary'!M24</f>
        <v>1049.3</v>
      </c>
      <c r="E245" s="40">
        <f>'Product Line Summary'!M32</f>
        <v>429.83</v>
      </c>
      <c r="F245" s="27"/>
      <c r="G245" s="27"/>
      <c r="H245" s="27"/>
      <c r="I245" s="27"/>
      <c r="J245" s="27"/>
      <c r="K245" s="27"/>
      <c r="L245" s="27"/>
      <c r="M245" s="27"/>
      <c r="N245" s="27"/>
      <c r="O245" s="27"/>
      <c r="P245" s="27"/>
      <c r="Q245" s="27"/>
      <c r="R245" s="27"/>
      <c r="S245" s="27"/>
      <c r="T245" s="27"/>
    </row>
    <row r="246" spans="1:20" x14ac:dyDescent="0.25">
      <c r="A246" s="27"/>
      <c r="B246" s="27"/>
      <c r="C246" s="27"/>
      <c r="D246" s="27"/>
      <c r="E246" s="27"/>
      <c r="F246" s="27"/>
      <c r="G246" s="27"/>
      <c r="H246" s="27"/>
      <c r="I246" s="27"/>
      <c r="J246" s="27"/>
      <c r="K246" s="27"/>
      <c r="L246" s="27"/>
      <c r="M246" s="27"/>
      <c r="N246" s="27"/>
      <c r="O246" s="27"/>
      <c r="P246" s="27"/>
      <c r="Q246" s="27"/>
      <c r="R246" s="27"/>
      <c r="S246" s="27"/>
      <c r="T246" s="27"/>
    </row>
    <row r="247" spans="1:20" x14ac:dyDescent="0.25">
      <c r="A247" s="39" t="s">
        <v>695</v>
      </c>
      <c r="B247" s="39" t="s">
        <v>25</v>
      </c>
      <c r="C247" s="39" t="s">
        <v>36</v>
      </c>
      <c r="D247" s="39" t="s">
        <v>16</v>
      </c>
      <c r="E247" s="39" t="s">
        <v>10</v>
      </c>
      <c r="F247" s="27"/>
      <c r="G247" s="27"/>
      <c r="H247" s="27"/>
      <c r="I247" s="27"/>
      <c r="J247" s="27"/>
      <c r="K247" s="27"/>
      <c r="L247" s="27"/>
      <c r="M247" s="27"/>
      <c r="N247" s="27"/>
      <c r="O247" s="27"/>
      <c r="P247" s="27"/>
      <c r="Q247" s="27"/>
      <c r="R247" s="27"/>
      <c r="S247" s="27"/>
      <c r="T247" s="27"/>
    </row>
    <row r="248" spans="1:20" x14ac:dyDescent="0.25">
      <c r="A248" s="39" t="s">
        <v>799</v>
      </c>
      <c r="B248" s="41">
        <f>'Product Line Summary'!B11</f>
        <v>0.5419585695099759</v>
      </c>
      <c r="C248" s="41">
        <f>'Product Line Summary'!B19</f>
        <v>0.69543815076106441</v>
      </c>
      <c r="D248" s="41">
        <f>'Product Line Summary'!B27</f>
        <v>0.46121898158381519</v>
      </c>
      <c r="E248" s="41">
        <f>'Product Line Summary'!B35</f>
        <v>0.44301528129535306</v>
      </c>
      <c r="F248" s="27"/>
      <c r="G248" s="27"/>
      <c r="H248" s="27"/>
      <c r="I248" s="27"/>
      <c r="J248" s="27"/>
      <c r="K248" s="27"/>
      <c r="L248" s="27"/>
      <c r="M248" s="27"/>
      <c r="N248" s="27"/>
      <c r="O248" s="27"/>
      <c r="P248" s="27"/>
      <c r="Q248" s="27"/>
      <c r="R248" s="27"/>
      <c r="S248" s="27"/>
      <c r="T248" s="27"/>
    </row>
    <row r="249" spans="1:20" x14ac:dyDescent="0.25">
      <c r="A249" s="39" t="s">
        <v>800</v>
      </c>
      <c r="B249" s="41">
        <f>'Product Line Summary'!C11</f>
        <v>0.55948308073673747</v>
      </c>
      <c r="C249" s="41">
        <f>'Product Line Summary'!C19</f>
        <v>0.69401698628715058</v>
      </c>
      <c r="D249" s="41">
        <f>'Product Line Summary'!C27</f>
        <v>0.45613673097424262</v>
      </c>
      <c r="E249" s="41">
        <f>'Product Line Summary'!C35</f>
        <v>0.44654741512454016</v>
      </c>
      <c r="F249" s="27"/>
      <c r="G249" s="27"/>
      <c r="H249" s="27"/>
      <c r="I249" s="27"/>
      <c r="J249" s="27"/>
      <c r="K249" s="27"/>
      <c r="L249" s="27"/>
      <c r="M249" s="27"/>
      <c r="N249" s="27"/>
      <c r="O249" s="27"/>
      <c r="P249" s="27"/>
      <c r="Q249" s="27"/>
      <c r="R249" s="27"/>
      <c r="S249" s="27"/>
      <c r="T249" s="27"/>
    </row>
    <row r="250" spans="1:20" x14ac:dyDescent="0.25">
      <c r="A250" s="39" t="s">
        <v>801</v>
      </c>
      <c r="B250" s="41">
        <f>'Product Line Summary'!D11</f>
        <v>0.5591871548508921</v>
      </c>
      <c r="C250" s="41">
        <f>'Product Line Summary'!D19</f>
        <v>0.68443925753028789</v>
      </c>
      <c r="D250" s="41">
        <f>'Product Line Summary'!D27</f>
        <v>0.45993380919982935</v>
      </c>
      <c r="E250" s="41">
        <f>'Product Line Summary'!D35</f>
        <v>0.43739705683812619</v>
      </c>
      <c r="F250" s="27"/>
      <c r="G250" s="27"/>
      <c r="H250" s="27"/>
      <c r="I250" s="27"/>
      <c r="J250" s="27"/>
      <c r="K250" s="27"/>
      <c r="L250" s="27"/>
      <c r="M250" s="27"/>
      <c r="N250" s="27"/>
      <c r="O250" s="27"/>
      <c r="P250" s="27"/>
      <c r="Q250" s="27"/>
      <c r="R250" s="27"/>
      <c r="S250" s="27"/>
      <c r="T250" s="27"/>
    </row>
    <row r="251" spans="1:20" x14ac:dyDescent="0.25">
      <c r="A251" s="39" t="s">
        <v>802</v>
      </c>
      <c r="B251" s="41">
        <f>'Product Line Summary'!E11</f>
        <v>0.5578652638723911</v>
      </c>
      <c r="C251" s="41">
        <f>'Product Line Summary'!E19</f>
        <v>0.71060962174072717</v>
      </c>
      <c r="D251" s="41">
        <f>'Product Line Summary'!E27</f>
        <v>0.45536425599716734</v>
      </c>
      <c r="E251" s="41">
        <f>'Product Line Summary'!E35</f>
        <v>0.43959450402144773</v>
      </c>
      <c r="F251" s="27"/>
      <c r="G251" s="27"/>
      <c r="H251" s="27"/>
      <c r="I251" s="27"/>
      <c r="J251" s="27"/>
      <c r="K251" s="27"/>
      <c r="L251" s="27"/>
      <c r="M251" s="27"/>
      <c r="N251" s="27"/>
      <c r="O251" s="27"/>
      <c r="P251" s="27"/>
      <c r="Q251" s="27"/>
      <c r="R251" s="27"/>
      <c r="S251" s="27"/>
      <c r="T251" s="27"/>
    </row>
    <row r="252" spans="1:20" x14ac:dyDescent="0.25">
      <c r="A252" s="39" t="s">
        <v>803</v>
      </c>
      <c r="B252" s="41">
        <f>'Product Line Summary'!F11</f>
        <v>0.54477186412161616</v>
      </c>
      <c r="C252" s="41">
        <f>'Product Line Summary'!F19</f>
        <v>0.69410707690559392</v>
      </c>
      <c r="D252" s="41">
        <f>'Product Line Summary'!F27</f>
        <v>0.47626660242863555</v>
      </c>
      <c r="E252" s="41">
        <f>'Product Line Summary'!F35</f>
        <v>0.4283025656638344</v>
      </c>
      <c r="F252" s="27"/>
      <c r="G252" s="27"/>
      <c r="H252" s="27"/>
      <c r="I252" s="27"/>
      <c r="J252" s="27"/>
      <c r="K252" s="27"/>
      <c r="L252" s="27"/>
      <c r="M252" s="27"/>
      <c r="N252" s="27"/>
      <c r="O252" s="27"/>
      <c r="P252" s="27"/>
      <c r="Q252" s="27"/>
      <c r="R252" s="27"/>
      <c r="S252" s="27"/>
      <c r="T252" s="27"/>
    </row>
    <row r="253" spans="1:20" x14ac:dyDescent="0.25">
      <c r="A253" s="39" t="s">
        <v>804</v>
      </c>
      <c r="B253" s="41">
        <f>'Product Line Summary'!G11</f>
        <v>0.55049281940116512</v>
      </c>
      <c r="C253" s="41">
        <f>'Product Line Summary'!G19</f>
        <v>0.68873556793767787</v>
      </c>
      <c r="D253" s="41">
        <f>'Product Line Summary'!G27</f>
        <v>0.46124454148471611</v>
      </c>
      <c r="E253" s="41">
        <f>'Product Line Summary'!G35</f>
        <v>0.43808928478408088</v>
      </c>
      <c r="F253" s="27"/>
      <c r="G253" s="27"/>
      <c r="H253" s="27"/>
      <c r="I253" s="27"/>
      <c r="J253" s="27"/>
      <c r="K253" s="27"/>
      <c r="L253" s="27"/>
      <c r="M253" s="27"/>
      <c r="N253" s="27"/>
      <c r="O253" s="27"/>
      <c r="P253" s="27"/>
      <c r="Q253" s="27"/>
      <c r="R253" s="27"/>
      <c r="S253" s="27"/>
      <c r="T253" s="27"/>
    </row>
    <row r="254" spans="1:20" x14ac:dyDescent="0.25">
      <c r="A254" s="39" t="s">
        <v>805</v>
      </c>
      <c r="B254" s="41">
        <f>'Product Line Summary'!H11</f>
        <v>0.55883665626405388</v>
      </c>
      <c r="C254" s="41">
        <f>'Product Line Summary'!H19</f>
        <v>0.70749418347864479</v>
      </c>
      <c r="D254" s="41">
        <f>'Product Line Summary'!H27</f>
        <v>0.4687399451908888</v>
      </c>
      <c r="E254" s="41">
        <f>'Product Line Summary'!H35</f>
        <v>0.41413626609442061</v>
      </c>
      <c r="F254" s="27"/>
      <c r="G254" s="27"/>
      <c r="H254" s="27"/>
      <c r="I254" s="27"/>
      <c r="J254" s="27"/>
      <c r="K254" s="27"/>
      <c r="L254" s="27"/>
      <c r="M254" s="27"/>
      <c r="N254" s="27"/>
      <c r="O254" s="27"/>
      <c r="P254" s="27"/>
      <c r="Q254" s="27"/>
      <c r="R254" s="27"/>
      <c r="S254" s="27"/>
      <c r="T254" s="27"/>
    </row>
    <row r="255" spans="1:20" x14ac:dyDescent="0.25">
      <c r="A255" s="39" t="s">
        <v>806</v>
      </c>
      <c r="B255" s="41">
        <f>'Product Line Summary'!I11</f>
        <v>0.5498834674084655</v>
      </c>
      <c r="C255" s="41">
        <f>'Product Line Summary'!I19</f>
        <v>0.69442138940319365</v>
      </c>
      <c r="D255" s="41">
        <f>'Product Line Summary'!I27</f>
        <v>0.47740460320541855</v>
      </c>
      <c r="E255" s="41">
        <f>'Product Line Summary'!I35</f>
        <v>0.4215439585325349</v>
      </c>
      <c r="F255" s="27"/>
      <c r="G255" s="27"/>
      <c r="H255" s="27"/>
      <c r="I255" s="27"/>
      <c r="J255" s="27"/>
      <c r="K255" s="27"/>
      <c r="L255" s="27"/>
      <c r="M255" s="27"/>
      <c r="N255" s="27"/>
      <c r="O255" s="27"/>
      <c r="P255" s="27"/>
      <c r="Q255" s="27"/>
      <c r="R255" s="27"/>
      <c r="S255" s="27"/>
      <c r="T255" s="27"/>
    </row>
    <row r="256" spans="1:20" x14ac:dyDescent="0.25">
      <c r="A256" s="39" t="s">
        <v>807</v>
      </c>
      <c r="B256" s="41">
        <f>'Product Line Summary'!J11</f>
        <v>0.54873190574970798</v>
      </c>
      <c r="C256" s="41">
        <f>'Product Line Summary'!J19</f>
        <v>0.6955704056272477</v>
      </c>
      <c r="D256" s="41">
        <f>'Product Line Summary'!J27</f>
        <v>0.45275068600145935</v>
      </c>
      <c r="E256" s="41">
        <f>'Product Line Summary'!J35</f>
        <v>0.44579569145239761</v>
      </c>
      <c r="F256" s="27"/>
      <c r="G256" s="27"/>
      <c r="H256" s="27"/>
      <c r="I256" s="27"/>
      <c r="J256" s="27"/>
      <c r="K256" s="27"/>
      <c r="L256" s="27"/>
      <c r="M256" s="27"/>
      <c r="N256" s="27"/>
      <c r="O256" s="27"/>
      <c r="P256" s="27"/>
      <c r="Q256" s="27"/>
      <c r="R256" s="27"/>
      <c r="S256" s="27"/>
      <c r="T256" s="27"/>
    </row>
    <row r="257" spans="1:20" x14ac:dyDescent="0.25">
      <c r="A257" s="39" t="s">
        <v>808</v>
      </c>
      <c r="B257" s="41">
        <f>'Product Line Summary'!K11</f>
        <v>0.53609803508803355</v>
      </c>
      <c r="C257" s="41">
        <f>'Product Line Summary'!K19</f>
        <v>0.69992798323736527</v>
      </c>
      <c r="D257" s="41">
        <f>'Product Line Summary'!K27</f>
        <v>0.47088763784992677</v>
      </c>
      <c r="E257" s="41">
        <f>'Product Line Summary'!K35</f>
        <v>0.43315520610183855</v>
      </c>
      <c r="F257" s="27"/>
      <c r="G257" s="27"/>
      <c r="H257" s="27"/>
      <c r="I257" s="27"/>
      <c r="J257" s="27"/>
      <c r="K257" s="27"/>
      <c r="L257" s="27"/>
      <c r="M257" s="27"/>
      <c r="N257" s="27"/>
      <c r="O257" s="27"/>
      <c r="P257" s="27"/>
      <c r="Q257" s="27"/>
      <c r="R257" s="27"/>
      <c r="S257" s="27"/>
      <c r="T257" s="27"/>
    </row>
    <row r="258" spans="1:20" x14ac:dyDescent="0.25">
      <c r="A258" s="39" t="s">
        <v>809</v>
      </c>
      <c r="B258" s="41">
        <f>'Product Line Summary'!L11</f>
        <v>0.54472126484934402</v>
      </c>
      <c r="C258" s="41">
        <f>'Product Line Summary'!L19</f>
        <v>0.69483234265237059</v>
      </c>
      <c r="D258" s="41">
        <f>'Product Line Summary'!L27</f>
        <v>0.46254099529445314</v>
      </c>
      <c r="E258" s="41">
        <f>'Product Line Summary'!L35</f>
        <v>0.42735122958513239</v>
      </c>
      <c r="F258" s="27"/>
      <c r="G258" s="27"/>
      <c r="H258" s="27"/>
      <c r="I258" s="27"/>
      <c r="J258" s="27"/>
      <c r="K258" s="27"/>
      <c r="L258" s="27"/>
      <c r="M258" s="27"/>
      <c r="N258" s="27"/>
      <c r="O258" s="27"/>
      <c r="P258" s="27"/>
      <c r="Q258" s="27"/>
      <c r="R258" s="27"/>
      <c r="S258" s="27"/>
      <c r="T258" s="27"/>
    </row>
    <row r="259" spans="1:20" x14ac:dyDescent="0.25">
      <c r="A259" s="39" t="s">
        <v>810</v>
      </c>
      <c r="B259" s="41">
        <f>'Product Line Summary'!M11</f>
        <v>0.54461882239022752</v>
      </c>
      <c r="C259" s="41">
        <f>'Product Line Summary'!M19</f>
        <v>0.7016001934064322</v>
      </c>
      <c r="D259" s="41">
        <f>'Product Line Summary'!M27</f>
        <v>0.45980177261031169</v>
      </c>
      <c r="E259" s="41">
        <f>'Product Line Summary'!M35</f>
        <v>0.44915431682292994</v>
      </c>
      <c r="F259" s="27"/>
      <c r="G259" s="27"/>
      <c r="H259" s="27"/>
      <c r="I259" s="27"/>
      <c r="J259" s="27"/>
      <c r="K259" s="27"/>
      <c r="L259" s="27"/>
      <c r="M259" s="27"/>
      <c r="N259" s="27"/>
      <c r="O259" s="27"/>
      <c r="P259" s="27"/>
      <c r="Q259" s="27"/>
      <c r="R259" s="27"/>
      <c r="S259" s="27"/>
      <c r="T259" s="27"/>
    </row>
    <row r="260" spans="1:20" x14ac:dyDescent="0.25">
      <c r="A260" s="27"/>
      <c r="B260" s="27"/>
      <c r="C260" s="27"/>
      <c r="D260" s="27"/>
      <c r="E260" s="27"/>
      <c r="F260" s="27"/>
      <c r="G260" s="27"/>
      <c r="H260" s="27"/>
      <c r="I260" s="27"/>
      <c r="J260" s="27"/>
      <c r="K260" s="27"/>
      <c r="L260" s="27"/>
      <c r="M260" s="27"/>
      <c r="N260" s="27"/>
      <c r="O260" s="27"/>
      <c r="P260" s="27"/>
      <c r="Q260" s="27"/>
      <c r="R260" s="27"/>
      <c r="S260" s="27"/>
      <c r="T260" s="27"/>
    </row>
    <row r="261" spans="1:20" x14ac:dyDescent="0.25">
      <c r="A261" s="39" t="s">
        <v>3</v>
      </c>
      <c r="B261" s="39" t="s">
        <v>602</v>
      </c>
      <c r="C261" s="39" t="s">
        <v>742</v>
      </c>
      <c r="D261" s="39" t="s">
        <v>765</v>
      </c>
      <c r="E261" s="27"/>
      <c r="F261" s="27"/>
      <c r="G261" s="27"/>
      <c r="H261" s="27"/>
      <c r="I261" s="27"/>
      <c r="J261" s="27"/>
      <c r="K261" s="27"/>
      <c r="L261" s="27"/>
      <c r="M261" s="27"/>
      <c r="N261" s="27"/>
      <c r="O261" s="27"/>
      <c r="P261" s="27"/>
      <c r="Q261" s="27"/>
      <c r="R261" s="27"/>
      <c r="S261" s="27"/>
      <c r="T261" s="27"/>
    </row>
    <row r="262" spans="1:20" x14ac:dyDescent="0.25">
      <c r="A262" s="39" t="s">
        <v>25</v>
      </c>
      <c r="B262" s="40">
        <f>'Product Line Summary'!R8</f>
        <v>72059.360000000001</v>
      </c>
      <c r="C262" s="40">
        <f>'Product Line Summary'!R9</f>
        <v>20155.75</v>
      </c>
      <c r="D262" s="40">
        <f>'Product Line Summary'!R10</f>
        <v>39591.21</v>
      </c>
      <c r="E262" s="27"/>
      <c r="F262" s="27"/>
      <c r="G262" s="27"/>
      <c r="H262" s="27"/>
      <c r="I262" s="27"/>
      <c r="J262" s="27"/>
      <c r="K262" s="27"/>
      <c r="L262" s="27"/>
      <c r="M262" s="27"/>
      <c r="N262" s="27"/>
      <c r="O262" s="27"/>
      <c r="P262" s="27"/>
      <c r="Q262" s="27"/>
      <c r="R262" s="27"/>
      <c r="S262" s="27"/>
      <c r="T262" s="27"/>
    </row>
    <row r="263" spans="1:20" x14ac:dyDescent="0.25">
      <c r="A263" s="39" t="s">
        <v>36</v>
      </c>
      <c r="B263" s="40">
        <f>'Product Line Summary'!R16</f>
        <v>34483.47</v>
      </c>
      <c r="C263" s="40">
        <f>'Product Line Summary'!R17</f>
        <v>4553.4500000000007</v>
      </c>
      <c r="D263" s="40">
        <f>'Product Line Summary'!R18</f>
        <v>24030.149999999998</v>
      </c>
      <c r="E263" s="27"/>
      <c r="F263" s="27"/>
      <c r="G263" s="27"/>
      <c r="H263" s="27"/>
      <c r="I263" s="27"/>
      <c r="J263" s="27"/>
      <c r="K263" s="27"/>
      <c r="L263" s="27"/>
      <c r="M263" s="27"/>
      <c r="N263" s="27"/>
      <c r="O263" s="27"/>
      <c r="P263" s="27"/>
      <c r="Q263" s="27"/>
      <c r="R263" s="27"/>
      <c r="S263" s="27"/>
      <c r="T263" s="27"/>
    </row>
    <row r="264" spans="1:20" x14ac:dyDescent="0.25">
      <c r="A264" s="39" t="s">
        <v>16</v>
      </c>
      <c r="B264" s="40">
        <f>'Product Line Summary'!R24</f>
        <v>11290.61</v>
      </c>
      <c r="C264" s="40">
        <f>'Product Line Summary'!R25</f>
        <v>4150.91</v>
      </c>
      <c r="D264" s="40">
        <f>'Product Line Summary'!R26</f>
        <v>5233.8499999999995</v>
      </c>
      <c r="E264" s="27"/>
      <c r="F264" s="27"/>
      <c r="G264" s="27"/>
      <c r="H264" s="27"/>
      <c r="I264" s="27"/>
      <c r="J264" s="27"/>
      <c r="K264" s="27"/>
      <c r="L264" s="27"/>
      <c r="M264" s="27"/>
      <c r="N264" s="27"/>
      <c r="O264" s="27"/>
      <c r="P264" s="27"/>
      <c r="Q264" s="27"/>
      <c r="R264" s="27"/>
      <c r="S264" s="27"/>
      <c r="T264" s="27"/>
    </row>
    <row r="265" spans="1:20" x14ac:dyDescent="0.25">
      <c r="A265" s="39" t="s">
        <v>10</v>
      </c>
      <c r="B265" s="40">
        <f>'Product Line Summary'!R32</f>
        <v>4635.12</v>
      </c>
      <c r="C265" s="40">
        <f>'Product Line Summary'!R33</f>
        <v>1830.7299999999998</v>
      </c>
      <c r="D265" s="40">
        <f>'Product Line Summary'!R34</f>
        <v>2017.7700000000002</v>
      </c>
      <c r="E265" s="27"/>
      <c r="F265" s="27"/>
      <c r="G265" s="27"/>
      <c r="H265" s="27"/>
      <c r="I265" s="27"/>
      <c r="J265" s="27"/>
      <c r="K265" s="27"/>
      <c r="L265" s="27"/>
      <c r="M265" s="27"/>
      <c r="N265" s="27"/>
      <c r="O265" s="27"/>
      <c r="P265" s="27"/>
      <c r="Q265" s="27"/>
      <c r="R265" s="27"/>
      <c r="S265" s="27"/>
      <c r="T265" s="27"/>
    </row>
  </sheetData>
  <mergeCells count="6">
    <mergeCell ref="B92:P92"/>
    <mergeCell ref="B5:P5"/>
    <mergeCell ref="B1:P1"/>
    <mergeCell ref="B8:P8"/>
    <mergeCell ref="B50:P50"/>
    <mergeCell ref="B2:N2"/>
  </mergeCells>
  <dataValidations count="1">
    <dataValidation type="list" errorTitle="Invalid Product" error="Please select a valid product" promptTitle="Product Selector" prompt="Select a product to view its dashboard" sqref="C6" xr:uid="{00000000-0002-0000-0D00-000000000000}">
      <formula1>"iGO,Affirm,InsureSight,DocFast"</formula1>
    </dataValidation>
  </dataValidations>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tabColor rgb="FFFF0000"/>
  </sheetPr>
  <dimension ref="A1:I28"/>
  <sheetViews>
    <sheetView showGridLines="0" zoomScaleNormal="100" workbookViewId="0">
      <pane ySplit="4" topLeftCell="A5" activePane="bottomLeft" state="frozen"/>
      <selection activeCell="A3" sqref="A3:H3"/>
      <selection pane="bottomLeft" activeCell="A3" sqref="A3:H3"/>
    </sheetView>
  </sheetViews>
  <sheetFormatPr defaultColWidth="8.5703125" defaultRowHeight="15" x14ac:dyDescent="0.25"/>
  <cols>
    <col min="1" max="1" width="35" customWidth="1"/>
    <col min="2" max="2" width="20" style="76" customWidth="1"/>
    <col min="3" max="3" width="22" style="76" customWidth="1"/>
    <col min="4" max="4" width="16" customWidth="1"/>
    <col min="5" max="5" width="10" customWidth="1"/>
    <col min="6" max="6" width="48" customWidth="1"/>
    <col min="7" max="7" width="18" customWidth="1"/>
  </cols>
  <sheetData>
    <row r="1" spans="1:9" ht="23.25" customHeight="1" x14ac:dyDescent="0.25">
      <c r="A1" s="91" t="s">
        <v>817</v>
      </c>
      <c r="B1" s="92"/>
      <c r="C1" s="92"/>
      <c r="D1" s="92"/>
      <c r="E1" s="92"/>
      <c r="F1" s="92"/>
      <c r="G1" s="92"/>
      <c r="H1" s="92"/>
      <c r="I1" s="92"/>
    </row>
    <row r="2" spans="1:9" ht="15.75" customHeight="1" x14ac:dyDescent="0.25">
      <c r="A2" s="93" t="s">
        <v>818</v>
      </c>
      <c r="B2" s="92"/>
      <c r="C2" s="92"/>
      <c r="D2" s="92"/>
      <c r="E2" s="92"/>
      <c r="F2" s="92"/>
      <c r="G2" s="92"/>
      <c r="H2" s="92"/>
      <c r="I2" s="92"/>
    </row>
    <row r="3" spans="1:9" x14ac:dyDescent="0.25">
      <c r="A3" s="94" t="s">
        <v>819</v>
      </c>
      <c r="B3" s="92"/>
      <c r="C3" s="92"/>
      <c r="D3" s="92"/>
      <c r="E3" s="92"/>
      <c r="F3" s="92"/>
      <c r="G3" s="92"/>
      <c r="H3" s="92"/>
      <c r="I3" s="92"/>
    </row>
    <row r="4" spans="1:9" ht="20.100000000000001" customHeight="1" x14ac:dyDescent="0.25">
      <c r="A4" s="95" t="s">
        <v>820</v>
      </c>
      <c r="B4" s="95" t="s">
        <v>821</v>
      </c>
      <c r="C4" s="95" t="s">
        <v>822</v>
      </c>
      <c r="D4" s="95" t="s">
        <v>823</v>
      </c>
      <c r="E4" s="95" t="s">
        <v>617</v>
      </c>
      <c r="F4" s="95" t="s">
        <v>824</v>
      </c>
      <c r="G4" s="95" t="s">
        <v>825</v>
      </c>
      <c r="H4" s="92"/>
      <c r="I4" s="92"/>
    </row>
    <row r="5" spans="1:9" ht="20.100000000000001" customHeight="1" x14ac:dyDescent="0.25">
      <c r="A5" s="105" t="s">
        <v>826</v>
      </c>
      <c r="B5" s="96">
        <v>510</v>
      </c>
      <c r="C5" s="96">
        <v>510</v>
      </c>
      <c r="D5" s="96" t="s">
        <v>827</v>
      </c>
      <c r="E5" s="104" t="s">
        <v>828</v>
      </c>
      <c r="F5" s="97" t="s">
        <v>829</v>
      </c>
      <c r="G5" s="98" t="s">
        <v>830</v>
      </c>
      <c r="H5" s="92"/>
      <c r="I5" s="92"/>
    </row>
    <row r="6" spans="1:9" ht="20.100000000000001" customHeight="1" x14ac:dyDescent="0.25">
      <c r="A6" s="106" t="s">
        <v>831</v>
      </c>
      <c r="B6" s="99">
        <v>510</v>
      </c>
      <c r="C6" s="99">
        <v>510</v>
      </c>
      <c r="D6" s="99" t="s">
        <v>827</v>
      </c>
      <c r="E6" s="104" t="s">
        <v>828</v>
      </c>
      <c r="F6" s="100" t="s">
        <v>832</v>
      </c>
      <c r="G6" s="101" t="s">
        <v>830</v>
      </c>
      <c r="H6" s="92"/>
      <c r="I6" s="92"/>
    </row>
    <row r="7" spans="1:9" ht="20.100000000000001" customHeight="1" x14ac:dyDescent="0.25">
      <c r="A7" s="105" t="s">
        <v>833</v>
      </c>
      <c r="B7" s="96" t="s">
        <v>834</v>
      </c>
      <c r="C7" s="96" t="s">
        <v>835</v>
      </c>
      <c r="D7" s="96" t="s">
        <v>827</v>
      </c>
      <c r="E7" s="104" t="s">
        <v>828</v>
      </c>
      <c r="F7" s="97" t="s">
        <v>836</v>
      </c>
      <c r="G7" s="98" t="s">
        <v>830</v>
      </c>
      <c r="H7" s="92"/>
      <c r="I7" s="92"/>
    </row>
    <row r="8" spans="1:9" ht="20.100000000000001" customHeight="1" x14ac:dyDescent="0.25">
      <c r="A8" s="107" t="s">
        <v>837</v>
      </c>
      <c r="B8" s="102">
        <v>3754507</v>
      </c>
      <c r="C8" s="102">
        <v>122468600</v>
      </c>
      <c r="D8" s="102">
        <v>118714093</v>
      </c>
      <c r="E8" s="107" t="s">
        <v>838</v>
      </c>
      <c r="F8" s="100" t="s">
        <v>839</v>
      </c>
      <c r="G8" s="101" t="s">
        <v>830</v>
      </c>
      <c r="H8" s="92"/>
      <c r="I8" s="92"/>
    </row>
    <row r="9" spans="1:9" ht="20.100000000000001" customHeight="1" x14ac:dyDescent="0.25">
      <c r="A9" s="105" t="s">
        <v>840</v>
      </c>
      <c r="B9" s="103">
        <v>3754507</v>
      </c>
      <c r="C9" s="103">
        <v>3754507</v>
      </c>
      <c r="D9" s="96" t="s">
        <v>827</v>
      </c>
      <c r="E9" s="104" t="s">
        <v>828</v>
      </c>
      <c r="F9" s="97" t="s">
        <v>841</v>
      </c>
      <c r="G9" s="98" t="s">
        <v>830</v>
      </c>
      <c r="H9" s="92"/>
      <c r="I9" s="92"/>
    </row>
    <row r="10" spans="1:9" ht="20.100000000000001" customHeight="1" x14ac:dyDescent="0.25">
      <c r="A10" s="106" t="s">
        <v>842</v>
      </c>
      <c r="B10" s="99" t="s">
        <v>843</v>
      </c>
      <c r="C10" s="99" t="s">
        <v>843</v>
      </c>
      <c r="D10" s="99" t="s">
        <v>827</v>
      </c>
      <c r="E10" s="104" t="s">
        <v>828</v>
      </c>
      <c r="F10" s="100" t="s">
        <v>844</v>
      </c>
      <c r="G10" s="101" t="s">
        <v>830</v>
      </c>
      <c r="H10" s="92"/>
      <c r="I10" s="92"/>
    </row>
    <row r="11" spans="1:9" ht="20.100000000000001" customHeight="1" x14ac:dyDescent="0.25">
      <c r="A11" s="107" t="s">
        <v>845</v>
      </c>
      <c r="B11" s="99">
        <v>0</v>
      </c>
      <c r="C11" s="99">
        <v>12</v>
      </c>
      <c r="D11" s="102">
        <v>12</v>
      </c>
      <c r="E11" s="107" t="s">
        <v>838</v>
      </c>
      <c r="F11" s="100" t="s">
        <v>846</v>
      </c>
      <c r="G11" s="101" t="s">
        <v>830</v>
      </c>
      <c r="H11" s="92"/>
      <c r="I11" s="92"/>
    </row>
    <row r="12" spans="1:9" ht="20.100000000000001" customHeight="1" x14ac:dyDescent="0.25">
      <c r="A12" s="106" t="s">
        <v>847</v>
      </c>
      <c r="B12" s="99">
        <v>14</v>
      </c>
      <c r="C12" s="99">
        <v>14</v>
      </c>
      <c r="D12" s="99" t="s">
        <v>827</v>
      </c>
      <c r="E12" s="104" t="s">
        <v>828</v>
      </c>
      <c r="F12" s="100" t="s">
        <v>848</v>
      </c>
      <c r="G12" s="101" t="s">
        <v>830</v>
      </c>
      <c r="H12" s="92"/>
      <c r="I12" s="92"/>
    </row>
    <row r="13" spans="1:9" ht="20.100000000000001" customHeight="1" x14ac:dyDescent="0.25">
      <c r="A13" s="105" t="s">
        <v>849</v>
      </c>
      <c r="B13" s="96">
        <v>4</v>
      </c>
      <c r="C13" s="96">
        <v>4</v>
      </c>
      <c r="D13" s="96" t="s">
        <v>827</v>
      </c>
      <c r="E13" s="104" t="s">
        <v>828</v>
      </c>
      <c r="F13" s="97" t="s">
        <v>850</v>
      </c>
      <c r="G13" s="98" t="s">
        <v>830</v>
      </c>
      <c r="H13" s="92"/>
      <c r="I13" s="92"/>
    </row>
    <row r="14" spans="1:9" ht="20.100000000000001" customHeight="1" x14ac:dyDescent="0.25">
      <c r="A14" s="106" t="s">
        <v>851</v>
      </c>
      <c r="B14" s="99">
        <v>3</v>
      </c>
      <c r="C14" s="99">
        <v>3</v>
      </c>
      <c r="D14" s="99" t="s">
        <v>827</v>
      </c>
      <c r="E14" s="104" t="s">
        <v>828</v>
      </c>
      <c r="F14" s="100" t="s">
        <v>852</v>
      </c>
      <c r="G14" s="101" t="s">
        <v>830</v>
      </c>
      <c r="H14" s="92"/>
      <c r="I14" s="92"/>
    </row>
    <row r="15" spans="1:9" ht="20.100000000000001" customHeight="1" x14ac:dyDescent="0.25">
      <c r="A15" s="105" t="s">
        <v>853</v>
      </c>
      <c r="B15" s="96" t="s">
        <v>854</v>
      </c>
      <c r="C15" s="96" t="s">
        <v>854</v>
      </c>
      <c r="D15" s="96" t="s">
        <v>827</v>
      </c>
      <c r="E15" s="104" t="s">
        <v>828</v>
      </c>
      <c r="F15" s="97" t="s">
        <v>855</v>
      </c>
      <c r="G15" s="98" t="s">
        <v>830</v>
      </c>
      <c r="H15" s="92"/>
      <c r="I15" s="92"/>
    </row>
    <row r="16" spans="1:9" ht="20.100000000000001" customHeight="1" x14ac:dyDescent="0.25">
      <c r="A16" s="106" t="s">
        <v>856</v>
      </c>
      <c r="B16" s="99" t="s">
        <v>857</v>
      </c>
      <c r="C16" s="102">
        <v>30080600</v>
      </c>
      <c r="D16" s="99" t="s">
        <v>827</v>
      </c>
      <c r="E16" s="104" t="s">
        <v>828</v>
      </c>
      <c r="F16" s="100" t="s">
        <v>858</v>
      </c>
      <c r="G16" s="101" t="s">
        <v>830</v>
      </c>
      <c r="H16" s="92"/>
      <c r="I16" s="92"/>
    </row>
    <row r="17" spans="1:9" ht="20.100000000000001" customHeight="1" x14ac:dyDescent="0.25">
      <c r="A17" s="105" t="s">
        <v>859</v>
      </c>
      <c r="B17" s="96" t="s">
        <v>860</v>
      </c>
      <c r="C17" s="96" t="s">
        <v>861</v>
      </c>
      <c r="D17" s="96" t="s">
        <v>827</v>
      </c>
      <c r="E17" s="104" t="s">
        <v>828</v>
      </c>
      <c r="F17" s="97" t="s">
        <v>862</v>
      </c>
      <c r="G17" s="98" t="s">
        <v>830</v>
      </c>
      <c r="H17" s="92"/>
      <c r="I17" s="92"/>
    </row>
    <row r="18" spans="1:9" ht="20.100000000000001" customHeight="1" x14ac:dyDescent="0.25">
      <c r="A18" s="106" t="s">
        <v>863</v>
      </c>
      <c r="B18" s="99" t="s">
        <v>864</v>
      </c>
      <c r="C18" s="99" t="s">
        <v>865</v>
      </c>
      <c r="D18" s="99" t="s">
        <v>827</v>
      </c>
      <c r="E18" s="104" t="s">
        <v>828</v>
      </c>
      <c r="F18" s="100" t="s">
        <v>866</v>
      </c>
      <c r="G18" s="101" t="s">
        <v>830</v>
      </c>
      <c r="H18" s="92"/>
      <c r="I18" s="92"/>
    </row>
    <row r="19" spans="1:9" ht="20.100000000000001" customHeight="1" x14ac:dyDescent="0.25">
      <c r="A19" s="107" t="s">
        <v>867</v>
      </c>
      <c r="B19" s="102">
        <v>207179</v>
      </c>
      <c r="C19" s="99">
        <v>986</v>
      </c>
      <c r="D19" s="102">
        <v>206193</v>
      </c>
      <c r="E19" s="107" t="s">
        <v>838</v>
      </c>
      <c r="F19" s="100" t="s">
        <v>868</v>
      </c>
      <c r="G19" s="101" t="s">
        <v>830</v>
      </c>
      <c r="H19" s="92"/>
      <c r="I19" s="92"/>
    </row>
    <row r="20" spans="1:9" x14ac:dyDescent="0.25">
      <c r="A20" s="92"/>
      <c r="B20" s="92"/>
      <c r="C20" s="92"/>
      <c r="D20" s="92"/>
      <c r="E20" s="92"/>
      <c r="F20" s="92"/>
      <c r="G20" s="92"/>
      <c r="H20" s="92"/>
      <c r="I20" s="92"/>
    </row>
    <row r="21" spans="1:9" x14ac:dyDescent="0.25">
      <c r="A21" s="92"/>
      <c r="B21" s="92"/>
      <c r="C21" s="92"/>
      <c r="D21" s="92"/>
      <c r="E21" s="92"/>
      <c r="F21" s="92"/>
      <c r="G21" s="92"/>
      <c r="H21" s="92"/>
      <c r="I21" s="92"/>
    </row>
    <row r="28" spans="1:9" x14ac:dyDescent="0.25">
      <c r="A28" t="s">
        <v>933</v>
      </c>
    </row>
  </sheetData>
  <conditionalFormatting sqref="A5:E13">
    <cfRule type="expression" dxfId="3" priority="4">
      <formula>$E5="PASS"</formula>
    </cfRule>
    <cfRule type="expression" dxfId="2" priority="4">
      <formula>$E5="FAIL"</formula>
    </cfRule>
  </conditionalFormatting>
  <conditionalFormatting sqref="E5:E14">
    <cfRule type="cellIs" dxfId="1" priority="2" operator="equal">
      <formula>"PASS"</formula>
    </cfRule>
    <cfRule type="cellIs" dxfId="0" priority="3" operator="equal">
      <formula>"FAIL"</formula>
    </cfRule>
  </conditionalFormatting>
  <pageMargins left="0.75" right="0.75" top="1" bottom="1" header="0.511811023622047" footer="0.511811023622047"/>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F11"/>
  <sheetViews>
    <sheetView workbookViewId="0">
      <pane ySplit="1" topLeftCell="A2" activePane="bottomLeft" state="frozen"/>
      <selection pane="bottomLeft"/>
    </sheetView>
  </sheetViews>
  <sheetFormatPr defaultRowHeight="15" x14ac:dyDescent="0.25"/>
  <cols>
    <col min="1" max="1" width="18.28515625" style="56" bestFit="1" customWidth="1"/>
    <col min="2" max="2" width="12.7109375" bestFit="1" customWidth="1"/>
    <col min="3" max="3" width="23.5703125" bestFit="1" customWidth="1"/>
    <col min="4" max="4" width="25.28515625" bestFit="1" customWidth="1"/>
    <col min="5" max="5" width="50.85546875" bestFit="1" customWidth="1"/>
    <col min="6" max="6" width="8.7109375" bestFit="1" customWidth="1"/>
  </cols>
  <sheetData>
    <row r="1" spans="1:6" s="54" customFormat="1" x14ac:dyDescent="0.25">
      <c r="A1" s="55" t="s">
        <v>825</v>
      </c>
      <c r="B1" s="54" t="s">
        <v>869</v>
      </c>
      <c r="C1" s="54" t="s">
        <v>870</v>
      </c>
      <c r="D1" s="54" t="s">
        <v>871</v>
      </c>
      <c r="E1" s="54" t="s">
        <v>872</v>
      </c>
      <c r="F1" s="54" t="s">
        <v>617</v>
      </c>
    </row>
    <row r="2" spans="1:6" x14ac:dyDescent="0.25">
      <c r="A2" s="56">
        <v>46112.728275462963</v>
      </c>
      <c r="B2" t="s">
        <v>925</v>
      </c>
      <c r="C2" t="s">
        <v>926</v>
      </c>
      <c r="D2" t="s">
        <v>927</v>
      </c>
      <c r="E2" t="s">
        <v>928</v>
      </c>
      <c r="F2" s="150" t="s">
        <v>929</v>
      </c>
    </row>
    <row r="3" spans="1:6" x14ac:dyDescent="0.25">
      <c r="A3" s="56">
        <v>46112.728761574072</v>
      </c>
      <c r="B3" t="s">
        <v>925</v>
      </c>
      <c r="C3" t="s">
        <v>930</v>
      </c>
      <c r="D3" t="s">
        <v>931</v>
      </c>
      <c r="E3" t="s">
        <v>932</v>
      </c>
      <c r="F3" s="150" t="s">
        <v>929</v>
      </c>
    </row>
    <row r="4" spans="1:6" x14ac:dyDescent="0.25">
      <c r="A4" s="56">
        <v>46112.729189814818</v>
      </c>
      <c r="B4" t="s">
        <v>925</v>
      </c>
      <c r="C4" t="s">
        <v>946</v>
      </c>
      <c r="D4" t="s">
        <v>947</v>
      </c>
      <c r="E4" t="s">
        <v>948</v>
      </c>
      <c r="F4" s="150" t="s">
        <v>929</v>
      </c>
    </row>
    <row r="5" spans="1:6" x14ac:dyDescent="0.25">
      <c r="A5" s="56">
        <v>46112.729710648149</v>
      </c>
      <c r="B5" t="s">
        <v>925</v>
      </c>
      <c r="C5" t="s">
        <v>946</v>
      </c>
      <c r="D5" t="s">
        <v>960</v>
      </c>
      <c r="E5" t="s">
        <v>961</v>
      </c>
      <c r="F5" s="150" t="s">
        <v>929</v>
      </c>
    </row>
    <row r="6" spans="1:6" x14ac:dyDescent="0.25">
      <c r="A6" s="56">
        <v>46112.730185185188</v>
      </c>
      <c r="B6" t="s">
        <v>925</v>
      </c>
      <c r="C6" t="s">
        <v>946</v>
      </c>
      <c r="D6" t="s">
        <v>969</v>
      </c>
      <c r="E6" t="s">
        <v>970</v>
      </c>
      <c r="F6" s="150" t="s">
        <v>929</v>
      </c>
    </row>
    <row r="7" spans="1:6" x14ac:dyDescent="0.25">
      <c r="A7" s="56">
        <v>46112.730740740742</v>
      </c>
      <c r="B7" t="s">
        <v>925</v>
      </c>
      <c r="C7" t="s">
        <v>971</v>
      </c>
      <c r="D7" t="s">
        <v>972</v>
      </c>
      <c r="E7" t="s">
        <v>973</v>
      </c>
      <c r="F7" s="150" t="s">
        <v>929</v>
      </c>
    </row>
    <row r="8" spans="1:6" x14ac:dyDescent="0.25">
      <c r="A8" s="56">
        <v>46112.730983796297</v>
      </c>
      <c r="B8" t="s">
        <v>925</v>
      </c>
      <c r="C8" t="s">
        <v>988</v>
      </c>
      <c r="D8" t="s">
        <v>989</v>
      </c>
      <c r="E8" t="s">
        <v>990</v>
      </c>
      <c r="F8" s="150" t="s">
        <v>929</v>
      </c>
    </row>
    <row r="9" spans="1:6" x14ac:dyDescent="0.25">
      <c r="A9" s="56">
        <v>46112.731782407405</v>
      </c>
      <c r="B9" t="s">
        <v>925</v>
      </c>
      <c r="C9" t="s">
        <v>1006</v>
      </c>
      <c r="D9" t="s">
        <v>1007</v>
      </c>
      <c r="E9" t="s">
        <v>1008</v>
      </c>
      <c r="F9" s="150" t="s">
        <v>929</v>
      </c>
    </row>
    <row r="10" spans="1:6" x14ac:dyDescent="0.25">
      <c r="A10" s="56">
        <v>46112.732164351852</v>
      </c>
      <c r="B10" t="s">
        <v>925</v>
      </c>
      <c r="C10" t="s">
        <v>1009</v>
      </c>
      <c r="D10" t="s">
        <v>1010</v>
      </c>
      <c r="E10" t="s">
        <v>1011</v>
      </c>
      <c r="F10" s="150" t="s">
        <v>929</v>
      </c>
    </row>
    <row r="11" spans="1:6" x14ac:dyDescent="0.25">
      <c r="A11" s="56">
        <v>46112.732256944444</v>
      </c>
      <c r="B11" t="s">
        <v>925</v>
      </c>
      <c r="C11" t="s">
        <v>1009</v>
      </c>
      <c r="D11" t="s">
        <v>1010</v>
      </c>
      <c r="E11" t="s">
        <v>1012</v>
      </c>
      <c r="F11" s="150" t="s">
        <v>929</v>
      </c>
    </row>
  </sheetData>
  <autoFilter ref="A1:F1"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72CDB-9D5D-4EF4-B136-38FEE2C1CC18}">
  <sheetPr codeName="Sheet24">
    <tabColor rgb="FFFFA500"/>
  </sheetPr>
  <dimension ref="A1:F24"/>
  <sheetViews>
    <sheetView workbookViewId="0">
      <selection activeCell="A2" sqref="A2"/>
    </sheetView>
  </sheetViews>
  <sheetFormatPr defaultRowHeight="15" x14ac:dyDescent="0.25"/>
  <cols>
    <col min="1" max="1" width="76.42578125" bestFit="1" customWidth="1"/>
    <col min="2" max="2" width="8.28515625" bestFit="1" customWidth="1"/>
    <col min="3" max="3" width="38.5703125" bestFit="1" customWidth="1"/>
    <col min="4" max="4" width="32.5703125" bestFit="1" customWidth="1"/>
    <col min="5" max="5" width="8.42578125" bestFit="1" customWidth="1"/>
    <col min="6" max="6" width="12.28515625" bestFit="1" customWidth="1"/>
  </cols>
  <sheetData>
    <row r="1" spans="1:6" ht="36" x14ac:dyDescent="0.55000000000000004">
      <c r="A1" s="139" t="s">
        <v>873</v>
      </c>
      <c r="B1" s="140" t="s">
        <v>874</v>
      </c>
      <c r="C1" s="141" t="s">
        <v>875</v>
      </c>
    </row>
    <row r="2" spans="1:6" ht="18.75" x14ac:dyDescent="0.3">
      <c r="A2" s="142" t="s">
        <v>876</v>
      </c>
    </row>
    <row r="3" spans="1:6" x14ac:dyDescent="0.25">
      <c r="A3" s="141" t="s">
        <v>877</v>
      </c>
    </row>
    <row r="5" spans="1:6" x14ac:dyDescent="0.25">
      <c r="A5" s="144" t="s">
        <v>878</v>
      </c>
      <c r="B5" s="144" t="s">
        <v>879</v>
      </c>
      <c r="C5" s="144" t="s">
        <v>880</v>
      </c>
      <c r="D5" s="144" t="s">
        <v>881</v>
      </c>
      <c r="E5" s="144" t="s">
        <v>882</v>
      </c>
      <c r="F5" s="144" t="s">
        <v>883</v>
      </c>
    </row>
    <row r="6" spans="1:6" x14ac:dyDescent="0.25">
      <c r="A6" t="s">
        <v>884</v>
      </c>
      <c r="B6" t="s">
        <v>885</v>
      </c>
      <c r="C6" t="s">
        <v>886</v>
      </c>
      <c r="D6" t="s">
        <v>887</v>
      </c>
      <c r="E6" s="146" t="s">
        <v>888</v>
      </c>
      <c r="F6" t="s">
        <v>854</v>
      </c>
    </row>
    <row r="7" spans="1:6" x14ac:dyDescent="0.25">
      <c r="A7" t="s">
        <v>884</v>
      </c>
      <c r="B7" t="s">
        <v>889</v>
      </c>
      <c r="C7" t="s">
        <v>886</v>
      </c>
      <c r="D7" t="s">
        <v>890</v>
      </c>
      <c r="E7" s="146" t="s">
        <v>888</v>
      </c>
      <c r="F7" t="s">
        <v>854</v>
      </c>
    </row>
    <row r="8" spans="1:6" x14ac:dyDescent="0.25">
      <c r="A8" t="s">
        <v>884</v>
      </c>
      <c r="B8" t="s">
        <v>891</v>
      </c>
      <c r="C8" t="s">
        <v>886</v>
      </c>
      <c r="D8" t="s">
        <v>892</v>
      </c>
      <c r="E8" s="146" t="s">
        <v>888</v>
      </c>
      <c r="F8" t="s">
        <v>854</v>
      </c>
    </row>
    <row r="9" spans="1:6" x14ac:dyDescent="0.25">
      <c r="A9" t="s">
        <v>884</v>
      </c>
      <c r="B9" t="s">
        <v>893</v>
      </c>
      <c r="C9" t="s">
        <v>886</v>
      </c>
      <c r="D9" t="s">
        <v>894</v>
      </c>
      <c r="E9" s="146" t="s">
        <v>888</v>
      </c>
      <c r="F9" t="s">
        <v>854</v>
      </c>
    </row>
    <row r="10" spans="1:6" x14ac:dyDescent="0.25">
      <c r="A10" t="s">
        <v>884</v>
      </c>
      <c r="B10" t="s">
        <v>895</v>
      </c>
      <c r="C10" t="s">
        <v>886</v>
      </c>
      <c r="D10" t="s">
        <v>896</v>
      </c>
      <c r="E10" s="146" t="s">
        <v>888</v>
      </c>
      <c r="F10" t="s">
        <v>854</v>
      </c>
    </row>
    <row r="11" spans="1:6" x14ac:dyDescent="0.25">
      <c r="A11" t="s">
        <v>884</v>
      </c>
      <c r="B11" t="s">
        <v>897</v>
      </c>
      <c r="C11" t="s">
        <v>886</v>
      </c>
      <c r="D11" t="s">
        <v>898</v>
      </c>
      <c r="E11" s="146" t="s">
        <v>888</v>
      </c>
      <c r="F11" t="s">
        <v>854</v>
      </c>
    </row>
    <row r="12" spans="1:6" x14ac:dyDescent="0.25">
      <c r="A12" t="s">
        <v>884</v>
      </c>
      <c r="B12" t="s">
        <v>899</v>
      </c>
      <c r="C12" t="s">
        <v>886</v>
      </c>
      <c r="D12" t="s">
        <v>900</v>
      </c>
      <c r="E12" s="146" t="s">
        <v>888</v>
      </c>
      <c r="F12" t="s">
        <v>854</v>
      </c>
    </row>
    <row r="13" spans="1:6" x14ac:dyDescent="0.25">
      <c r="A13" t="s">
        <v>884</v>
      </c>
      <c r="B13" t="s">
        <v>901</v>
      </c>
      <c r="C13" t="s">
        <v>886</v>
      </c>
      <c r="D13" t="s">
        <v>902</v>
      </c>
      <c r="E13" s="146" t="s">
        <v>888</v>
      </c>
      <c r="F13" t="s">
        <v>854</v>
      </c>
    </row>
    <row r="14" spans="1:6" x14ac:dyDescent="0.25">
      <c r="A14" t="s">
        <v>884</v>
      </c>
      <c r="B14" t="s">
        <v>903</v>
      </c>
      <c r="C14" t="s">
        <v>886</v>
      </c>
      <c r="D14" t="s">
        <v>904</v>
      </c>
      <c r="E14" s="146" t="s">
        <v>888</v>
      </c>
      <c r="F14" t="s">
        <v>854</v>
      </c>
    </row>
    <row r="15" spans="1:6" x14ac:dyDescent="0.25">
      <c r="A15" t="s">
        <v>884</v>
      </c>
      <c r="B15" t="s">
        <v>905</v>
      </c>
      <c r="C15" t="s">
        <v>886</v>
      </c>
      <c r="D15" t="s">
        <v>906</v>
      </c>
      <c r="E15" s="146" t="s">
        <v>888</v>
      </c>
      <c r="F15" t="s">
        <v>854</v>
      </c>
    </row>
    <row r="16" spans="1:6" x14ac:dyDescent="0.25">
      <c r="A16" t="s">
        <v>884</v>
      </c>
      <c r="B16" t="s">
        <v>907</v>
      </c>
      <c r="C16" t="s">
        <v>908</v>
      </c>
      <c r="D16" s="147">
        <v>45851</v>
      </c>
      <c r="E16" s="148" t="s">
        <v>909</v>
      </c>
      <c r="F16" t="s">
        <v>854</v>
      </c>
    </row>
    <row r="17" spans="1:6" x14ac:dyDescent="0.25">
      <c r="A17" t="s">
        <v>884</v>
      </c>
      <c r="B17" t="s">
        <v>910</v>
      </c>
      <c r="C17" t="s">
        <v>911</v>
      </c>
      <c r="D17" s="147">
        <v>45892</v>
      </c>
      <c r="E17" s="148" t="s">
        <v>909</v>
      </c>
      <c r="F17" t="s">
        <v>854</v>
      </c>
    </row>
    <row r="18" spans="1:6" x14ac:dyDescent="0.25">
      <c r="A18" t="s">
        <v>884</v>
      </c>
      <c r="B18" t="s">
        <v>912</v>
      </c>
      <c r="C18" t="s">
        <v>913</v>
      </c>
      <c r="D18" s="147">
        <v>46005</v>
      </c>
      <c r="E18" s="146" t="s">
        <v>888</v>
      </c>
      <c r="F18" t="s">
        <v>854</v>
      </c>
    </row>
    <row r="19" spans="1:6" x14ac:dyDescent="0.25">
      <c r="A19" t="s">
        <v>884</v>
      </c>
      <c r="B19" t="s">
        <v>914</v>
      </c>
      <c r="C19" t="s">
        <v>915</v>
      </c>
      <c r="D19">
        <v>4350.07</v>
      </c>
      <c r="E19" s="149" t="s">
        <v>916</v>
      </c>
      <c r="F19" t="s">
        <v>854</v>
      </c>
    </row>
    <row r="20" spans="1:6" x14ac:dyDescent="0.25">
      <c r="A20" t="s">
        <v>884</v>
      </c>
      <c r="B20" t="s">
        <v>917</v>
      </c>
      <c r="C20" t="s">
        <v>915</v>
      </c>
      <c r="D20">
        <v>1200.22</v>
      </c>
      <c r="E20" s="149" t="s">
        <v>916</v>
      </c>
      <c r="F20" t="s">
        <v>854</v>
      </c>
    </row>
    <row r="21" spans="1:6" x14ac:dyDescent="0.25">
      <c r="A21" t="s">
        <v>884</v>
      </c>
      <c r="B21" t="s">
        <v>918</v>
      </c>
      <c r="C21" t="s">
        <v>915</v>
      </c>
      <c r="D21">
        <v>5897.46</v>
      </c>
      <c r="E21" s="149" t="s">
        <v>916</v>
      </c>
      <c r="F21" t="s">
        <v>854</v>
      </c>
    </row>
    <row r="22" spans="1:6" x14ac:dyDescent="0.25">
      <c r="A22" t="s">
        <v>884</v>
      </c>
      <c r="B22" t="s">
        <v>919</v>
      </c>
      <c r="C22" t="s">
        <v>915</v>
      </c>
      <c r="D22">
        <v>7294.9</v>
      </c>
      <c r="E22" s="149" t="s">
        <v>916</v>
      </c>
      <c r="F22" t="s">
        <v>854</v>
      </c>
    </row>
    <row r="23" spans="1:6" x14ac:dyDescent="0.25">
      <c r="A23" t="s">
        <v>884</v>
      </c>
      <c r="B23" t="s">
        <v>920</v>
      </c>
      <c r="C23" t="s">
        <v>915</v>
      </c>
      <c r="D23">
        <v>13821.38</v>
      </c>
      <c r="E23" s="149" t="s">
        <v>916</v>
      </c>
      <c r="F23" t="s">
        <v>854</v>
      </c>
    </row>
    <row r="24" spans="1:6" x14ac:dyDescent="0.25">
      <c r="A24" t="s">
        <v>921</v>
      </c>
      <c r="B24" t="s">
        <v>922</v>
      </c>
      <c r="C24" t="s">
        <v>923</v>
      </c>
      <c r="D24" t="s">
        <v>924</v>
      </c>
      <c r="E24" s="146" t="s">
        <v>888</v>
      </c>
      <c r="F24" t="s">
        <v>854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7FA42-7F58-4AE3-AC7D-B53B44EBAB0C}">
  <sheetPr codeName="Sheet25">
    <tabColor rgb="FF0070C0"/>
  </sheetPr>
  <dimension ref="A1:G34"/>
  <sheetViews>
    <sheetView workbookViewId="0">
      <selection activeCell="A2" sqref="A2"/>
    </sheetView>
  </sheetViews>
  <sheetFormatPr defaultRowHeight="15" x14ac:dyDescent="0.25"/>
  <cols>
    <col min="1" max="1" width="74.85546875" bestFit="1" customWidth="1"/>
    <col min="2" max="2" width="14.7109375" bestFit="1" customWidth="1"/>
    <col min="3" max="3" width="17.28515625" bestFit="1" customWidth="1"/>
    <col min="4" max="4" width="11.5703125" bestFit="1" customWidth="1"/>
    <col min="5" max="5" width="12.140625" bestFit="1" customWidth="1"/>
    <col min="6" max="6" width="11.85546875" bestFit="1" customWidth="1"/>
    <col min="7" max="7" width="5.5703125" bestFit="1" customWidth="1"/>
  </cols>
  <sheetData>
    <row r="1" spans="1:7" ht="18.75" x14ac:dyDescent="0.3">
      <c r="A1" s="142" t="s">
        <v>934</v>
      </c>
    </row>
    <row r="2" spans="1:7" x14ac:dyDescent="0.25">
      <c r="A2" s="141" t="s">
        <v>935</v>
      </c>
    </row>
    <row r="3" spans="1:7" x14ac:dyDescent="0.25">
      <c r="A3" t="s">
        <v>936</v>
      </c>
    </row>
    <row r="5" spans="1:7" x14ac:dyDescent="0.25">
      <c r="A5" s="144" t="s">
        <v>734</v>
      </c>
      <c r="B5" s="144" t="s">
        <v>937</v>
      </c>
      <c r="C5" s="144" t="s">
        <v>938</v>
      </c>
      <c r="D5" s="144" t="s">
        <v>939</v>
      </c>
      <c r="E5" s="144" t="s">
        <v>940</v>
      </c>
      <c r="F5" s="144" t="s">
        <v>617</v>
      </c>
      <c r="G5" s="144" t="s">
        <v>941</v>
      </c>
    </row>
    <row r="6" spans="1:7" x14ac:dyDescent="0.25">
      <c r="A6" s="153" t="s">
        <v>602</v>
      </c>
      <c r="B6" s="154">
        <v>0</v>
      </c>
      <c r="C6" s="154">
        <v>0</v>
      </c>
      <c r="D6" s="154">
        <v>0</v>
      </c>
      <c r="E6" s="155">
        <v>0</v>
      </c>
      <c r="F6" s="153" t="s">
        <v>942</v>
      </c>
      <c r="G6" s="153"/>
    </row>
    <row r="7" spans="1:7" x14ac:dyDescent="0.25">
      <c r="A7" t="s">
        <v>619</v>
      </c>
      <c r="B7" s="151">
        <v>6729.77</v>
      </c>
      <c r="C7" s="151">
        <v>6872.87</v>
      </c>
      <c r="D7" s="151">
        <v>143.09999999999945</v>
      </c>
      <c r="E7" s="152">
        <v>2.1263728180903572E-2</v>
      </c>
      <c r="F7" s="156" t="s">
        <v>943</v>
      </c>
    </row>
    <row r="8" spans="1:7" x14ac:dyDescent="0.25">
      <c r="A8" s="153" t="s">
        <v>760</v>
      </c>
      <c r="B8" s="154">
        <v>1656.19</v>
      </c>
      <c r="C8" s="154">
        <v>1476.35</v>
      </c>
      <c r="D8" s="154">
        <v>-179.84000000000015</v>
      </c>
      <c r="E8" s="155">
        <v>-0.10858657521178135</v>
      </c>
      <c r="F8" s="157" t="s">
        <v>944</v>
      </c>
      <c r="G8" s="153"/>
    </row>
    <row r="9" spans="1:7" x14ac:dyDescent="0.25">
      <c r="A9" s="145" t="s">
        <v>625</v>
      </c>
      <c r="B9" s="158">
        <v>487.1</v>
      </c>
      <c r="C9" s="158">
        <v>706.97</v>
      </c>
      <c r="D9" s="158">
        <v>219.87</v>
      </c>
      <c r="E9" s="159">
        <v>0.45138575241223566</v>
      </c>
      <c r="F9" s="162" t="s">
        <v>943</v>
      </c>
      <c r="G9" s="161" t="s">
        <v>945</v>
      </c>
    </row>
    <row r="10" spans="1:7" x14ac:dyDescent="0.25">
      <c r="A10" s="153" t="s">
        <v>602</v>
      </c>
      <c r="B10" s="154">
        <v>8873.06</v>
      </c>
      <c r="C10" s="154">
        <v>9056.19</v>
      </c>
      <c r="D10" s="154">
        <v>183.13000000000102</v>
      </c>
      <c r="E10" s="155">
        <v>2.0638877681431324E-2</v>
      </c>
      <c r="F10" s="163" t="s">
        <v>943</v>
      </c>
      <c r="G10" s="153"/>
    </row>
    <row r="11" spans="1:7" x14ac:dyDescent="0.25">
      <c r="A11" t="s">
        <v>742</v>
      </c>
      <c r="B11" s="151">
        <v>0</v>
      </c>
      <c r="C11" s="151">
        <v>0</v>
      </c>
      <c r="D11" s="151">
        <v>0</v>
      </c>
      <c r="E11" s="152">
        <v>0</v>
      </c>
      <c r="F11" t="s">
        <v>942</v>
      </c>
    </row>
    <row r="12" spans="1:7" x14ac:dyDescent="0.25">
      <c r="A12" s="153" t="s">
        <v>21</v>
      </c>
      <c r="B12" s="154">
        <v>986.07999999999993</v>
      </c>
      <c r="C12" s="154">
        <v>1000.56</v>
      </c>
      <c r="D12" s="154">
        <v>14.480000000000018</v>
      </c>
      <c r="E12" s="155">
        <v>1.4684406944669824E-2</v>
      </c>
      <c r="F12" s="163" t="s">
        <v>943</v>
      </c>
      <c r="G12" s="153"/>
    </row>
    <row r="13" spans="1:7" x14ac:dyDescent="0.25">
      <c r="A13" t="s">
        <v>56</v>
      </c>
      <c r="B13" s="151">
        <v>232.58</v>
      </c>
      <c r="C13" s="151">
        <v>247.89</v>
      </c>
      <c r="D13" s="151">
        <v>15.309999999999974</v>
      </c>
      <c r="E13" s="152">
        <v>6.5826812279645597E-2</v>
      </c>
      <c r="F13" s="156" t="s">
        <v>943</v>
      </c>
    </row>
    <row r="14" spans="1:7" x14ac:dyDescent="0.25">
      <c r="A14" s="153" t="s">
        <v>54</v>
      </c>
      <c r="B14" s="154">
        <v>347.21</v>
      </c>
      <c r="C14" s="154">
        <v>380.08</v>
      </c>
      <c r="D14" s="154">
        <v>32.870000000000005</v>
      </c>
      <c r="E14" s="155">
        <v>9.4668932346418613E-2</v>
      </c>
      <c r="F14" s="163" t="s">
        <v>943</v>
      </c>
      <c r="G14" s="153"/>
    </row>
    <row r="15" spans="1:7" x14ac:dyDescent="0.25">
      <c r="A15" t="s">
        <v>15</v>
      </c>
      <c r="B15" s="151">
        <v>201.31</v>
      </c>
      <c r="C15" s="151">
        <v>206.52999999999997</v>
      </c>
      <c r="D15" s="151">
        <v>5.2199999999999704</v>
      </c>
      <c r="E15" s="152">
        <v>2.5930157468580649E-2</v>
      </c>
      <c r="F15" s="156" t="s">
        <v>943</v>
      </c>
    </row>
    <row r="16" spans="1:7" x14ac:dyDescent="0.25">
      <c r="A16" s="153" t="s">
        <v>40</v>
      </c>
      <c r="B16" s="154">
        <v>32.17</v>
      </c>
      <c r="C16" s="154">
        <v>33.159999999999997</v>
      </c>
      <c r="D16" s="154">
        <v>0.98999999999999488</v>
      </c>
      <c r="E16" s="155">
        <v>3.0774013055641741E-2</v>
      </c>
      <c r="F16" s="163" t="s">
        <v>943</v>
      </c>
      <c r="G16" s="153"/>
    </row>
    <row r="17" spans="1:7" x14ac:dyDescent="0.25">
      <c r="A17" t="s">
        <v>761</v>
      </c>
      <c r="B17" s="151">
        <v>1799.3499999999997</v>
      </c>
      <c r="C17" s="151">
        <v>1868.2200000000003</v>
      </c>
      <c r="D17" s="151">
        <v>68.870000000000573</v>
      </c>
      <c r="E17" s="152">
        <v>3.8274932614555585E-2</v>
      </c>
      <c r="F17" s="164" t="s">
        <v>944</v>
      </c>
    </row>
    <row r="18" spans="1:7" x14ac:dyDescent="0.25">
      <c r="A18" s="145" t="s">
        <v>762</v>
      </c>
      <c r="B18" s="158">
        <v>272.14</v>
      </c>
      <c r="C18" s="158">
        <v>372.09</v>
      </c>
      <c r="D18" s="158">
        <v>99.949999999999989</v>
      </c>
      <c r="E18" s="159">
        <v>0.36727419710443154</v>
      </c>
      <c r="F18" s="160" t="s">
        <v>944</v>
      </c>
      <c r="G18" s="161" t="s">
        <v>945</v>
      </c>
    </row>
    <row r="19" spans="1:7" x14ac:dyDescent="0.25">
      <c r="A19" t="s">
        <v>742</v>
      </c>
      <c r="B19" s="151">
        <v>2071.4899999999993</v>
      </c>
      <c r="C19" s="151">
        <v>2240.31</v>
      </c>
      <c r="D19" s="151">
        <v>168.82000000000062</v>
      </c>
      <c r="E19" s="152">
        <v>8.1496893540398782E-2</v>
      </c>
      <c r="F19" s="164" t="s">
        <v>944</v>
      </c>
    </row>
    <row r="20" spans="1:7" x14ac:dyDescent="0.25">
      <c r="A20" s="153" t="s">
        <v>763</v>
      </c>
      <c r="B20" s="154">
        <v>4930.42</v>
      </c>
      <c r="C20" s="154">
        <v>5004.6499999999996</v>
      </c>
      <c r="D20" s="154">
        <v>74.229999999999563</v>
      </c>
      <c r="E20" s="155">
        <v>1.5055512512118554E-2</v>
      </c>
      <c r="F20" s="163" t="s">
        <v>943</v>
      </c>
      <c r="G20" s="153"/>
    </row>
    <row r="21" spans="1:7" x14ac:dyDescent="0.25">
      <c r="A21" s="145" t="s">
        <v>764</v>
      </c>
      <c r="B21" s="158">
        <v>214.96</v>
      </c>
      <c r="C21" s="158">
        <v>334.87999999999994</v>
      </c>
      <c r="D21" s="158">
        <v>119.91999999999993</v>
      </c>
      <c r="E21" s="159">
        <v>0.55787123185708931</v>
      </c>
      <c r="F21" s="162" t="s">
        <v>943</v>
      </c>
      <c r="G21" s="161" t="s">
        <v>945</v>
      </c>
    </row>
    <row r="22" spans="1:7" x14ac:dyDescent="0.25">
      <c r="A22" s="153" t="s">
        <v>765</v>
      </c>
      <c r="B22" s="154">
        <v>5145.38</v>
      </c>
      <c r="C22" s="154">
        <v>5339.5300000000007</v>
      </c>
      <c r="D22" s="154">
        <v>194.15000000000055</v>
      </c>
      <c r="E22" s="155">
        <v>3.7732878815558916E-2</v>
      </c>
      <c r="F22" s="163" t="s">
        <v>943</v>
      </c>
      <c r="G22" s="153"/>
    </row>
    <row r="23" spans="1:7" x14ac:dyDescent="0.25">
      <c r="A23" t="s">
        <v>766</v>
      </c>
      <c r="B23" s="151">
        <v>88.74</v>
      </c>
      <c r="C23" s="151">
        <v>90.55</v>
      </c>
      <c r="D23" s="151">
        <v>1.8100000000000023</v>
      </c>
      <c r="E23" s="152">
        <v>2.0396664412891619E-2</v>
      </c>
      <c r="F23" s="156" t="s">
        <v>943</v>
      </c>
    </row>
    <row r="24" spans="1:7" x14ac:dyDescent="0.25">
      <c r="A24" s="153" t="s">
        <v>767</v>
      </c>
      <c r="B24" s="154">
        <v>5056.6400000000012</v>
      </c>
      <c r="C24" s="154">
        <v>5248.98</v>
      </c>
      <c r="D24" s="154">
        <v>192.33999999999833</v>
      </c>
      <c r="E24" s="155">
        <v>3.8037115554992701E-2</v>
      </c>
      <c r="F24" s="163" t="s">
        <v>943</v>
      </c>
      <c r="G24" s="153"/>
    </row>
    <row r="25" spans="1:7" x14ac:dyDescent="0.25">
      <c r="A25" t="s">
        <v>768</v>
      </c>
      <c r="B25" s="151">
        <v>0.73262830676234103</v>
      </c>
      <c r="C25" s="151">
        <v>0.72817469266841939</v>
      </c>
      <c r="D25" s="151">
        <v>-4.4536140939216429E-3</v>
      </c>
      <c r="E25" s="152">
        <v>-6.0789544340747962E-3</v>
      </c>
      <c r="F25" s="164" t="s">
        <v>944</v>
      </c>
    </row>
    <row r="26" spans="1:7" x14ac:dyDescent="0.25">
      <c r="A26" s="153" t="s">
        <v>769</v>
      </c>
      <c r="B26" s="154">
        <v>0.44130568671730652</v>
      </c>
      <c r="C26" s="154">
        <v>0.47368346605938005</v>
      </c>
      <c r="D26" s="154">
        <v>3.2377779342073532E-2</v>
      </c>
      <c r="E26" s="155">
        <v>7.3368144387439604E-2</v>
      </c>
      <c r="F26" s="163" t="s">
        <v>943</v>
      </c>
      <c r="G26" s="153"/>
    </row>
    <row r="27" spans="1:7" x14ac:dyDescent="0.25">
      <c r="A27" t="s">
        <v>770</v>
      </c>
      <c r="B27" s="151">
        <v>0.57988788535184033</v>
      </c>
      <c r="C27" s="151">
        <v>0.5896000415185636</v>
      </c>
      <c r="D27" s="151">
        <v>9.7121561667232736E-3</v>
      </c>
      <c r="E27" s="152">
        <v>1.67483343109169E-2</v>
      </c>
      <c r="F27" s="156" t="s">
        <v>943</v>
      </c>
    </row>
    <row r="28" spans="1:7" x14ac:dyDescent="0.25">
      <c r="A28" s="153" t="s">
        <v>9</v>
      </c>
      <c r="B28" s="154">
        <v>0</v>
      </c>
      <c r="C28" s="154">
        <v>0</v>
      </c>
      <c r="D28" s="154">
        <v>0</v>
      </c>
      <c r="E28" s="155">
        <v>0</v>
      </c>
      <c r="F28" s="153" t="s">
        <v>942</v>
      </c>
      <c r="G28" s="153"/>
    </row>
    <row r="29" spans="1:7" x14ac:dyDescent="0.25">
      <c r="A29" t="s">
        <v>771</v>
      </c>
      <c r="B29" s="151">
        <v>674.32</v>
      </c>
      <c r="C29" s="151">
        <v>647.82999999999993</v>
      </c>
      <c r="D29" s="151">
        <v>-26.490000000000123</v>
      </c>
      <c r="E29" s="152">
        <v>-3.9284019456637974E-2</v>
      </c>
      <c r="F29" s="164" t="s">
        <v>944</v>
      </c>
    </row>
    <row r="30" spans="1:7" x14ac:dyDescent="0.25">
      <c r="A30" s="153" t="s">
        <v>757</v>
      </c>
      <c r="B30" s="154">
        <v>470.33000000000004</v>
      </c>
      <c r="C30" s="154">
        <v>444.02000000000004</v>
      </c>
      <c r="D30" s="154">
        <v>-26.310000000000002</v>
      </c>
      <c r="E30" s="155">
        <v>-5.5939446771415817E-2</v>
      </c>
      <c r="F30" s="157" t="s">
        <v>944</v>
      </c>
      <c r="G30" s="153"/>
    </row>
    <row r="31" spans="1:7" x14ac:dyDescent="0.25">
      <c r="A31" t="s">
        <v>772</v>
      </c>
      <c r="B31" s="151">
        <v>-203.99</v>
      </c>
      <c r="C31" s="151">
        <v>-203.81000000000003</v>
      </c>
      <c r="D31" s="151">
        <v>0.1799999999999784</v>
      </c>
      <c r="E31" s="152">
        <v>8.8239619589184953E-4</v>
      </c>
      <c r="F31" s="156" t="s">
        <v>943</v>
      </c>
    </row>
    <row r="32" spans="1:7" x14ac:dyDescent="0.25">
      <c r="A32" s="153" t="s">
        <v>43</v>
      </c>
      <c r="B32" s="154">
        <v>261.23</v>
      </c>
      <c r="C32" s="154">
        <v>252.31</v>
      </c>
      <c r="D32" s="154">
        <v>-8.9200000000000159</v>
      </c>
      <c r="E32" s="155">
        <v>-3.4146154729548732E-2</v>
      </c>
      <c r="F32" s="157" t="s">
        <v>944</v>
      </c>
      <c r="G32" s="153"/>
    </row>
    <row r="33" spans="1:7" x14ac:dyDescent="0.25">
      <c r="A33" t="s">
        <v>745</v>
      </c>
      <c r="B33" s="151">
        <v>4209.8300000000008</v>
      </c>
      <c r="C33" s="151">
        <v>4439.3899999999994</v>
      </c>
      <c r="D33" s="151">
        <v>229.55999999999858</v>
      </c>
      <c r="E33" s="152">
        <v>5.4529517819008971E-2</v>
      </c>
      <c r="F33" s="156" t="s">
        <v>943</v>
      </c>
    </row>
    <row r="34" spans="1:7" x14ac:dyDescent="0.25">
      <c r="A34" s="153" t="s">
        <v>746</v>
      </c>
      <c r="B34" s="154">
        <v>0.47445075317872315</v>
      </c>
      <c r="C34" s="154">
        <v>0.49020504207619309</v>
      </c>
      <c r="D34" s="154">
        <v>1.5754288897469937E-2</v>
      </c>
      <c r="E34" s="155">
        <v>3.3205319607818973E-2</v>
      </c>
      <c r="F34" s="163" t="s">
        <v>943</v>
      </c>
      <c r="G34" s="15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191F9-7CBD-42DC-8232-EC367ECB3EA2}">
  <sheetPr codeName="Sheet26">
    <tabColor rgb="FF0070C0"/>
  </sheetPr>
  <dimension ref="A1:G9"/>
  <sheetViews>
    <sheetView workbookViewId="0">
      <selection activeCell="B7" sqref="B7"/>
    </sheetView>
  </sheetViews>
  <sheetFormatPr defaultRowHeight="15" x14ac:dyDescent="0.25"/>
  <cols>
    <col min="1" max="1" width="4.7109375" customWidth="1"/>
    <col min="2" max="2" width="30.7109375" customWidth="1"/>
    <col min="3" max="5" width="14.7109375" customWidth="1"/>
    <col min="6" max="6" width="12.7109375" customWidth="1"/>
    <col min="7" max="7" width="70.7109375" customWidth="1"/>
  </cols>
  <sheetData>
    <row r="1" spans="1:7" ht="18.75" x14ac:dyDescent="0.3">
      <c r="A1" s="165" t="s">
        <v>949</v>
      </c>
    </row>
    <row r="3" spans="1:7" x14ac:dyDescent="0.25">
      <c r="A3" s="143" t="s">
        <v>954</v>
      </c>
    </row>
    <row r="4" spans="1:7" x14ac:dyDescent="0.25">
      <c r="A4" s="167" t="s">
        <v>950</v>
      </c>
      <c r="B4" s="167" t="s">
        <v>734</v>
      </c>
      <c r="C4" s="167" t="s">
        <v>951</v>
      </c>
      <c r="D4" s="167" t="s">
        <v>952</v>
      </c>
      <c r="E4" s="167" t="s">
        <v>939</v>
      </c>
      <c r="F4" s="167" t="s">
        <v>940</v>
      </c>
      <c r="G4" s="167" t="s">
        <v>953</v>
      </c>
    </row>
    <row r="5" spans="1:7" ht="60" customHeight="1" x14ac:dyDescent="0.25">
      <c r="A5" s="168">
        <v>1</v>
      </c>
      <c r="B5" s="169" t="s">
        <v>745</v>
      </c>
      <c r="C5" s="170">
        <v>66501681</v>
      </c>
      <c r="D5" s="170">
        <v>0</v>
      </c>
      <c r="E5" s="171">
        <v>66501681</v>
      </c>
      <c r="F5" s="172">
        <v>0</v>
      </c>
      <c r="G5" s="173" t="s">
        <v>955</v>
      </c>
    </row>
    <row r="6" spans="1:7" ht="60" customHeight="1" x14ac:dyDescent="0.25">
      <c r="A6" s="168">
        <v>2</v>
      </c>
      <c r="B6" s="169" t="s">
        <v>745</v>
      </c>
      <c r="C6" s="170">
        <v>37552284</v>
      </c>
      <c r="D6" s="170">
        <v>0</v>
      </c>
      <c r="E6" s="171">
        <v>37552284</v>
      </c>
      <c r="F6" s="172">
        <v>0</v>
      </c>
      <c r="G6" s="173" t="s">
        <v>956</v>
      </c>
    </row>
    <row r="7" spans="1:7" ht="60" customHeight="1" x14ac:dyDescent="0.25">
      <c r="A7" s="168">
        <v>3</v>
      </c>
      <c r="B7" s="169" t="s">
        <v>745</v>
      </c>
      <c r="C7" s="170">
        <v>18480276</v>
      </c>
      <c r="D7" s="170">
        <v>0</v>
      </c>
      <c r="E7" s="171">
        <v>18480276</v>
      </c>
      <c r="F7" s="172">
        <v>0</v>
      </c>
      <c r="G7" s="173" t="s">
        <v>957</v>
      </c>
    </row>
    <row r="8" spans="1:7" ht="60" customHeight="1" x14ac:dyDescent="0.25">
      <c r="A8" s="168">
        <v>4</v>
      </c>
      <c r="B8" s="169" t="s">
        <v>602</v>
      </c>
      <c r="C8" s="170">
        <v>123690000</v>
      </c>
      <c r="D8" s="170">
        <v>110501776</v>
      </c>
      <c r="E8" s="171">
        <v>13188224</v>
      </c>
      <c r="F8" s="172">
        <v>0.11934852522189326</v>
      </c>
      <c r="G8" s="173" t="s">
        <v>958</v>
      </c>
    </row>
    <row r="9" spans="1:7" ht="60" customHeight="1" x14ac:dyDescent="0.25">
      <c r="A9" s="168">
        <v>5</v>
      </c>
      <c r="B9" s="169" t="s">
        <v>602</v>
      </c>
      <c r="C9" s="170">
        <v>68029500</v>
      </c>
      <c r="D9" s="170">
        <v>60445105</v>
      </c>
      <c r="E9" s="171">
        <v>7584395</v>
      </c>
      <c r="F9" s="172">
        <v>0.12547575192399782</v>
      </c>
      <c r="G9" s="173" t="s">
        <v>959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504DF-2207-4E23-AD9A-CD5430D163CD}">
  <sheetPr codeName="Sheet27">
    <tabColor rgb="FF005096"/>
  </sheetPr>
  <dimension ref="A1:G40"/>
  <sheetViews>
    <sheetView workbookViewId="0"/>
  </sheetViews>
  <sheetFormatPr defaultRowHeight="15" x14ac:dyDescent="0.25"/>
  <cols>
    <col min="1" max="1" width="42.28515625" bestFit="1" customWidth="1"/>
    <col min="2" max="2" width="16.85546875" bestFit="1" customWidth="1"/>
    <col min="3" max="3" width="12.7109375" bestFit="1" customWidth="1"/>
    <col min="4" max="4" width="14.42578125" bestFit="1" customWidth="1"/>
    <col min="5" max="5" width="15" bestFit="1" customWidth="1"/>
    <col min="6" max="6" width="11.85546875" bestFit="1" customWidth="1"/>
    <col min="7" max="7" width="4.5703125" bestFit="1" customWidth="1"/>
  </cols>
  <sheetData>
    <row r="1" spans="1:7" ht="18.75" x14ac:dyDescent="0.3">
      <c r="A1" s="165" t="s">
        <v>962</v>
      </c>
    </row>
    <row r="2" spans="1:7" x14ac:dyDescent="0.25">
      <c r="A2" s="141" t="s">
        <v>963</v>
      </c>
    </row>
    <row r="3" spans="1:7" x14ac:dyDescent="0.25">
      <c r="A3" t="s">
        <v>964</v>
      </c>
    </row>
    <row r="5" spans="1:7" x14ac:dyDescent="0.25">
      <c r="A5" s="144" t="s">
        <v>734</v>
      </c>
      <c r="B5" s="144" t="s">
        <v>965</v>
      </c>
      <c r="C5" s="144" t="s">
        <v>966</v>
      </c>
      <c r="D5" s="144" t="s">
        <v>967</v>
      </c>
      <c r="E5" s="144" t="s">
        <v>968</v>
      </c>
      <c r="F5" s="144" t="s">
        <v>617</v>
      </c>
      <c r="G5" s="144" t="s">
        <v>941</v>
      </c>
    </row>
    <row r="6" spans="1:7" x14ac:dyDescent="0.25">
      <c r="A6" s="153" t="s">
        <v>602</v>
      </c>
      <c r="B6" s="174">
        <v>110501776</v>
      </c>
      <c r="C6" s="174">
        <v>123690000</v>
      </c>
      <c r="D6" s="174">
        <v>13188224</v>
      </c>
      <c r="E6" s="155">
        <v>0.11934852522189326</v>
      </c>
      <c r="F6" s="163" t="s">
        <v>943</v>
      </c>
      <c r="G6" s="153"/>
    </row>
    <row r="7" spans="1:7" x14ac:dyDescent="0.25">
      <c r="A7" t="s">
        <v>742</v>
      </c>
      <c r="B7" s="166">
        <v>50352126</v>
      </c>
      <c r="C7" s="166">
        <v>51405564</v>
      </c>
      <c r="D7" s="166">
        <v>1053438</v>
      </c>
      <c r="E7" s="152">
        <v>2.0921420477856289E-2</v>
      </c>
      <c r="F7" s="164" t="s">
        <v>944</v>
      </c>
    </row>
    <row r="8" spans="1:7" x14ac:dyDescent="0.25">
      <c r="A8" s="153" t="s">
        <v>743</v>
      </c>
      <c r="B8" s="174">
        <v>67130813</v>
      </c>
      <c r="C8" s="174">
        <v>72284436</v>
      </c>
      <c r="D8" s="174">
        <v>5153623</v>
      </c>
      <c r="E8" s="155">
        <v>7.6769858276556247E-2</v>
      </c>
      <c r="F8" s="163" t="s">
        <v>943</v>
      </c>
      <c r="G8" s="153"/>
    </row>
    <row r="9" spans="1:7" x14ac:dyDescent="0.25">
      <c r="A9" t="s">
        <v>744</v>
      </c>
      <c r="B9" s="166">
        <v>0</v>
      </c>
      <c r="C9" s="166">
        <v>0.58440000000000003</v>
      </c>
      <c r="D9" s="166">
        <v>0.58440000000000003</v>
      </c>
      <c r="E9" s="152">
        <v>0</v>
      </c>
      <c r="F9" s="156" t="s">
        <v>943</v>
      </c>
    </row>
    <row r="10" spans="1:7" x14ac:dyDescent="0.25">
      <c r="A10" s="153" t="s">
        <v>745</v>
      </c>
      <c r="B10" s="174">
        <v>0</v>
      </c>
      <c r="C10" s="174">
        <v>66501681</v>
      </c>
      <c r="D10" s="174">
        <v>66501681</v>
      </c>
      <c r="E10" s="155">
        <v>0</v>
      </c>
      <c r="F10" s="163" t="s">
        <v>943</v>
      </c>
      <c r="G10" s="153"/>
    </row>
    <row r="11" spans="1:7" x14ac:dyDescent="0.25">
      <c r="A11" t="s">
        <v>746</v>
      </c>
      <c r="B11" s="166">
        <v>0</v>
      </c>
      <c r="C11" s="166">
        <v>0.53764799902983262</v>
      </c>
      <c r="D11" s="166">
        <v>0.53764799902983262</v>
      </c>
      <c r="E11" s="152">
        <v>0</v>
      </c>
      <c r="F11" s="156" t="s">
        <v>943</v>
      </c>
    </row>
    <row r="12" spans="1:7" x14ac:dyDescent="0.25">
      <c r="A12" s="153" t="s">
        <v>602</v>
      </c>
      <c r="B12" s="174">
        <v>60445105</v>
      </c>
      <c r="C12" s="174">
        <v>68029500</v>
      </c>
      <c r="D12" s="174">
        <v>7584395</v>
      </c>
      <c r="E12" s="155">
        <v>0.12547575192399782</v>
      </c>
      <c r="F12" s="163" t="s">
        <v>943</v>
      </c>
      <c r="G12" s="153"/>
    </row>
    <row r="13" spans="1:7" x14ac:dyDescent="0.25">
      <c r="A13" t="s">
        <v>742</v>
      </c>
      <c r="B13" s="166">
        <v>27107074</v>
      </c>
      <c r="C13" s="166">
        <v>27211800</v>
      </c>
      <c r="D13" s="166">
        <v>104726</v>
      </c>
      <c r="E13" s="152">
        <v>3.8634195634689307E-3</v>
      </c>
      <c r="F13" s="164" t="s">
        <v>944</v>
      </c>
    </row>
    <row r="14" spans="1:7" x14ac:dyDescent="0.25">
      <c r="A14" s="153" t="s">
        <v>743</v>
      </c>
      <c r="B14" s="174">
        <v>37749723</v>
      </c>
      <c r="C14" s="174">
        <v>40817700</v>
      </c>
      <c r="D14" s="174">
        <v>3067977</v>
      </c>
      <c r="E14" s="155">
        <v>8.1271510257174606E-2</v>
      </c>
      <c r="F14" s="163" t="s">
        <v>943</v>
      </c>
      <c r="G14" s="153"/>
    </row>
    <row r="15" spans="1:7" x14ac:dyDescent="0.25">
      <c r="A15" t="s">
        <v>744</v>
      </c>
      <c r="B15" s="166">
        <v>0</v>
      </c>
      <c r="C15" s="166">
        <v>0.6</v>
      </c>
      <c r="D15" s="166">
        <v>0.6</v>
      </c>
      <c r="E15" s="152">
        <v>0</v>
      </c>
      <c r="F15" s="156" t="s">
        <v>943</v>
      </c>
    </row>
    <row r="16" spans="1:7" x14ac:dyDescent="0.25">
      <c r="A16" s="153" t="s">
        <v>745</v>
      </c>
      <c r="B16" s="174">
        <v>0</v>
      </c>
      <c r="C16" s="174">
        <v>37552284</v>
      </c>
      <c r="D16" s="174">
        <v>37552284</v>
      </c>
      <c r="E16" s="155">
        <v>0</v>
      </c>
      <c r="F16" s="163" t="s">
        <v>943</v>
      </c>
      <c r="G16" s="153"/>
    </row>
    <row r="17" spans="1:7" x14ac:dyDescent="0.25">
      <c r="A17" t="s">
        <v>746</v>
      </c>
      <c r="B17" s="166">
        <v>0</v>
      </c>
      <c r="C17" s="166">
        <v>0.6</v>
      </c>
      <c r="D17" s="166">
        <v>0.6</v>
      </c>
      <c r="E17" s="152">
        <v>0</v>
      </c>
      <c r="F17" s="156" t="s">
        <v>943</v>
      </c>
    </row>
    <row r="18" spans="1:7" x14ac:dyDescent="0.25">
      <c r="A18" s="153" t="s">
        <v>602</v>
      </c>
      <c r="B18" s="174">
        <v>33349998</v>
      </c>
      <c r="C18" s="174">
        <v>34633200</v>
      </c>
      <c r="D18" s="174">
        <v>1283202</v>
      </c>
      <c r="E18" s="155">
        <v>3.84768238966611E-2</v>
      </c>
      <c r="F18" s="163" t="s">
        <v>943</v>
      </c>
      <c r="G18" s="153"/>
    </row>
    <row r="19" spans="1:7" x14ac:dyDescent="0.25">
      <c r="A19" t="s">
        <v>742</v>
      </c>
      <c r="B19" s="166">
        <v>13006427</v>
      </c>
      <c r="C19" s="166">
        <v>14545944</v>
      </c>
      <c r="D19" s="166">
        <v>1539517</v>
      </c>
      <c r="E19" s="152">
        <v>0.11836586635207348</v>
      </c>
      <c r="F19" s="164" t="s">
        <v>944</v>
      </c>
    </row>
    <row r="20" spans="1:7" x14ac:dyDescent="0.25">
      <c r="A20" s="153" t="s">
        <v>743</v>
      </c>
      <c r="B20" s="174">
        <v>17977266</v>
      </c>
      <c r="C20" s="174">
        <v>20087256</v>
      </c>
      <c r="D20" s="174">
        <v>2109990</v>
      </c>
      <c r="E20" s="155">
        <v>0.11736990485650042</v>
      </c>
      <c r="F20" s="163" t="s">
        <v>943</v>
      </c>
      <c r="G20" s="153"/>
    </row>
    <row r="21" spans="1:7" x14ac:dyDescent="0.25">
      <c r="A21" t="s">
        <v>744</v>
      </c>
      <c r="B21" s="166">
        <v>0</v>
      </c>
      <c r="C21" s="166">
        <v>0.57999999999999996</v>
      </c>
      <c r="D21" s="166">
        <v>0.57999999999999996</v>
      </c>
      <c r="E21" s="152">
        <v>0</v>
      </c>
      <c r="F21" s="156" t="s">
        <v>943</v>
      </c>
    </row>
    <row r="22" spans="1:7" x14ac:dyDescent="0.25">
      <c r="A22" s="153" t="s">
        <v>745</v>
      </c>
      <c r="B22" s="174">
        <v>0</v>
      </c>
      <c r="C22" s="174">
        <v>18480276</v>
      </c>
      <c r="D22" s="174">
        <v>18480276</v>
      </c>
      <c r="E22" s="155">
        <v>0</v>
      </c>
      <c r="F22" s="163" t="s">
        <v>943</v>
      </c>
      <c r="G22" s="153"/>
    </row>
    <row r="23" spans="1:7" x14ac:dyDescent="0.25">
      <c r="A23" t="s">
        <v>746</v>
      </c>
      <c r="B23" s="166">
        <v>0</v>
      </c>
      <c r="C23" s="166">
        <v>0.57999999999999996</v>
      </c>
      <c r="D23" s="166">
        <v>0.57999999999999996</v>
      </c>
      <c r="E23" s="152">
        <v>0</v>
      </c>
      <c r="F23" s="156" t="s">
        <v>943</v>
      </c>
    </row>
    <row r="24" spans="1:7" x14ac:dyDescent="0.25">
      <c r="A24" s="153" t="s">
        <v>602</v>
      </c>
      <c r="B24" s="174">
        <v>13892313</v>
      </c>
      <c r="C24" s="174">
        <v>14842800</v>
      </c>
      <c r="D24" s="174">
        <v>950487</v>
      </c>
      <c r="E24" s="155">
        <v>6.8418196451519628E-2</v>
      </c>
      <c r="F24" s="163" t="s">
        <v>943</v>
      </c>
      <c r="G24" s="153"/>
    </row>
    <row r="25" spans="1:7" x14ac:dyDescent="0.25">
      <c r="A25" t="s">
        <v>742</v>
      </c>
      <c r="B25" s="166">
        <v>7026219</v>
      </c>
      <c r="C25" s="166">
        <v>6679260</v>
      </c>
      <c r="D25" s="166">
        <v>-346959</v>
      </c>
      <c r="E25" s="152">
        <v>-4.9380612816082164E-2</v>
      </c>
      <c r="F25" s="156" t="s">
        <v>943</v>
      </c>
    </row>
    <row r="26" spans="1:7" x14ac:dyDescent="0.25">
      <c r="A26" s="153" t="s">
        <v>743</v>
      </c>
      <c r="B26" s="174">
        <v>7920014</v>
      </c>
      <c r="C26" s="174">
        <v>8163540</v>
      </c>
      <c r="D26" s="174">
        <v>243526</v>
      </c>
      <c r="E26" s="155">
        <v>3.0748177970392476E-2</v>
      </c>
      <c r="F26" s="163" t="s">
        <v>943</v>
      </c>
      <c r="G26" s="153"/>
    </row>
    <row r="27" spans="1:7" x14ac:dyDescent="0.25">
      <c r="A27" t="s">
        <v>744</v>
      </c>
      <c r="B27" s="166">
        <v>0</v>
      </c>
      <c r="C27" s="166">
        <v>0.55000000000000004</v>
      </c>
      <c r="D27" s="166">
        <v>0.55000000000000004</v>
      </c>
      <c r="E27" s="152">
        <v>0</v>
      </c>
      <c r="F27" s="156" t="s">
        <v>943</v>
      </c>
    </row>
    <row r="28" spans="1:7" x14ac:dyDescent="0.25">
      <c r="A28" s="153" t="s">
        <v>745</v>
      </c>
      <c r="B28" s="174">
        <v>0</v>
      </c>
      <c r="C28" s="174">
        <v>7510457</v>
      </c>
      <c r="D28" s="174">
        <v>7510457</v>
      </c>
      <c r="E28" s="155">
        <v>0</v>
      </c>
      <c r="F28" s="163" t="s">
        <v>943</v>
      </c>
      <c r="G28" s="153"/>
    </row>
    <row r="29" spans="1:7" x14ac:dyDescent="0.25">
      <c r="A29" t="s">
        <v>746</v>
      </c>
      <c r="B29" s="166">
        <v>0</v>
      </c>
      <c r="C29" s="166">
        <v>0.55000000000000004</v>
      </c>
      <c r="D29" s="166">
        <v>0.55000000000000004</v>
      </c>
      <c r="E29" s="152">
        <v>0</v>
      </c>
      <c r="F29" s="156" t="s">
        <v>943</v>
      </c>
    </row>
    <row r="30" spans="1:7" x14ac:dyDescent="0.25">
      <c r="A30" s="153" t="s">
        <v>602</v>
      </c>
      <c r="B30" s="174">
        <v>6068158</v>
      </c>
      <c r="C30" s="174">
        <v>6184500</v>
      </c>
      <c r="D30" s="174">
        <v>116342</v>
      </c>
      <c r="E30" s="155">
        <v>1.9172539673489055E-2</v>
      </c>
      <c r="F30" s="163" t="s">
        <v>943</v>
      </c>
      <c r="G30" s="153"/>
    </row>
    <row r="31" spans="1:7" x14ac:dyDescent="0.25">
      <c r="A31" t="s">
        <v>742</v>
      </c>
      <c r="B31" s="166">
        <v>2698255</v>
      </c>
      <c r="C31" s="166">
        <v>2968560</v>
      </c>
      <c r="D31" s="166">
        <v>270305</v>
      </c>
      <c r="E31" s="152">
        <v>0.10017770744425564</v>
      </c>
      <c r="F31" s="164" t="s">
        <v>944</v>
      </c>
    </row>
    <row r="32" spans="1:7" x14ac:dyDescent="0.25">
      <c r="A32" s="153" t="s">
        <v>743</v>
      </c>
      <c r="B32" s="174">
        <v>3149149</v>
      </c>
      <c r="C32" s="174">
        <v>3215940</v>
      </c>
      <c r="D32" s="174">
        <v>66791</v>
      </c>
      <c r="E32" s="155">
        <v>2.1209221919953614E-2</v>
      </c>
      <c r="F32" s="163" t="s">
        <v>943</v>
      </c>
      <c r="G32" s="153"/>
    </row>
    <row r="33" spans="1:7" x14ac:dyDescent="0.25">
      <c r="A33" t="s">
        <v>744</v>
      </c>
      <c r="B33" s="166">
        <v>0</v>
      </c>
      <c r="C33" s="166">
        <v>0.52</v>
      </c>
      <c r="D33" s="166">
        <v>0.52</v>
      </c>
      <c r="E33" s="152">
        <v>0</v>
      </c>
      <c r="F33" s="156" t="s">
        <v>943</v>
      </c>
    </row>
    <row r="34" spans="1:7" x14ac:dyDescent="0.25">
      <c r="A34" s="153" t="s">
        <v>745</v>
      </c>
      <c r="B34" s="174">
        <v>0</v>
      </c>
      <c r="C34" s="174">
        <v>2958665</v>
      </c>
      <c r="D34" s="174">
        <v>2958665</v>
      </c>
      <c r="E34" s="155">
        <v>0</v>
      </c>
      <c r="F34" s="163" t="s">
        <v>943</v>
      </c>
      <c r="G34" s="153"/>
    </row>
    <row r="35" spans="1:7" x14ac:dyDescent="0.25">
      <c r="A35" t="s">
        <v>746</v>
      </c>
      <c r="B35" s="166">
        <v>0</v>
      </c>
      <c r="C35" s="166">
        <v>0.52</v>
      </c>
      <c r="D35" s="166">
        <v>0.52</v>
      </c>
      <c r="E35" s="152">
        <v>0</v>
      </c>
      <c r="F35" s="156" t="s">
        <v>943</v>
      </c>
    </row>
    <row r="36" spans="1:7" x14ac:dyDescent="0.25">
      <c r="A36" s="153" t="s">
        <v>749</v>
      </c>
      <c r="B36" s="174">
        <v>118500000</v>
      </c>
      <c r="C36" s="174">
        <v>122468600</v>
      </c>
      <c r="D36" s="174">
        <v>3968600</v>
      </c>
      <c r="E36" s="155">
        <v>3.3490295358649787E-2</v>
      </c>
      <c r="F36" s="163" t="s">
        <v>943</v>
      </c>
      <c r="G36" s="153"/>
    </row>
    <row r="37" spans="1:7" x14ac:dyDescent="0.25">
      <c r="A37" t="s">
        <v>742</v>
      </c>
      <c r="B37" s="166">
        <v>49800000</v>
      </c>
      <c r="C37" s="166">
        <v>51458000</v>
      </c>
      <c r="D37" s="166">
        <v>1658000</v>
      </c>
      <c r="E37" s="152">
        <v>3.3293172690763054E-2</v>
      </c>
      <c r="F37" s="164" t="s">
        <v>944</v>
      </c>
    </row>
    <row r="38" spans="1:7" x14ac:dyDescent="0.25">
      <c r="A38" s="153" t="s">
        <v>750</v>
      </c>
      <c r="B38" s="174">
        <v>68700000</v>
      </c>
      <c r="C38" s="174">
        <v>71010600</v>
      </c>
      <c r="D38" s="174">
        <v>2310600</v>
      </c>
      <c r="E38" s="155">
        <v>3.3633187772925767E-2</v>
      </c>
      <c r="F38" s="163" t="s">
        <v>943</v>
      </c>
      <c r="G38" s="153"/>
    </row>
    <row r="39" spans="1:7" x14ac:dyDescent="0.25">
      <c r="A39" t="s">
        <v>751</v>
      </c>
      <c r="B39" s="166">
        <v>42000000</v>
      </c>
      <c r="C39" s="166">
        <v>40930000</v>
      </c>
      <c r="D39" s="166">
        <v>-1070000</v>
      </c>
      <c r="E39" s="152">
        <v>-2.5476190476190475E-2</v>
      </c>
      <c r="F39" s="156" t="s">
        <v>943</v>
      </c>
    </row>
    <row r="40" spans="1:7" x14ac:dyDescent="0.25">
      <c r="A40" s="153" t="s">
        <v>752</v>
      </c>
      <c r="B40" s="174">
        <v>26700000</v>
      </c>
      <c r="C40" s="174">
        <v>30080600</v>
      </c>
      <c r="D40" s="174">
        <v>3380600</v>
      </c>
      <c r="E40" s="155">
        <v>0.12661423220973783</v>
      </c>
      <c r="F40" s="163" t="s">
        <v>943</v>
      </c>
      <c r="G40" s="15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E4F78-0FC4-4124-8EB9-A847A5D5AC47}">
  <sheetPr codeName="Sheet28">
    <tabColor rgb="FF003366"/>
  </sheetPr>
  <dimension ref="A1:M26"/>
  <sheetViews>
    <sheetView workbookViewId="0"/>
  </sheetViews>
  <sheetFormatPr defaultRowHeight="15" x14ac:dyDescent="0.25"/>
  <cols>
    <col min="1" max="1" width="50" style="175" bestFit="1" customWidth="1"/>
    <col min="2" max="3" width="12.140625" style="175" bestFit="1" customWidth="1"/>
    <col min="4" max="4" width="13.140625" style="175" bestFit="1" customWidth="1"/>
    <col min="5" max="5" width="10.7109375" style="175" bestFit="1" customWidth="1"/>
    <col min="6" max="6" width="11.140625" style="175" bestFit="1" customWidth="1"/>
    <col min="7" max="7" width="23.28515625" style="175" bestFit="1" customWidth="1"/>
    <col min="8" max="9" width="11.140625" style="175" bestFit="1" customWidth="1"/>
    <col min="10" max="10" width="23.28515625" style="175" bestFit="1" customWidth="1"/>
    <col min="11" max="13" width="11.140625" style="175" bestFit="1" customWidth="1"/>
    <col min="14" max="16384" width="9.140625" style="175"/>
  </cols>
  <sheetData>
    <row r="1" spans="1:11" ht="23.25" x14ac:dyDescent="0.35">
      <c r="A1" s="176" t="s">
        <v>974</v>
      </c>
    </row>
    <row r="2" spans="1:11" x14ac:dyDescent="0.25">
      <c r="A2" s="177" t="s">
        <v>975</v>
      </c>
    </row>
    <row r="3" spans="1:11" ht="5.0999999999999996" customHeight="1" x14ac:dyDescent="0.25">
      <c r="A3" s="181"/>
      <c r="B3" s="181"/>
      <c r="D3" s="185"/>
      <c r="E3" s="185"/>
      <c r="G3" s="186"/>
      <c r="H3" s="186"/>
      <c r="J3" s="187"/>
      <c r="K3" s="187"/>
    </row>
    <row r="4" spans="1:11" x14ac:dyDescent="0.25">
      <c r="A4" s="178" t="s">
        <v>749</v>
      </c>
      <c r="D4" s="178" t="s">
        <v>976</v>
      </c>
      <c r="G4" s="178" t="s">
        <v>751</v>
      </c>
      <c r="J4" s="178" t="s">
        <v>752</v>
      </c>
    </row>
    <row r="5" spans="1:11" ht="28.5" x14ac:dyDescent="0.45">
      <c r="A5" s="180">
        <v>122468600</v>
      </c>
      <c r="D5" s="183">
        <v>0.57982699238825297</v>
      </c>
      <c r="G5" s="180">
        <v>40930000</v>
      </c>
      <c r="J5" s="180">
        <v>30080600</v>
      </c>
    </row>
    <row r="6" spans="1:11" x14ac:dyDescent="0.25">
      <c r="A6" s="209" t="s">
        <v>987</v>
      </c>
      <c r="D6" s="184" t="s">
        <v>977</v>
      </c>
      <c r="G6" s="184" t="s">
        <v>977</v>
      </c>
      <c r="J6" s="184" t="s">
        <v>977</v>
      </c>
    </row>
    <row r="9" spans="1:11" x14ac:dyDescent="0.25">
      <c r="A9" s="144" t="s">
        <v>748</v>
      </c>
      <c r="B9" s="144" t="s">
        <v>951</v>
      </c>
      <c r="C9" s="144" t="s">
        <v>952</v>
      </c>
      <c r="D9" s="144" t="s">
        <v>978</v>
      </c>
      <c r="E9" s="144" t="s">
        <v>979</v>
      </c>
    </row>
    <row r="10" spans="1:11" x14ac:dyDescent="0.25">
      <c r="A10" s="188" t="s">
        <v>749</v>
      </c>
      <c r="B10" s="179">
        <v>122468600</v>
      </c>
      <c r="C10" s="179">
        <v>118500000</v>
      </c>
      <c r="D10" s="189">
        <v>3968600</v>
      </c>
      <c r="E10" s="190">
        <v>3.3490295358649787E-2</v>
      </c>
    </row>
    <row r="11" spans="1:11" x14ac:dyDescent="0.25">
      <c r="A11" s="188" t="s">
        <v>750</v>
      </c>
      <c r="B11" s="179">
        <v>71010600</v>
      </c>
      <c r="C11" s="179">
        <v>68700000</v>
      </c>
      <c r="D11" s="189">
        <v>2310600</v>
      </c>
      <c r="E11" s="190">
        <v>3.3633187772925767E-2</v>
      </c>
    </row>
    <row r="12" spans="1:11" x14ac:dyDescent="0.25">
      <c r="A12" s="188" t="s">
        <v>751</v>
      </c>
      <c r="B12" s="179">
        <v>40930000</v>
      </c>
      <c r="C12" s="179">
        <v>42000000</v>
      </c>
      <c r="D12" s="191">
        <v>-1070000</v>
      </c>
      <c r="E12" s="192">
        <v>-2.5476190476190475E-2</v>
      </c>
    </row>
    <row r="13" spans="1:11" x14ac:dyDescent="0.25">
      <c r="A13" s="188" t="s">
        <v>752</v>
      </c>
      <c r="B13" s="179">
        <v>30080600</v>
      </c>
      <c r="C13" s="179">
        <v>26700000</v>
      </c>
      <c r="D13" s="189">
        <v>3380600</v>
      </c>
      <c r="E13" s="190">
        <v>0.12661423220973783</v>
      </c>
    </row>
    <row r="15" spans="1:11" ht="15.75" x14ac:dyDescent="0.25">
      <c r="A15" s="193" t="s">
        <v>980</v>
      </c>
      <c r="B15" s="194"/>
      <c r="C15" s="194"/>
      <c r="D15" s="194"/>
      <c r="E15" s="194"/>
      <c r="F15" s="194"/>
    </row>
    <row r="16" spans="1:11" x14ac:dyDescent="0.25">
      <c r="A16" s="144" t="s">
        <v>3</v>
      </c>
      <c r="B16" s="144" t="s">
        <v>813</v>
      </c>
      <c r="C16" s="144" t="s">
        <v>981</v>
      </c>
      <c r="D16" s="144" t="s">
        <v>617</v>
      </c>
    </row>
    <row r="17" spans="1:13" x14ac:dyDescent="0.25">
      <c r="A17" s="195" t="s">
        <v>25</v>
      </c>
      <c r="B17" s="196">
        <v>68029500</v>
      </c>
      <c r="C17" s="197">
        <v>0.55548524274793698</v>
      </c>
      <c r="D17" s="198" t="s">
        <v>982</v>
      </c>
    </row>
    <row r="18" spans="1:13" x14ac:dyDescent="0.25">
      <c r="A18" s="188" t="s">
        <v>36</v>
      </c>
      <c r="B18" s="179">
        <v>34633200</v>
      </c>
      <c r="C18" s="182">
        <v>0.28279248721713157</v>
      </c>
      <c r="D18" s="199" t="s">
        <v>983</v>
      </c>
    </row>
    <row r="19" spans="1:13" x14ac:dyDescent="0.25">
      <c r="A19" s="195" t="s">
        <v>16</v>
      </c>
      <c r="B19" s="196">
        <v>14842800</v>
      </c>
      <c r="C19" s="197">
        <v>0.12119678023591353</v>
      </c>
      <c r="D19" s="200" t="s">
        <v>983</v>
      </c>
    </row>
    <row r="20" spans="1:13" x14ac:dyDescent="0.25">
      <c r="A20" s="188" t="s">
        <v>10</v>
      </c>
      <c r="B20" s="179">
        <v>6184500</v>
      </c>
      <c r="C20" s="182">
        <v>5.0498658431630636E-2</v>
      </c>
      <c r="D20" s="201" t="s">
        <v>984</v>
      </c>
    </row>
    <row r="23" spans="1:13" ht="15.75" x14ac:dyDescent="0.25">
      <c r="A23" s="193" t="s">
        <v>985</v>
      </c>
      <c r="B23" s="194"/>
      <c r="C23" s="194"/>
      <c r="D23" s="194"/>
      <c r="E23" s="194"/>
      <c r="F23" s="194"/>
      <c r="G23" s="194"/>
      <c r="H23" s="194"/>
      <c r="I23" s="194"/>
      <c r="J23" s="194"/>
      <c r="K23" s="194"/>
      <c r="L23" s="194"/>
      <c r="M23" s="194"/>
    </row>
    <row r="24" spans="1:13" x14ac:dyDescent="0.25">
      <c r="A24" s="188" t="s">
        <v>695</v>
      </c>
      <c r="B24" s="203" t="s">
        <v>799</v>
      </c>
      <c r="C24" s="203" t="s">
        <v>800</v>
      </c>
      <c r="D24" s="203" t="s">
        <v>801</v>
      </c>
      <c r="E24" s="203" t="s">
        <v>802</v>
      </c>
      <c r="F24" s="203" t="s">
        <v>803</v>
      </c>
      <c r="G24" s="203" t="s">
        <v>804</v>
      </c>
      <c r="H24" s="203" t="s">
        <v>805</v>
      </c>
      <c r="I24" s="203" t="s">
        <v>806</v>
      </c>
      <c r="J24" s="203" t="s">
        <v>807</v>
      </c>
      <c r="K24" s="203" t="s">
        <v>808</v>
      </c>
      <c r="L24" s="203" t="s">
        <v>809</v>
      </c>
      <c r="M24" s="203" t="s">
        <v>810</v>
      </c>
    </row>
    <row r="25" spans="1:13" x14ac:dyDescent="0.25">
      <c r="A25" s="188" t="s">
        <v>602</v>
      </c>
      <c r="B25" s="204">
        <v>9250000</v>
      </c>
      <c r="C25" s="205">
        <v>9480000</v>
      </c>
      <c r="D25" s="205">
        <v>9750000</v>
      </c>
      <c r="E25" s="205">
        <v>9920000</v>
      </c>
      <c r="F25" s="205">
        <v>10150000</v>
      </c>
      <c r="G25" s="205">
        <v>10380000</v>
      </c>
      <c r="H25" s="205">
        <v>10200000</v>
      </c>
      <c r="I25" s="205">
        <v>10550000</v>
      </c>
      <c r="J25" s="205">
        <v>10720000</v>
      </c>
      <c r="K25" s="205">
        <v>10890000</v>
      </c>
      <c r="L25" s="205">
        <v>11050000</v>
      </c>
      <c r="M25" s="206">
        <v>11350000</v>
      </c>
    </row>
    <row r="26" spans="1:13" x14ac:dyDescent="0.25">
      <c r="A26" s="202" t="s">
        <v>986</v>
      </c>
      <c r="C26" s="207">
        <v>2.4864864864864864E-2</v>
      </c>
      <c r="D26" s="207">
        <v>2.8481012658227847E-2</v>
      </c>
      <c r="E26" s="207">
        <v>1.7435897435897435E-2</v>
      </c>
      <c r="F26" s="207">
        <v>2.3185483870967742E-2</v>
      </c>
      <c r="G26" s="207">
        <v>2.2660098522167486E-2</v>
      </c>
      <c r="H26" s="208">
        <v>-1.7341040462427744E-2</v>
      </c>
      <c r="I26" s="207">
        <v>3.4313725490196081E-2</v>
      </c>
      <c r="J26" s="207">
        <v>1.6113744075829384E-2</v>
      </c>
      <c r="K26" s="207">
        <v>1.5858208955223881E-2</v>
      </c>
      <c r="L26" s="207">
        <v>1.4692378328741965E-2</v>
      </c>
      <c r="M26" s="207">
        <v>2.7149321266968326E-2</v>
      </c>
    </row>
  </sheetData>
  <mergeCells count="4">
    <mergeCell ref="A3:B3"/>
    <mergeCell ref="D3:E3"/>
    <mergeCell ref="G3:H3"/>
    <mergeCell ref="J3:K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C2838-0F5E-4381-BE40-F46486EE568F}">
  <sheetPr codeName="Sheet29"/>
  <dimension ref="A1:C51"/>
  <sheetViews>
    <sheetView workbookViewId="0">
      <selection sqref="A1:C1"/>
    </sheetView>
  </sheetViews>
  <sheetFormatPr defaultRowHeight="15" x14ac:dyDescent="0.25"/>
  <cols>
    <col min="1" max="1" width="45.7109375" style="210" customWidth="1"/>
    <col min="2" max="2" width="18.7109375" style="210" customWidth="1"/>
    <col min="3" max="3" width="12.7109375" style="210" customWidth="1"/>
    <col min="4" max="16384" width="9.140625" style="210"/>
  </cols>
  <sheetData>
    <row r="1" spans="1:3" ht="39.950000000000003" customHeight="1" x14ac:dyDescent="0.25">
      <c r="A1" s="212" t="s">
        <v>991</v>
      </c>
      <c r="B1" s="212"/>
      <c r="C1" s="212"/>
    </row>
    <row r="2" spans="1:3" x14ac:dyDescent="0.25">
      <c r="A2" s="213" t="s">
        <v>992</v>
      </c>
      <c r="B2" s="213"/>
      <c r="C2" s="213"/>
    </row>
    <row r="3" spans="1:3" x14ac:dyDescent="0.25">
      <c r="A3" s="214" t="s">
        <v>993</v>
      </c>
    </row>
    <row r="5" spans="1:3" ht="3" customHeight="1" x14ac:dyDescent="0.25">
      <c r="A5" s="211"/>
    </row>
    <row r="7" spans="1:3" ht="27.95" customHeight="1" x14ac:dyDescent="0.25">
      <c r="A7" s="215" t="s">
        <v>994</v>
      </c>
      <c r="B7" s="215"/>
      <c r="C7" s="215"/>
    </row>
    <row r="8" spans="1:3" ht="77.25" x14ac:dyDescent="0.25">
      <c r="A8" s="217" t="s">
        <v>995</v>
      </c>
    </row>
    <row r="13" spans="1:3" ht="27.95" customHeight="1" x14ac:dyDescent="0.25">
      <c r="A13" s="218" t="s">
        <v>996</v>
      </c>
      <c r="B13" s="218"/>
      <c r="C13" s="218"/>
    </row>
    <row r="14" spans="1:3" ht="105" x14ac:dyDescent="0.25">
      <c r="A14" s="216" t="s">
        <v>997</v>
      </c>
    </row>
    <row r="22" spans="1:3" ht="27.95" customHeight="1" x14ac:dyDescent="0.25">
      <c r="A22" s="219" t="s">
        <v>998</v>
      </c>
      <c r="B22" s="219"/>
      <c r="C22" s="219"/>
    </row>
    <row r="23" spans="1:3" ht="165" x14ac:dyDescent="0.25">
      <c r="A23" s="216" t="s">
        <v>999</v>
      </c>
    </row>
    <row r="35" spans="1:3" ht="27.95" customHeight="1" x14ac:dyDescent="0.25">
      <c r="A35" s="220" t="s">
        <v>1000</v>
      </c>
      <c r="B35" s="220"/>
      <c r="C35" s="220"/>
    </row>
    <row r="36" spans="1:3" ht="30" x14ac:dyDescent="0.25">
      <c r="A36" s="216" t="s">
        <v>1001</v>
      </c>
    </row>
    <row r="39" spans="1:3" ht="27.95" customHeight="1" x14ac:dyDescent="0.25">
      <c r="A39" s="221" t="s">
        <v>1002</v>
      </c>
      <c r="B39" s="221"/>
      <c r="C39" s="221"/>
    </row>
    <row r="40" spans="1:3" ht="90" x14ac:dyDescent="0.25">
      <c r="A40" s="216" t="s">
        <v>1003</v>
      </c>
    </row>
    <row r="48" spans="1:3" ht="3" customHeight="1" x14ac:dyDescent="0.25">
      <c r="A48" s="211"/>
    </row>
    <row r="50" spans="1:1" x14ac:dyDescent="0.25">
      <c r="A50" s="222" t="s">
        <v>1004</v>
      </c>
    </row>
    <row r="51" spans="1:1" x14ac:dyDescent="0.25">
      <c r="A51" s="222" t="s">
        <v>1005</v>
      </c>
    </row>
  </sheetData>
  <mergeCells count="7">
    <mergeCell ref="A39:C39"/>
    <mergeCell ref="A1:C1"/>
    <mergeCell ref="A2:C2"/>
    <mergeCell ref="A7:C7"/>
    <mergeCell ref="A13:C13"/>
    <mergeCell ref="A22:C22"/>
    <mergeCell ref="A35:C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CrossfireHiddenWorksheet</vt:lpstr>
      <vt:lpstr>Disclaimer</vt:lpstr>
      <vt:lpstr>Assumptions</vt:lpstr>
      <vt:lpstr>Data Dictionary</vt:lpstr>
      <vt:lpstr>AWS Allocation</vt:lpstr>
      <vt:lpstr>Report--&gt;</vt:lpstr>
      <vt:lpstr>P&amp;L - Monthly Trend</vt:lpstr>
      <vt:lpstr>Product Line Summary</vt:lpstr>
      <vt:lpstr>Functional P&amp;L - Monthly Trend</vt:lpstr>
      <vt:lpstr>Functional P&amp;L Summary - Jan 25</vt:lpstr>
      <vt:lpstr>Functional P&amp;L Summary - Feb 25</vt:lpstr>
      <vt:lpstr>Functional P&amp;L Summary - Mar 25</vt:lpstr>
      <vt:lpstr>US January 2025 Natural P&amp;L</vt:lpstr>
      <vt:lpstr>Charts &amp; Visuals</vt:lpstr>
      <vt:lpstr>Checks</vt:lpstr>
      <vt:lpstr>Data Quality Report</vt:lpstr>
      <vt:lpstr>Variance Analysis</vt:lpstr>
      <vt:lpstr>Variance Commentary</vt:lpstr>
      <vt:lpstr>YoY Variance Analysis</vt:lpstr>
      <vt:lpstr>Executive Dashboard</vt:lpstr>
      <vt:lpstr>Executive Brief</vt:lpstr>
      <vt:lpstr>AWS_Shared_Pct</vt:lpstr>
      <vt:lpstr>Departments_Table</vt:lpstr>
      <vt:lpstr>InsureSight_Split</vt:lpstr>
      <vt:lpstr>Disclaimer!Print_Area</vt:lpstr>
      <vt:lpstr>Products_Table</vt:lpstr>
      <vt:lpstr>Revenue_Share_Pct_iGO</vt:lpstr>
      <vt:lpstr>Vendors_Table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Connor Atlee</cp:lastModifiedBy>
  <cp:revision>0</cp:revision>
  <cp:lastPrinted>2026-03-31T21:33:14Z</cp:lastPrinted>
  <dcterms:created xsi:type="dcterms:W3CDTF">2026-02-12T22:43:16Z</dcterms:created>
  <dcterms:modified xsi:type="dcterms:W3CDTF">2026-03-31T21:34:45Z</dcterms:modified>
  <dc:language>en-US</dc:language>
</cp:coreProperties>
</file>