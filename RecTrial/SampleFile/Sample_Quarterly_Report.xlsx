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Revenue" sheetId="1" state="visible" r:id="rId1"/>
    <sheet name="Q1 Expenses" sheetId="2" state="visible" r:id="rId2"/>
    <sheet name="Q1 Revenue v2" sheetId="3" state="visible" r:id="rId3"/>
    <sheet name="Budget Summary" sheetId="4" state="visible" r:id="rId4"/>
    <sheet name="Contact List" sheetId="5" state="visible" r:id="rId5"/>
    <sheet name="Archive_Q4_2025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;($#,##0)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8C00"/>
    </font>
    <font>
      <name val="Arial"/>
      <b val="1"/>
      <color rgb="00CC0000"/>
    </font>
    <font>
      <name val="Arial"/>
      <b val="1"/>
      <color rgb="00008000"/>
    </font>
    <font>
      <name val="Arial"/>
      <b val="1"/>
      <sz val="11"/>
    </font>
    <font>
      <name val="Arial"/>
      <b val="1"/>
    </font>
    <font>
      <name val="Arial"/>
      <i val="1"/>
      <color rgb="00888888"/>
      <sz val="9"/>
    </font>
    <font>
      <name val="Arial"/>
      <b val="1"/>
      <color rgb="00CC0000"/>
      <sz val="12"/>
    </font>
    <font>
      <name val="Arial"/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0B47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top style="double">
        <color rgb="00000000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0" borderId="1" pivotButton="0" quotePrefix="0" xfId="0"/>
    <xf numFmtId="165" fontId="7" fillId="0" borderId="1" pivotButton="0" quotePrefix="0" xfId="0"/>
    <xf numFmtId="166" fontId="7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Finance Team</author>
    <author>Sarah Mitchell</author>
    <author>James Rodriguez</author>
    <author>M&amp;A Team</author>
    <author>HR Comp Team</author>
  </authors>
  <commentList>
    <comment ref="F3" authorId="0" shapeId="0">
      <text>
        <t>Verify with accounting - amount seems high for single quarter</t>
      </text>
    </comment>
    <comment ref="G7" authorId="1" shapeId="0">
      <text>
        <t>Follow up by end of month - needs VP approval</t>
      </text>
    </comment>
    <comment ref="C11" authorId="2" shapeId="0">
      <text>
        <t>New enterprise tier pricing - check with Product team</t>
      </text>
    </comment>
    <comment ref="D18" authorId="3" shapeId="0">
      <text>
        <t>Note: Acquired by Lincoln Financial in Q4 2025</t>
      </text>
    </comment>
    <comment ref="H22" authorId="4" shapeId="0">
      <text>
        <t>Override commission approved by VP Sales - see email 2/15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2" customWidth="1" min="4" max="4"/>
    <col width="16" customWidth="1" min="5" max="5"/>
    <col width="14" customWidth="1" min="6" max="6"/>
    <col width="13" customWidth="1" min="7" max="7"/>
    <col width="14" customWidth="1" min="8" max="8"/>
    <col width="30" customWidth="1" min="9" max="9"/>
  </cols>
  <sheetData>
    <row r="1">
      <c r="A1" t="inlineStr">
        <is>
          <t>Region</t>
        </is>
      </c>
      <c r="B1" t="inlineStr">
        <is>
          <t>Sales Rep</t>
        </is>
      </c>
      <c r="C1" t="inlineStr">
        <is>
          <t>Product</t>
        </is>
      </c>
      <c r="D1" t="inlineStr">
        <is>
          <t>Customer</t>
        </is>
      </c>
      <c r="E1" t="inlineStr">
        <is>
          <t>Date</t>
        </is>
      </c>
      <c r="F1" t="inlineStr">
        <is>
          <t>Amount</t>
        </is>
      </c>
      <c r="G1" t="inlineStr">
        <is>
          <t>Status</t>
        </is>
      </c>
      <c r="H1" t="inlineStr">
        <is>
          <t>Commission %</t>
        </is>
      </c>
      <c r="I1" t="inlineStr">
        <is>
          <t>Notes</t>
        </is>
      </c>
    </row>
    <row r="2">
      <c r="A2" t="inlineStr">
        <is>
          <t>Northeast</t>
        </is>
      </c>
      <c r="B2" t="inlineStr">
        <is>
          <t>Sarah Mitchell</t>
        </is>
      </c>
      <c r="C2" t="inlineStr">
        <is>
          <t>InsureSight</t>
        </is>
      </c>
      <c r="D2" t="inlineStr">
        <is>
          <t>Pacific Life</t>
        </is>
      </c>
      <c r="E2" t="inlineStr">
        <is>
          <t>01/15/2026</t>
        </is>
      </c>
      <c r="F2" t="n">
        <v>48000</v>
      </c>
      <c r="G2" t="inlineStr">
        <is>
          <t>Closed Won</t>
        </is>
      </c>
      <c r="H2" t="n">
        <v>0.08</v>
      </c>
      <c r="I2" t="inlineStr">
        <is>
          <t>Expansion deal</t>
        </is>
      </c>
    </row>
    <row r="3">
      <c r="A3" t="inlineStr">
        <is>
          <t>International</t>
        </is>
      </c>
      <c r="B3" t="inlineStr">
        <is>
          <t>Jessica Patel</t>
        </is>
      </c>
      <c r="C3" t="inlineStr">
        <is>
          <t>iGO</t>
        </is>
      </c>
      <c r="D3" t="inlineStr">
        <is>
          <t>MetLife</t>
        </is>
      </c>
      <c r="E3" t="inlineStr">
        <is>
          <t>2026-01-08</t>
        </is>
      </c>
      <c r="F3" t="n">
        <v>22000</v>
      </c>
      <c r="G3" t="inlineStr">
        <is>
          <t>Closed Won</t>
        </is>
      </c>
      <c r="H3" t="n">
        <v>0.1</v>
      </c>
      <c r="I3" t="inlineStr">
        <is>
          <t>Enterprise renewal</t>
        </is>
      </c>
    </row>
    <row r="4">
      <c r="A4" t="inlineStr">
        <is>
          <t>International</t>
        </is>
      </c>
      <c r="B4" t="inlineStr">
        <is>
          <t>Michael Thompson</t>
        </is>
      </c>
      <c r="C4" t="inlineStr">
        <is>
          <t>DocFast</t>
        </is>
      </c>
      <c r="D4" t="inlineStr">
        <is>
          <t>Pacific Life</t>
        </is>
      </c>
      <c r="E4" t="inlineStr">
        <is>
          <t>Jan 12, 2026</t>
        </is>
      </c>
      <c r="F4" t="n">
        <v>175000</v>
      </c>
      <c r="G4" t="inlineStr">
        <is>
          <t>Pipeline</t>
        </is>
      </c>
      <c r="H4" t="n">
        <v>0.12</v>
      </c>
      <c r="I4" t="inlineStr">
        <is>
          <t>Enterprise renewal</t>
        </is>
      </c>
    </row>
    <row r="5">
      <c r="A5" t="inlineStr">
        <is>
          <t>Southeast</t>
        </is>
      </c>
      <c r="B5" t="inlineStr">
        <is>
          <t>Jessica Patel</t>
        </is>
      </c>
      <c r="C5" t="inlineStr">
        <is>
          <t>InsureSight</t>
        </is>
      </c>
      <c r="D5" t="inlineStr">
        <is>
          <t>Unum Group</t>
        </is>
      </c>
      <c r="E5" t="inlineStr">
        <is>
          <t>01/22/2026</t>
        </is>
      </c>
      <c r="F5" s="1" t="inlineStr">
        <is>
          <t>35000</t>
        </is>
      </c>
      <c r="G5" t="inlineStr">
        <is>
          <t>Closed Won</t>
        </is>
      </c>
      <c r="H5" t="n">
        <v>0.12</v>
      </c>
      <c r="I5" t="inlineStr">
        <is>
          <t>New logo</t>
        </is>
      </c>
    </row>
    <row r="6">
      <c r="A6" t="inlineStr">
        <is>
          <t>Northeast</t>
        </is>
      </c>
      <c r="B6" t="inlineStr">
        <is>
          <t>Jessica Patel</t>
        </is>
      </c>
      <c r="C6" t="inlineStr">
        <is>
          <t>iGO</t>
        </is>
      </c>
      <c r="D6" t="inlineStr">
        <is>
          <t>Guardian Life</t>
        </is>
      </c>
      <c r="E6" t="inlineStr">
        <is>
          <t>1/19/26</t>
        </is>
      </c>
      <c r="F6" t="n">
        <v>85000</v>
      </c>
      <c r="G6" t="inlineStr">
        <is>
          <t>Pipeline</t>
        </is>
      </c>
      <c r="H6" t="n">
        <v>0.12</v>
      </c>
      <c r="I6" t="inlineStr">
        <is>
          <t>Multi-year contract</t>
        </is>
      </c>
    </row>
    <row r="7">
      <c r="A7" t="inlineStr">
        <is>
          <t>West</t>
        </is>
      </c>
      <c r="B7" t="inlineStr">
        <is>
          <t xml:space="preserve">Lisa Hernandez </t>
        </is>
      </c>
      <c r="C7" t="inlineStr">
        <is>
          <t>iGO</t>
        </is>
      </c>
      <c r="D7" t="inlineStr">
        <is>
          <t>Nationwide</t>
        </is>
      </c>
      <c r="E7" t="inlineStr">
        <is>
          <t>01/28/2026</t>
        </is>
      </c>
      <c r="F7" t="n">
        <v>22000</v>
      </c>
      <c r="G7" t="inlineStr">
        <is>
          <t>Pipeline</t>
        </is>
      </c>
      <c r="H7" t="n">
        <v>0.12</v>
      </c>
      <c r="I7" t="inlineStr">
        <is>
          <t>Q1 push</t>
        </is>
      </c>
    </row>
    <row r="8">
      <c r="A8" t="inlineStr">
        <is>
          <t>International</t>
        </is>
      </c>
      <c r="B8" t="inlineStr">
        <is>
          <t>Michael Thompson</t>
        </is>
      </c>
      <c r="C8" t="inlineStr">
        <is>
          <t>iGO</t>
        </is>
      </c>
      <c r="D8" t="inlineStr">
        <is>
          <t>Prudential</t>
        </is>
      </c>
      <c r="E8" t="inlineStr">
        <is>
          <t>2026-02-06</t>
        </is>
      </c>
      <c r="F8" t="n">
        <v>385000</v>
      </c>
      <c r="G8" t="inlineStr">
        <is>
          <t>Closed Won</t>
        </is>
      </c>
      <c r="H8" t="n">
        <v>0.12</v>
      </c>
      <c r="I8" t="inlineStr">
        <is>
          <t>Expansion deal</t>
        </is>
      </c>
    </row>
    <row r="9">
      <c r="A9" t="inlineStr">
        <is>
          <t>Southeast</t>
        </is>
      </c>
      <c r="B9" t="inlineStr">
        <is>
          <t>James Rodriguez</t>
        </is>
      </c>
      <c r="C9" t="inlineStr">
        <is>
          <t>DocFast</t>
        </is>
      </c>
      <c r="D9" t="inlineStr">
        <is>
          <t>Unum Group</t>
        </is>
      </c>
      <c r="E9" t="inlineStr">
        <is>
          <t>Feb 17 2026</t>
        </is>
      </c>
      <c r="F9" t="n">
        <v>175000</v>
      </c>
      <c r="G9" t="inlineStr">
        <is>
          <t>Closed Won</t>
        </is>
      </c>
      <c r="H9" t="n">
        <v>0.12</v>
      </c>
      <c r="I9" t="inlineStr">
        <is>
          <t>Competitive displacement</t>
        </is>
      </c>
    </row>
    <row r="10"/>
    <row r="11">
      <c r="A11" t="inlineStr">
        <is>
          <t>Midwest</t>
        </is>
      </c>
      <c r="B11" t="inlineStr">
        <is>
          <t>David Okafor</t>
        </is>
      </c>
      <c r="C11" t="inlineStr">
        <is>
          <t>Affirm</t>
        </is>
      </c>
      <c r="D11" t="inlineStr">
        <is>
          <t>Unum Group</t>
        </is>
      </c>
      <c r="E11" t="inlineStr">
        <is>
          <t>02/03/2026</t>
        </is>
      </c>
      <c r="F11" t="n">
        <v>450000</v>
      </c>
      <c r="G11" t="inlineStr">
        <is>
          <t>Closed Won</t>
        </is>
      </c>
      <c r="H11" t="n">
        <v>0.08</v>
      </c>
      <c r="I11" t="inlineStr">
        <is>
          <t>Competitive displacement</t>
        </is>
      </c>
    </row>
    <row r="12">
      <c r="A12" t="inlineStr">
        <is>
          <t>International</t>
        </is>
      </c>
      <c r="B12" t="inlineStr">
        <is>
          <t>Michael Thompson</t>
        </is>
      </c>
      <c r="C12" t="inlineStr">
        <is>
          <t>Affirm</t>
        </is>
      </c>
      <c r="D12" t="inlineStr">
        <is>
          <t>Voya Financial</t>
        </is>
      </c>
      <c r="E12" t="inlineStr">
        <is>
          <t>2/22/26</t>
        </is>
      </c>
      <c r="F12" t="n">
        <v>125000</v>
      </c>
      <c r="G12" t="inlineStr">
        <is>
          <t>Closed Won</t>
        </is>
      </c>
      <c r="H12" t="n">
        <v>0.15</v>
      </c>
      <c r="I12" t="inlineStr">
        <is>
          <t>RFP winner</t>
        </is>
      </c>
    </row>
    <row r="13">
      <c r="A13" t="inlineStr">
        <is>
          <t>Midwest</t>
        </is>
      </c>
      <c r="B13" t="inlineStr">
        <is>
          <t>Sarah Mitchell</t>
        </is>
      </c>
      <c r="C13" t="inlineStr">
        <is>
          <t>Affirm</t>
        </is>
      </c>
      <c r="D13" t="inlineStr">
        <is>
          <t>Prudential</t>
        </is>
      </c>
      <c r="E13" t="inlineStr">
        <is>
          <t>02/10/2026</t>
        </is>
      </c>
      <c r="F13" t="n">
        <v>85000</v>
      </c>
      <c r="G13" t="inlineStr">
        <is>
          <t>Pending</t>
        </is>
      </c>
      <c r="H13" t="n">
        <v>0.12</v>
      </c>
      <c r="I13" t="inlineStr">
        <is>
          <t>Expansion deal</t>
        </is>
      </c>
    </row>
    <row r="14">
      <c r="A14" t="inlineStr">
        <is>
          <t>Southeast</t>
        </is>
      </c>
      <c r="B14" t="inlineStr">
        <is>
          <t>Chris Morrison</t>
        </is>
      </c>
      <c r="C14" t="inlineStr">
        <is>
          <t>InsureSight</t>
        </is>
      </c>
      <c r="D14" t="inlineStr">
        <is>
          <t>Transamerica</t>
        </is>
      </c>
      <c r="E14" t="inlineStr">
        <is>
          <t>02/14/2026</t>
        </is>
      </c>
      <c r="F14" t="n">
        <v>385000</v>
      </c>
      <c r="G14" t="inlineStr">
        <is>
          <t>Pending</t>
        </is>
      </c>
      <c r="H14" t="n">
        <v>0.14</v>
      </c>
      <c r="I14" t="inlineStr">
        <is>
          <t>Annual subscription</t>
        </is>
      </c>
    </row>
    <row r="15">
      <c r="A15" t="inlineStr">
        <is>
          <t>Southeast</t>
        </is>
      </c>
      <c r="B15" t="inlineStr">
        <is>
          <t>Rachel Kim</t>
        </is>
      </c>
      <c r="C15" t="inlineStr">
        <is>
          <t>Affirm</t>
        </is>
      </c>
      <c r="D15" t="inlineStr">
        <is>
          <t>Pacific Life</t>
        </is>
      </c>
      <c r="E15" t="inlineStr">
        <is>
          <t>2026-03-03</t>
        </is>
      </c>
      <c r="F15" t="n">
        <v>450000</v>
      </c>
      <c r="G15" t="inlineStr">
        <is>
          <t>Pipeline</t>
        </is>
      </c>
      <c r="H15" t="n">
        <v>0.15</v>
      </c>
      <c r="I15">
        <f>VLOOKUP("missing_ref",A1:A5,1,FALSE)</f>
        <v/>
      </c>
    </row>
    <row r="16">
      <c r="A16" t="inlineStr">
        <is>
          <t>Southeast</t>
        </is>
      </c>
      <c r="B16" t="inlineStr">
        <is>
          <t>Rachel Kim</t>
        </is>
      </c>
      <c r="C16" t="inlineStr">
        <is>
          <t>Affirm</t>
        </is>
      </c>
      <c r="D16" t="inlineStr">
        <is>
          <t>Pacific Life</t>
        </is>
      </c>
      <c r="E16" t="inlineStr">
        <is>
          <t>2026-03-03</t>
        </is>
      </c>
      <c r="F16" s="1" t="inlineStr">
        <is>
          <t>450000</t>
        </is>
      </c>
      <c r="G16" t="inlineStr">
        <is>
          <t>Pipeline</t>
        </is>
      </c>
      <c r="H16" t="n">
        <v>0.15</v>
      </c>
      <c r="I16" t="inlineStr">
        <is>
          <t>Channel partner referral</t>
        </is>
      </c>
    </row>
    <row r="17">
      <c r="A17" t="inlineStr">
        <is>
          <t>International</t>
        </is>
      </c>
      <c r="B17" t="inlineStr">
        <is>
          <t>Jessica Patel</t>
        </is>
      </c>
      <c r="C17" t="inlineStr">
        <is>
          <t>DocFast</t>
        </is>
      </c>
      <c r="D17" t="inlineStr">
        <is>
          <t>Guardian Life</t>
        </is>
      </c>
      <c r="E17" t="inlineStr">
        <is>
          <t>Mar 8 2026</t>
        </is>
      </c>
      <c r="F17" t="n">
        <v>48000</v>
      </c>
      <c r="G17" t="inlineStr">
        <is>
          <t>Closed Won</t>
        </is>
      </c>
      <c r="H17" t="n">
        <v>0.15</v>
      </c>
      <c r="I17" t="inlineStr"/>
    </row>
    <row r="18">
      <c r="A18" t="inlineStr">
        <is>
          <t>Northeast</t>
        </is>
      </c>
      <c r="B18" t="inlineStr">
        <is>
          <t>Sarah Mitchell</t>
        </is>
      </c>
      <c r="C18" t="inlineStr">
        <is>
          <t>iGO</t>
        </is>
      </c>
      <c r="D18" t="inlineStr">
        <is>
          <t>MassMutual</t>
        </is>
      </c>
      <c r="E18" t="inlineStr">
        <is>
          <t>02/19/2026</t>
        </is>
      </c>
      <c r="F18" t="n">
        <v>385000</v>
      </c>
      <c r="G18" t="inlineStr">
        <is>
          <t>Closed Won</t>
        </is>
      </c>
      <c r="H18" t="n">
        <v>0.14</v>
      </c>
      <c r="I18" t="inlineStr">
        <is>
          <t>Expansion deal</t>
        </is>
      </c>
    </row>
    <row r="19">
      <c r="A19" t="inlineStr">
        <is>
          <t>West</t>
        </is>
      </c>
      <c r="B19" t="inlineStr">
        <is>
          <t>Jessica Patel</t>
        </is>
      </c>
      <c r="C19" t="inlineStr">
        <is>
          <t>DocFast</t>
        </is>
      </c>
      <c r="D19" t="inlineStr">
        <is>
          <t>Mutual of Omaha</t>
        </is>
      </c>
      <c r="E19" t="inlineStr">
        <is>
          <t>02/25/2026</t>
        </is>
      </c>
      <c r="F19" t="n">
        <v>67000</v>
      </c>
      <c r="G19" t="inlineStr">
        <is>
          <t>Pipeline</t>
        </is>
      </c>
      <c r="H19" t="n">
        <v>0.08</v>
      </c>
      <c r="I19" t="inlineStr">
        <is>
          <t>New logo</t>
        </is>
      </c>
    </row>
    <row r="20">
      <c r="A20" t="inlineStr">
        <is>
          <t>International</t>
        </is>
      </c>
      <c r="B20" t="inlineStr">
        <is>
          <t>Rachel Kim</t>
        </is>
      </c>
      <c r="C20" t="inlineStr">
        <is>
          <t>InsureSight</t>
        </is>
      </c>
      <c r="D20" t="inlineStr">
        <is>
          <t>Northwestern Mutual</t>
        </is>
      </c>
      <c r="E20" t="inlineStr">
        <is>
          <t>3/14/26</t>
        </is>
      </c>
      <c r="F20" t="n">
        <v>67000</v>
      </c>
      <c r="G20" t="inlineStr">
        <is>
          <t>Pending</t>
        </is>
      </c>
      <c r="H20" t="n">
        <v>0.1</v>
      </c>
      <c r="I20" t="inlineStr">
        <is>
          <t>Annual subscription</t>
        </is>
      </c>
    </row>
    <row r="21"/>
    <row r="22">
      <c r="A22" t="inlineStr">
        <is>
          <t>Northeast</t>
        </is>
      </c>
      <c r="B22" t="inlineStr">
        <is>
          <t>Rachel Kim</t>
        </is>
      </c>
      <c r="C22" t="inlineStr">
        <is>
          <t>Affirm</t>
        </is>
      </c>
      <c r="D22" t="inlineStr">
        <is>
          <t>Mutual of Omaha</t>
        </is>
      </c>
      <c r="E22" t="inlineStr">
        <is>
          <t>03/01/2026</t>
        </is>
      </c>
      <c r="F22" t="n">
        <v>22000</v>
      </c>
      <c r="G22" t="inlineStr">
        <is>
          <t>Closed Won</t>
        </is>
      </c>
      <c r="H22" t="n">
        <v>0.12</v>
      </c>
      <c r="I22" t="inlineStr">
        <is>
          <t>POC converted</t>
        </is>
      </c>
    </row>
    <row r="23">
      <c r="A23" t="inlineStr">
        <is>
          <t>Southeast</t>
        </is>
      </c>
      <c r="B23" t="inlineStr">
        <is>
          <t>David Okafor</t>
        </is>
      </c>
      <c r="C23" t="inlineStr">
        <is>
          <t>Affirm</t>
        </is>
      </c>
      <c r="D23" t="inlineStr">
        <is>
          <t>Securian Financial</t>
        </is>
      </c>
      <c r="E23" t="inlineStr">
        <is>
          <t>03/05/2026</t>
        </is>
      </c>
      <c r="F23" t="n">
        <v>225000</v>
      </c>
      <c r="G23" t="inlineStr">
        <is>
          <t>Closed Won</t>
        </is>
      </c>
      <c r="H23" t="n">
        <v>0.15</v>
      </c>
      <c r="I23" t="inlineStr">
        <is>
          <t>Fast close</t>
        </is>
      </c>
    </row>
    <row r="24">
      <c r="A24" t="inlineStr">
        <is>
          <t>West</t>
        </is>
      </c>
      <c r="B24" t="inlineStr">
        <is>
          <t>Sarah Mitchell</t>
        </is>
      </c>
      <c r="C24" t="inlineStr">
        <is>
          <t>iGO</t>
        </is>
      </c>
      <c r="D24" t="inlineStr">
        <is>
          <t>Guardian Life</t>
        </is>
      </c>
      <c r="E24" t="inlineStr">
        <is>
          <t>2026-03-20</t>
        </is>
      </c>
      <c r="F24" t="n">
        <v>67000</v>
      </c>
      <c r="G24" t="inlineStr">
        <is>
          <t>Closed Won</t>
        </is>
      </c>
      <c r="H24" t="n">
        <v>0.08</v>
      </c>
      <c r="I24" t="inlineStr">
        <is>
          <t>RFP winner</t>
        </is>
      </c>
    </row>
    <row r="25">
      <c r="A25" t="inlineStr">
        <is>
          <t>International</t>
        </is>
      </c>
      <c r="B25" t="inlineStr">
        <is>
          <t>James Rodriguez</t>
        </is>
      </c>
      <c r="C25" t="inlineStr">
        <is>
          <t>iGO</t>
        </is>
      </c>
      <c r="D25" t="inlineStr">
        <is>
          <t>Equitable Holdings</t>
        </is>
      </c>
      <c r="E25" t="inlineStr">
        <is>
          <t>03/11/2026</t>
        </is>
      </c>
      <c r="F25" t="n">
        <v>22000</v>
      </c>
      <c r="G25" t="inlineStr">
        <is>
          <t>Pipeline</t>
        </is>
      </c>
      <c r="H25" t="n">
        <v>0.1</v>
      </c>
      <c r="I25" t="inlineStr">
        <is>
          <t>Upsell from DocFast</t>
        </is>
      </c>
    </row>
    <row r="26">
      <c r="A26" t="inlineStr">
        <is>
          <t>West</t>
        </is>
      </c>
      <c r="B26" t="inlineStr">
        <is>
          <t xml:space="preserve">Lisa Hernandez </t>
        </is>
      </c>
      <c r="C26" t="inlineStr">
        <is>
          <t>Affirm</t>
        </is>
      </c>
      <c r="D26" t="inlineStr">
        <is>
          <t>Unum Group</t>
        </is>
      </c>
      <c r="E26" t="inlineStr">
        <is>
          <t>Mar 26, 2026</t>
        </is>
      </c>
      <c r="F26" t="n">
        <v>225000</v>
      </c>
      <c r="G26" t="inlineStr">
        <is>
          <t>Pipeline</t>
        </is>
      </c>
      <c r="H26" t="n">
        <v>0.14</v>
      </c>
      <c r="I26" t="inlineStr">
        <is>
          <t>POC converted</t>
        </is>
      </c>
    </row>
    <row r="27">
      <c r="A27" t="inlineStr">
        <is>
          <t>International</t>
        </is>
      </c>
      <c r="B27" t="inlineStr">
        <is>
          <t>Michael Thompson</t>
        </is>
      </c>
      <c r="C27" t="inlineStr">
        <is>
          <t>InsureSight</t>
        </is>
      </c>
      <c r="D27" t="inlineStr">
        <is>
          <t>Nationwide</t>
        </is>
      </c>
      <c r="E27" t="inlineStr">
        <is>
          <t>03/15/2026</t>
        </is>
      </c>
      <c r="F27" t="n">
        <v>385000</v>
      </c>
      <c r="G27" t="inlineStr">
        <is>
          <t>Closed Won</t>
        </is>
      </c>
      <c r="H27" t="n">
        <v>0.12</v>
      </c>
      <c r="I27" t="inlineStr">
        <is>
          <t>Annual subscription</t>
        </is>
      </c>
    </row>
    <row r="28">
      <c r="A28" t="inlineStr">
        <is>
          <t>International</t>
        </is>
      </c>
      <c r="B28" t="inlineStr">
        <is>
          <t xml:space="preserve"> Andrew Walsh</t>
        </is>
      </c>
      <c r="C28" t="inlineStr">
        <is>
          <t>iGO</t>
        </is>
      </c>
      <c r="D28" t="inlineStr">
        <is>
          <t>Pacific Life</t>
        </is>
      </c>
      <c r="E28" t="inlineStr">
        <is>
          <t>3/30/26</t>
        </is>
      </c>
      <c r="F28" s="1" t="inlineStr">
        <is>
          <t>48000</t>
        </is>
      </c>
      <c r="G28" t="inlineStr">
        <is>
          <t>Closed Won</t>
        </is>
      </c>
      <c r="H28" t="n">
        <v>0.12</v>
      </c>
      <c r="I28" t="inlineStr">
        <is>
          <t>Enterprise renewal</t>
        </is>
      </c>
    </row>
    <row r="29">
      <c r="A29" t="inlineStr">
        <is>
          <t>International</t>
        </is>
      </c>
      <c r="B29" t="inlineStr">
        <is>
          <t xml:space="preserve">Lisa Hernandez </t>
        </is>
      </c>
      <c r="C29" t="inlineStr">
        <is>
          <t>Affirm</t>
        </is>
      </c>
      <c r="D29" t="inlineStr">
        <is>
          <t>Pacific Life</t>
        </is>
      </c>
      <c r="E29" t="inlineStr">
        <is>
          <t>03/18/2026</t>
        </is>
      </c>
      <c r="F29" t="n">
        <v>15000</v>
      </c>
      <c r="G29" t="inlineStr">
        <is>
          <t>Closed Won</t>
        </is>
      </c>
      <c r="H29" t="n">
        <v>0.08</v>
      </c>
      <c r="I29" t="inlineStr">
        <is>
          <t>RFP winner</t>
        </is>
      </c>
    </row>
    <row r="30">
      <c r="A30" t="inlineStr">
        <is>
          <t>Northeast</t>
        </is>
      </c>
      <c r="B30" t="inlineStr">
        <is>
          <t>Sarah Mitchell</t>
        </is>
      </c>
      <c r="C30" t="inlineStr">
        <is>
          <t>InsureSight</t>
        </is>
      </c>
      <c r="D30" t="inlineStr">
        <is>
          <t>New York Life</t>
        </is>
      </c>
      <c r="E30" t="inlineStr">
        <is>
          <t>03/22/2026</t>
        </is>
      </c>
      <c r="F30" t="n">
        <v>225000</v>
      </c>
      <c r="G30" t="inlineStr">
        <is>
          <t>Closed Won</t>
        </is>
      </c>
      <c r="H30" t="n">
        <v>0.12</v>
      </c>
      <c r="I30" t="inlineStr"/>
    </row>
    <row r="31">
      <c r="A31" t="inlineStr">
        <is>
          <t>Southeast</t>
        </is>
      </c>
      <c r="B31" t="inlineStr">
        <is>
          <t xml:space="preserve">Lisa Hernandez </t>
        </is>
      </c>
      <c r="C31" t="inlineStr">
        <is>
          <t>Affirm</t>
        </is>
      </c>
      <c r="D31" t="inlineStr">
        <is>
          <t>Equitable Holdings</t>
        </is>
      </c>
      <c r="E31" t="inlineStr">
        <is>
          <t>03/25/2026</t>
        </is>
      </c>
      <c r="F31" t="n">
        <v>48000</v>
      </c>
      <c r="G31" t="inlineStr">
        <is>
          <t>Pending</t>
        </is>
      </c>
      <c r="H31" t="n">
        <v>0.14</v>
      </c>
      <c r="I31" t="inlineStr">
        <is>
          <t>POC converted</t>
        </is>
      </c>
    </row>
    <row r="32">
      <c r="A32" t="inlineStr">
        <is>
          <t>Northeast</t>
        </is>
      </c>
      <c r="B32" t="inlineStr">
        <is>
          <t>James Rodriguez</t>
        </is>
      </c>
      <c r="C32" t="inlineStr">
        <is>
          <t>DocFast</t>
        </is>
      </c>
      <c r="D32" t="inlineStr">
        <is>
          <t>Guardian Life</t>
        </is>
      </c>
      <c r="E32" t="inlineStr">
        <is>
          <t>03/28/2026</t>
        </is>
      </c>
      <c r="F32" t="n">
        <v>125000</v>
      </c>
      <c r="G32" t="inlineStr">
        <is>
          <t>Pending</t>
        </is>
      </c>
      <c r="H32" t="n">
        <v>0.14</v>
      </c>
      <c r="I32" t="inlineStr">
        <is>
          <t>Multi-year contract</t>
        </is>
      </c>
    </row>
    <row r="33"/>
    <row r="34">
      <c r="A34" t="inlineStr">
        <is>
          <t>Northeast</t>
        </is>
      </c>
      <c r="B34" t="inlineStr">
        <is>
          <t>Sarah Mitchell</t>
        </is>
      </c>
      <c r="C34" t="inlineStr">
        <is>
          <t>DocFast</t>
        </is>
      </c>
      <c r="D34" t="inlineStr">
        <is>
          <t>Principal Financial</t>
        </is>
      </c>
      <c r="E34" t="inlineStr">
        <is>
          <t>01/15/2026</t>
        </is>
      </c>
      <c r="F34" t="n">
        <v>22000</v>
      </c>
      <c r="G34" t="inlineStr">
        <is>
          <t>Closed Won</t>
        </is>
      </c>
      <c r="H34" t="n">
        <v>0.1</v>
      </c>
      <c r="I34" t="inlineStr">
        <is>
          <t>POC converted</t>
        </is>
      </c>
    </row>
    <row r="35">
      <c r="A35" t="inlineStr">
        <is>
          <t>International</t>
        </is>
      </c>
      <c r="B35" t="inlineStr">
        <is>
          <t xml:space="preserve"> Andrew Walsh</t>
        </is>
      </c>
      <c r="C35" t="inlineStr">
        <is>
          <t>Affirm</t>
        </is>
      </c>
      <c r="D35" t="inlineStr">
        <is>
          <t>Hartford Financial</t>
        </is>
      </c>
      <c r="E35" t="inlineStr">
        <is>
          <t>2026-01-08</t>
        </is>
      </c>
      <c r="F35" t="n">
        <v>35000</v>
      </c>
      <c r="G35" t="inlineStr">
        <is>
          <t>Closed Won</t>
        </is>
      </c>
      <c r="H35" t="n">
        <v>0.14</v>
      </c>
      <c r="I35" t="inlineStr">
        <is>
          <t>RFP winner</t>
        </is>
      </c>
    </row>
    <row r="36">
      <c r="A36" t="inlineStr">
        <is>
          <t>Northeast</t>
        </is>
      </c>
      <c r="B36" t="inlineStr">
        <is>
          <t xml:space="preserve"> Andrew Walsh</t>
        </is>
      </c>
      <c r="C36" t="inlineStr">
        <is>
          <t>iGO</t>
        </is>
      </c>
      <c r="D36" t="inlineStr">
        <is>
          <t>Prudential</t>
        </is>
      </c>
      <c r="E36" t="inlineStr">
        <is>
          <t>Jan 12, 2026</t>
        </is>
      </c>
      <c r="F36" t="n">
        <v>385000</v>
      </c>
      <c r="G36" t="inlineStr">
        <is>
          <t>Pipeline</t>
        </is>
      </c>
      <c r="H36" t="n">
        <v>0.08</v>
      </c>
      <c r="I36" t="inlineStr">
        <is>
          <t>Expansion deal</t>
        </is>
      </c>
    </row>
    <row r="37">
      <c r="A37" t="inlineStr">
        <is>
          <t>Southeast</t>
        </is>
      </c>
      <c r="B37" t="inlineStr">
        <is>
          <t>Emily Chen</t>
        </is>
      </c>
      <c r="C37" t="inlineStr">
        <is>
          <t>DocFast</t>
        </is>
      </c>
      <c r="D37" t="inlineStr">
        <is>
          <t>Equitable Holdings</t>
        </is>
      </c>
      <c r="E37" t="inlineStr">
        <is>
          <t>01/22/2026</t>
        </is>
      </c>
      <c r="F37" t="n">
        <v>175000</v>
      </c>
      <c r="G37" t="inlineStr">
        <is>
          <t>Closed Won</t>
        </is>
      </c>
      <c r="H37" t="n">
        <v>0.14</v>
      </c>
      <c r="I37" t="inlineStr">
        <is>
          <t>Multi-year contract</t>
        </is>
      </c>
    </row>
    <row r="38">
      <c r="A38" t="inlineStr">
        <is>
          <t>Southeast</t>
        </is>
      </c>
      <c r="B38" t="inlineStr">
        <is>
          <t>Jessica Patel</t>
        </is>
      </c>
      <c r="C38" t="inlineStr">
        <is>
          <t>iGO</t>
        </is>
      </c>
      <c r="D38" t="inlineStr">
        <is>
          <t>Nationwide</t>
        </is>
      </c>
      <c r="E38" t="inlineStr">
        <is>
          <t>1/19/26</t>
        </is>
      </c>
      <c r="F38" t="n">
        <v>67000</v>
      </c>
      <c r="G38" t="inlineStr">
        <is>
          <t>Pending</t>
        </is>
      </c>
      <c r="H38" t="n">
        <v>0.12</v>
      </c>
      <c r="I38" t="inlineStr">
        <is>
          <t>Volume discount applied</t>
        </is>
      </c>
    </row>
    <row r="39">
      <c r="A39" t="inlineStr">
        <is>
          <t>International</t>
        </is>
      </c>
      <c r="B39" t="inlineStr">
        <is>
          <t xml:space="preserve"> Andrew Walsh</t>
        </is>
      </c>
      <c r="C39" t="inlineStr">
        <is>
          <t>Affirm</t>
        </is>
      </c>
      <c r="D39" t="inlineStr">
        <is>
          <t>Transamerica</t>
        </is>
      </c>
      <c r="E39" t="inlineStr">
        <is>
          <t>01/28/2026</t>
        </is>
      </c>
      <c r="F39" t="n">
        <v>67000</v>
      </c>
      <c r="G39" t="inlineStr">
        <is>
          <t>Closed Won</t>
        </is>
      </c>
      <c r="H39" t="n">
        <v>0.08</v>
      </c>
      <c r="I39" t="inlineStr">
        <is>
          <t>Multi-year contract</t>
        </is>
      </c>
    </row>
    <row r="40">
      <c r="A40" t="inlineStr">
        <is>
          <t>Midwest</t>
        </is>
      </c>
      <c r="B40" t="inlineStr">
        <is>
          <t>Sarah Mitchell</t>
        </is>
      </c>
      <c r="C40" t="inlineStr">
        <is>
          <t>iGO</t>
        </is>
      </c>
      <c r="D40" t="inlineStr">
        <is>
          <t>Equitable Holdings</t>
        </is>
      </c>
      <c r="E40" t="inlineStr">
        <is>
          <t>2026-02-06</t>
        </is>
      </c>
      <c r="F40" t="n">
        <v>225000</v>
      </c>
      <c r="G40" t="inlineStr">
        <is>
          <t>Pipeline</t>
        </is>
      </c>
      <c r="H40" t="n">
        <v>0.1</v>
      </c>
      <c r="I40" t="inlineStr">
        <is>
          <t>Multi-year contract</t>
        </is>
      </c>
    </row>
    <row r="41">
      <c r="A41" t="inlineStr">
        <is>
          <t>International</t>
        </is>
      </c>
      <c r="B41" t="inlineStr">
        <is>
          <t>James Rodriguez</t>
        </is>
      </c>
      <c r="C41" t="inlineStr">
        <is>
          <t>Affirm</t>
        </is>
      </c>
      <c r="D41" t="inlineStr">
        <is>
          <t>New York Life</t>
        </is>
      </c>
      <c r="E41" t="inlineStr">
        <is>
          <t>Feb 17 2026</t>
        </is>
      </c>
      <c r="F41" t="n">
        <v>310000</v>
      </c>
      <c r="G41" t="inlineStr">
        <is>
          <t>Closed Won</t>
        </is>
      </c>
      <c r="H41" t="n">
        <v>0.1</v>
      </c>
      <c r="I41" t="inlineStr">
        <is>
          <t>Needs legal review</t>
        </is>
      </c>
    </row>
    <row r="42">
      <c r="A42" t="inlineStr">
        <is>
          <t>Northeast</t>
        </is>
      </c>
      <c r="B42" t="inlineStr">
        <is>
          <t>Chris Morrison</t>
        </is>
      </c>
      <c r="C42" t="inlineStr">
        <is>
          <t>Affirm</t>
        </is>
      </c>
      <c r="D42" t="inlineStr">
        <is>
          <t>Prudential</t>
        </is>
      </c>
      <c r="E42" t="inlineStr">
        <is>
          <t>02/03/2026</t>
        </is>
      </c>
      <c r="F42" t="n">
        <v>310000</v>
      </c>
      <c r="G42" t="inlineStr">
        <is>
          <t>Closed Won</t>
        </is>
      </c>
      <c r="H42" t="n">
        <v>0.14</v>
      </c>
      <c r="I42" t="inlineStr">
        <is>
          <t>Fast close</t>
        </is>
      </c>
    </row>
    <row r="43">
      <c r="A43" t="inlineStr">
        <is>
          <t>Midwest</t>
        </is>
      </c>
      <c r="B43" t="inlineStr">
        <is>
          <t>Michael Thompson</t>
        </is>
      </c>
      <c r="C43" t="inlineStr">
        <is>
          <t>InsureSight</t>
        </is>
      </c>
      <c r="D43" t="inlineStr">
        <is>
          <t>Pacific Life</t>
        </is>
      </c>
      <c r="E43" t="inlineStr">
        <is>
          <t>2/22/26</t>
        </is>
      </c>
      <c r="F43" t="n">
        <v>67000</v>
      </c>
      <c r="G43" t="inlineStr">
        <is>
          <t>Pending</t>
        </is>
      </c>
      <c r="H43" t="n">
        <v>0.1</v>
      </c>
      <c r="I43" t="inlineStr">
        <is>
          <t>Executive sponsor: CFO</t>
        </is>
      </c>
    </row>
    <row r="44">
      <c r="A44" t="inlineStr">
        <is>
          <t>Northeast</t>
        </is>
      </c>
      <c r="B44" t="inlineStr">
        <is>
          <t>System</t>
        </is>
      </c>
      <c r="C44" t="inlineStr">
        <is>
          <t>iGO</t>
        </is>
      </c>
      <c r="D44" t="inlineStr">
        <is>
          <t>MetLife</t>
        </is>
      </c>
      <c r="E44" t="inlineStr">
        <is>
          <t>03/31/2026</t>
        </is>
      </c>
      <c r="F44" t="n">
        <v>-12500</v>
      </c>
      <c r="G44" t="inlineStr">
        <is>
          <t>Credit</t>
        </is>
      </c>
      <c r="H44" t="n">
        <v>0</v>
      </c>
      <c r="I44" t="inlineStr">
        <is>
          <t>Q1 billing adjustment - approved by Controller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Department</t>
        </is>
      </c>
      <c r="B1" t="inlineStr">
        <is>
          <t>Category</t>
        </is>
      </c>
      <c r="C1" t="inlineStr">
        <is>
          <t>Vendor</t>
        </is>
      </c>
      <c r="D1" t="inlineStr">
        <is>
          <t>Invoice Date</t>
        </is>
      </c>
      <c r="E1" t="inlineStr">
        <is>
          <t>Amount</t>
        </is>
      </c>
      <c r="F1" t="inlineStr">
        <is>
          <t>Approved By</t>
        </is>
      </c>
      <c r="G1" t="inlineStr">
        <is>
          <t>PO Number</t>
        </is>
      </c>
    </row>
    <row r="2">
      <c r="A2" t="inlineStr">
        <is>
          <t>Engineering</t>
        </is>
      </c>
      <c r="B2" t="inlineStr">
        <is>
          <t>Cloud Infrastructure</t>
        </is>
      </c>
      <c r="C2" t="inlineStr">
        <is>
          <t>AWS</t>
        </is>
      </c>
      <c r="D2" t="inlineStr">
        <is>
          <t>01/10/2026</t>
        </is>
      </c>
      <c r="E2" t="n">
        <v>78000</v>
      </c>
      <c r="F2" t="inlineStr">
        <is>
          <t>T. Davis (CTO)</t>
        </is>
      </c>
      <c r="G2" t="inlineStr">
        <is>
          <t>PO-2026-001</t>
        </is>
      </c>
    </row>
    <row r="3">
      <c r="A3" t="inlineStr">
        <is>
          <t>Engineering</t>
        </is>
      </c>
      <c r="B3" t="inlineStr">
        <is>
          <t>Software Licenses</t>
        </is>
      </c>
      <c r="C3" t="inlineStr">
        <is>
          <t>GitHub Enterprise</t>
        </is>
      </c>
      <c r="D3" t="inlineStr">
        <is>
          <t>01/15/2026</t>
        </is>
      </c>
      <c r="E3" t="n">
        <v>22000</v>
      </c>
      <c r="F3" t="inlineStr">
        <is>
          <t>T. Davis (CTO)</t>
        </is>
      </c>
      <c r="G3" t="inlineStr">
        <is>
          <t>PO-2026-002</t>
        </is>
      </c>
    </row>
    <row r="4">
      <c r="A4" t="inlineStr">
        <is>
          <t>Engineering</t>
        </is>
      </c>
      <c r="B4" t="inlineStr">
        <is>
          <t>Hardware</t>
        </is>
      </c>
      <c r="C4" t="inlineStr">
        <is>
          <t>Dell Technologies</t>
        </is>
      </c>
      <c r="D4" t="inlineStr">
        <is>
          <t>02/08/2026</t>
        </is>
      </c>
      <c r="E4" t="n">
        <v>45000</v>
      </c>
      <c r="F4" t="inlineStr">
        <is>
          <t>T. Davis (CTO)</t>
        </is>
      </c>
      <c r="G4" t="inlineStr">
        <is>
          <t>PO-2026-003</t>
        </is>
      </c>
    </row>
    <row r="5">
      <c r="A5" t="inlineStr">
        <is>
          <t>Engineering</t>
        </is>
      </c>
      <c r="B5" t="inlineStr">
        <is>
          <t>Consulting</t>
        </is>
      </c>
      <c r="C5" t="inlineStr">
        <is>
          <t>Deloitte</t>
        </is>
      </c>
      <c r="D5" t="inlineStr">
        <is>
          <t>03/01/2026</t>
        </is>
      </c>
      <c r="E5" t="n">
        <v>125000</v>
      </c>
      <c r="F5" t="inlineStr">
        <is>
          <t>Pending</t>
        </is>
      </c>
      <c r="G5" t="inlineStr">
        <is>
          <t>PO-2026-004</t>
        </is>
      </c>
    </row>
    <row r="6">
      <c r="A6" t="inlineStr">
        <is>
          <t>Marketing</t>
        </is>
      </c>
      <c r="B6" t="inlineStr">
        <is>
          <t>Digital Advertising</t>
        </is>
      </c>
      <c r="C6" t="inlineStr">
        <is>
          <t>Google Ads</t>
        </is>
      </c>
      <c r="D6" t="inlineStr">
        <is>
          <t>01/20/2026</t>
        </is>
      </c>
      <c r="E6" t="n">
        <v>35000</v>
      </c>
      <c r="F6" t="inlineStr">
        <is>
          <t>R. Patel (Controller)</t>
        </is>
      </c>
      <c r="G6" t="inlineStr">
        <is>
          <t>PO-2026-005</t>
        </is>
      </c>
    </row>
    <row r="7">
      <c r="A7" t="inlineStr">
        <is>
          <t>Marketing</t>
        </is>
      </c>
      <c r="B7" t="inlineStr">
        <is>
          <t>Events &amp; Conferences</t>
        </is>
      </c>
      <c r="C7" t="inlineStr">
        <is>
          <t>Reed Exhibitions</t>
        </is>
      </c>
      <c r="D7" t="inlineStr">
        <is>
          <t>02/05/2026</t>
        </is>
      </c>
      <c r="E7" t="n">
        <v>18000</v>
      </c>
      <c r="F7" t="inlineStr">
        <is>
          <t>R. Patel (Controller)</t>
        </is>
      </c>
      <c r="G7" t="inlineStr">
        <is>
          <t>PO-2026-006</t>
        </is>
      </c>
    </row>
    <row r="8">
      <c r="A8" t="inlineStr">
        <is>
          <t>Marketing</t>
        </is>
      </c>
      <c r="B8" t="inlineStr">
        <is>
          <t>Marketing Software</t>
        </is>
      </c>
      <c r="C8" t="inlineStr">
        <is>
          <t>HubSpot</t>
        </is>
      </c>
      <c r="D8" t="inlineStr">
        <is>
          <t>02/15/2026</t>
        </is>
      </c>
      <c r="E8" t="n">
        <v>15000</v>
      </c>
      <c r="F8" t="inlineStr">
        <is>
          <t>R. Patel (Controller)</t>
        </is>
      </c>
      <c r="G8" t="inlineStr">
        <is>
          <t>PO-2026-007</t>
        </is>
      </c>
    </row>
    <row r="9">
      <c r="A9" t="inlineStr">
        <is>
          <t>Sales</t>
        </is>
      </c>
      <c r="B9" t="inlineStr">
        <is>
          <t>Travel</t>
        </is>
      </c>
      <c r="C9" t="inlineStr">
        <is>
          <t>Delta Airlines</t>
        </is>
      </c>
      <c r="D9" t="inlineStr">
        <is>
          <t>01/22/2026</t>
        </is>
      </c>
      <c r="E9" t="n">
        <v>8900</v>
      </c>
      <c r="F9" t="inlineStr">
        <is>
          <t>M. Lee (VP Ops)</t>
        </is>
      </c>
      <c r="G9" t="inlineStr">
        <is>
          <t>PO-2026-008</t>
        </is>
      </c>
    </row>
    <row r="10">
      <c r="A10" t="inlineStr">
        <is>
          <t>Sales</t>
        </is>
      </c>
      <c r="B10" t="inlineStr">
        <is>
          <t>Sales Tools</t>
        </is>
      </c>
      <c r="C10" t="inlineStr">
        <is>
          <t>Salesforce</t>
        </is>
      </c>
      <c r="D10" t="inlineStr">
        <is>
          <t>02/01/2026</t>
        </is>
      </c>
      <c r="E10" t="n">
        <v>45000</v>
      </c>
      <c r="F10" t="inlineStr">
        <is>
          <t>J. Smith (CFO)</t>
        </is>
      </c>
      <c r="G10" t="inlineStr">
        <is>
          <t>PO-2026-009</t>
        </is>
      </c>
    </row>
    <row r="11">
      <c r="A11" t="inlineStr">
        <is>
          <t>Sales</t>
        </is>
      </c>
      <c r="B11" t="inlineStr">
        <is>
          <t>Entertainment</t>
        </is>
      </c>
      <c r="C11" t="inlineStr">
        <is>
          <t>Client Events</t>
        </is>
      </c>
      <c r="D11" t="inlineStr">
        <is>
          <t>02/18/2026</t>
        </is>
      </c>
      <c r="E11" t="n">
        <v>5600</v>
      </c>
      <c r="F11" t="inlineStr">
        <is>
          <t>M. Lee (VP Ops)</t>
        </is>
      </c>
      <c r="G11" t="inlineStr">
        <is>
          <t>PO-2026-010</t>
        </is>
      </c>
    </row>
    <row r="12">
      <c r="A12" t="inlineStr">
        <is>
          <t>Sales</t>
        </is>
      </c>
      <c r="B12" t="inlineStr">
        <is>
          <t>Training</t>
        </is>
      </c>
      <c r="C12" t="inlineStr">
        <is>
          <t>Sandler Training</t>
        </is>
      </c>
      <c r="D12" t="inlineStr">
        <is>
          <t>03/10/2026</t>
        </is>
      </c>
      <c r="E12" t="n">
        <v>12500</v>
      </c>
      <c r="F12" t="inlineStr">
        <is>
          <t>M. Lee (VP Ops)</t>
        </is>
      </c>
      <c r="G12" t="inlineStr">
        <is>
          <t>PO-2026-011</t>
        </is>
      </c>
    </row>
    <row r="13">
      <c r="A13" t="inlineStr">
        <is>
          <t>Finance</t>
        </is>
      </c>
      <c r="B13" t="inlineStr">
        <is>
          <t>Audit &amp; Tax</t>
        </is>
      </c>
      <c r="C13" t="inlineStr">
        <is>
          <t>KPMG</t>
        </is>
      </c>
      <c r="D13" t="inlineStr">
        <is>
          <t>01/30/2026</t>
        </is>
      </c>
      <c r="E13" t="n">
        <v>85000</v>
      </c>
      <c r="F13" t="inlineStr">
        <is>
          <t>J. Smith (CFO)</t>
        </is>
      </c>
      <c r="G13" t="inlineStr">
        <is>
          <t>PO-2026-012</t>
        </is>
      </c>
    </row>
    <row r="14">
      <c r="A14" t="inlineStr">
        <is>
          <t>Finance</t>
        </is>
      </c>
      <c r="B14" t="inlineStr">
        <is>
          <t>Financial Software</t>
        </is>
      </c>
      <c r="C14" t="inlineStr">
        <is>
          <t>Workday</t>
        </is>
      </c>
      <c r="D14" t="inlineStr">
        <is>
          <t>02/20/2026</t>
        </is>
      </c>
      <c r="E14" t="n">
        <v>18000</v>
      </c>
      <c r="F14" t="inlineStr">
        <is>
          <t>J. Smith (CFO)</t>
        </is>
      </c>
      <c r="G14" t="inlineStr">
        <is>
          <t>PO-2026-013</t>
        </is>
      </c>
    </row>
    <row r="15">
      <c r="A15" t="inlineStr">
        <is>
          <t>HR</t>
        </is>
      </c>
      <c r="B15" t="inlineStr">
        <is>
          <t>Recruiting</t>
        </is>
      </c>
      <c r="C15" t="inlineStr">
        <is>
          <t>LinkedIn Recruiter</t>
        </is>
      </c>
      <c r="D15" t="inlineStr">
        <is>
          <t>01/25/2026</t>
        </is>
      </c>
      <c r="E15" t="n">
        <v>15000</v>
      </c>
      <c r="F15" t="inlineStr">
        <is>
          <t>M. Lee (VP Ops)</t>
        </is>
      </c>
      <c r="G15" t="inlineStr">
        <is>
          <t>PO-2026-014</t>
        </is>
      </c>
    </row>
    <row r="16">
      <c r="A16" t="inlineStr">
        <is>
          <t>HR</t>
        </is>
      </c>
      <c r="B16" t="inlineStr">
        <is>
          <t>Training &amp; Development</t>
        </is>
      </c>
      <c r="C16" t="inlineStr">
        <is>
          <t>Udemy Business</t>
        </is>
      </c>
      <c r="D16" t="inlineStr">
        <is>
          <t>02/12/2026</t>
        </is>
      </c>
      <c r="E16" t="n">
        <v>5600</v>
      </c>
      <c r="F16" t="inlineStr">
        <is>
          <t>M. Lee (VP Ops)</t>
        </is>
      </c>
      <c r="G16" t="inlineStr">
        <is>
          <t>PO-2026-015</t>
        </is>
      </c>
    </row>
    <row r="17">
      <c r="A17" t="inlineStr">
        <is>
          <t>HR</t>
        </is>
      </c>
      <c r="B17" t="inlineStr">
        <is>
          <t>Benefits Administration</t>
        </is>
      </c>
      <c r="C17" t="inlineStr">
        <is>
          <t>ADP</t>
        </is>
      </c>
      <c r="D17" t="inlineStr">
        <is>
          <t>03/05/2026</t>
        </is>
      </c>
      <c r="E17" t="n">
        <v>8900</v>
      </c>
      <c r="F17" t="inlineStr">
        <is>
          <t>M. Lee (VP Ops)</t>
        </is>
      </c>
      <c r="G17" t="inlineStr">
        <is>
          <t>PO-2026-016</t>
        </is>
      </c>
    </row>
    <row r="18">
      <c r="A18" t="inlineStr">
        <is>
          <t>Operations</t>
        </is>
      </c>
      <c r="B18" t="inlineStr">
        <is>
          <t>Facilities</t>
        </is>
      </c>
      <c r="C18" t="inlineStr">
        <is>
          <t>WeWork</t>
        </is>
      </c>
      <c r="D18" t="inlineStr">
        <is>
          <t>01/05/2026</t>
        </is>
      </c>
      <c r="E18" t="n">
        <v>95000</v>
      </c>
      <c r="F18" t="inlineStr">
        <is>
          <t>M. Lee (VP Ops)</t>
        </is>
      </c>
      <c r="G18" t="inlineStr">
        <is>
          <t>PO-2026-017</t>
        </is>
      </c>
    </row>
    <row r="19">
      <c r="A19" t="inlineStr">
        <is>
          <t>Operations</t>
        </is>
      </c>
      <c r="B19" t="inlineStr">
        <is>
          <t>Security</t>
        </is>
      </c>
      <c r="C19" t="inlineStr">
        <is>
          <t>CrowdStrike</t>
        </is>
      </c>
      <c r="D19" t="inlineStr">
        <is>
          <t>02/10/2026</t>
        </is>
      </c>
      <c r="E19" t="n">
        <v>22000</v>
      </c>
      <c r="F19" t="inlineStr">
        <is>
          <t>T. Davis (CTO)</t>
        </is>
      </c>
      <c r="G19" t="inlineStr">
        <is>
          <t>PO-2026-018</t>
        </is>
      </c>
    </row>
    <row r="20">
      <c r="A20" t="inlineStr">
        <is>
          <t>Operations</t>
        </is>
      </c>
      <c r="B20" t="inlineStr">
        <is>
          <t>Telecommunications</t>
        </is>
      </c>
      <c r="C20" t="inlineStr">
        <is>
          <t>Verizon</t>
        </is>
      </c>
      <c r="D20" t="inlineStr">
        <is>
          <t>03/01/2026</t>
        </is>
      </c>
      <c r="E20" t="n">
        <v>8500</v>
      </c>
      <c r="F20" t="inlineStr">
        <is>
          <t>M. Lee (VP Ops)</t>
        </is>
      </c>
      <c r="G20" t="inlineStr">
        <is>
          <t>PO-2026-019</t>
        </is>
      </c>
    </row>
    <row r="21">
      <c r="A21" t="inlineStr">
        <is>
          <t>Legal</t>
        </is>
      </c>
      <c r="B21" t="inlineStr">
        <is>
          <t>Outside Counsel</t>
        </is>
      </c>
      <c r="C21" t="inlineStr">
        <is>
          <t>Baker McKenzie</t>
        </is>
      </c>
      <c r="D21" t="inlineStr">
        <is>
          <t>01/18/2026</t>
        </is>
      </c>
      <c r="E21" t="n">
        <v>45000</v>
      </c>
      <c r="F21" t="inlineStr">
        <is>
          <t>J. Smith (CFO)</t>
        </is>
      </c>
      <c r="G21" t="inlineStr">
        <is>
          <t>PO-2026-020</t>
        </is>
      </c>
    </row>
    <row r="22">
      <c r="A22" t="inlineStr">
        <is>
          <t>Legal</t>
        </is>
      </c>
      <c r="B22" t="inlineStr">
        <is>
          <t>Compliance</t>
        </is>
      </c>
      <c r="C22" t="inlineStr">
        <is>
          <t>OneTrust</t>
        </is>
      </c>
      <c r="D22" t="inlineStr">
        <is>
          <t>02/25/2026</t>
        </is>
      </c>
      <c r="E22" t="n">
        <v>12500</v>
      </c>
      <c r="F22" t="inlineStr">
        <is>
          <t>R. Patel (Controller)</t>
        </is>
      </c>
      <c r="G22" t="inlineStr">
        <is>
          <t>PO-2026-021</t>
        </is>
      </c>
    </row>
    <row r="23">
      <c r="A23" t="inlineStr">
        <is>
          <t>Engineering</t>
        </is>
      </c>
      <c r="B23" t="inlineStr">
        <is>
          <t>Cloud Infrastructure</t>
        </is>
      </c>
      <c r="C23" t="inlineStr">
        <is>
          <t>Azure</t>
        </is>
      </c>
      <c r="D23" t="inlineStr">
        <is>
          <t>03/15/2026</t>
        </is>
      </c>
      <c r="E23" t="n">
        <v>35000</v>
      </c>
      <c r="F23" t="inlineStr">
        <is>
          <t>T. Davis (CTO)</t>
        </is>
      </c>
      <c r="G23" t="inlineStr">
        <is>
          <t>PO-2026-022</t>
        </is>
      </c>
    </row>
    <row r="24">
      <c r="A24" t="inlineStr">
        <is>
          <t>Marketing</t>
        </is>
      </c>
      <c r="B24" t="inlineStr">
        <is>
          <t>Content Production</t>
        </is>
      </c>
      <c r="C24" t="inlineStr">
        <is>
          <t>Contently</t>
        </is>
      </c>
      <c r="D24" t="inlineStr">
        <is>
          <t>03/20/2026</t>
        </is>
      </c>
      <c r="E24" t="n">
        <v>8900</v>
      </c>
      <c r="F24" t="inlineStr">
        <is>
          <t>R. Patel (Controller)</t>
        </is>
      </c>
      <c r="G24" t="inlineStr">
        <is>
          <t>PO-2026-023</t>
        </is>
      </c>
    </row>
    <row r="25">
      <c r="A25" t="inlineStr">
        <is>
          <t>Engineering</t>
        </is>
      </c>
      <c r="B25" t="inlineStr">
        <is>
          <t>Software Licenses</t>
        </is>
      </c>
      <c r="C25" t="inlineStr">
        <is>
          <t>Datadog</t>
        </is>
      </c>
      <c r="D25" t="inlineStr">
        <is>
          <t>03/25/2026</t>
        </is>
      </c>
      <c r="E25" t="n">
        <v>18000</v>
      </c>
      <c r="F25" t="inlineStr">
        <is>
          <t>T. Davis (CTO)</t>
        </is>
      </c>
      <c r="G25" t="inlineStr">
        <is>
          <t>PO-2026-024</t>
        </is>
      </c>
    </row>
    <row r="26">
      <c r="A26" t="inlineStr">
        <is>
          <t>Engineering</t>
        </is>
      </c>
      <c r="B26" t="inlineStr">
        <is>
          <t>Software Licenses</t>
        </is>
      </c>
      <c r="C26" t="inlineStr">
        <is>
          <t>Snowflake</t>
        </is>
      </c>
      <c r="D26" t="inlineStr">
        <is>
          <t>03/28/2026</t>
        </is>
      </c>
      <c r="E26" t="n">
        <v>25000</v>
      </c>
      <c r="F26" t="inlineStr">
        <is>
          <t>T. Davis (CTO)</t>
        </is>
      </c>
      <c r="G26" t="inlineStr">
        <is>
          <t>PO-2026-025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2" customWidth="1" min="4" max="4"/>
    <col width="16" customWidth="1" min="5" max="5"/>
    <col width="14" customWidth="1" min="6" max="6"/>
    <col width="13" customWidth="1" min="7" max="7"/>
    <col width="14" customWidth="1" min="8" max="8"/>
    <col width="30" customWidth="1" min="9" max="9"/>
  </cols>
  <sheetData>
    <row r="1">
      <c r="A1" t="inlineStr">
        <is>
          <t>Region</t>
        </is>
      </c>
      <c r="B1" t="inlineStr">
        <is>
          <t>Sales Rep</t>
        </is>
      </c>
      <c r="C1" t="inlineStr">
        <is>
          <t>Product</t>
        </is>
      </c>
      <c r="D1" t="inlineStr">
        <is>
          <t>Customer</t>
        </is>
      </c>
      <c r="E1" t="inlineStr">
        <is>
          <t>Date</t>
        </is>
      </c>
      <c r="F1" t="inlineStr">
        <is>
          <t>Amount</t>
        </is>
      </c>
      <c r="G1" t="inlineStr">
        <is>
          <t>Status</t>
        </is>
      </c>
      <c r="H1" t="inlineStr">
        <is>
          <t>Commission %</t>
        </is>
      </c>
      <c r="I1" t="inlineStr">
        <is>
          <t>Notes</t>
        </is>
      </c>
    </row>
    <row r="2">
      <c r="A2" t="inlineStr">
        <is>
          <t>Northeast</t>
        </is>
      </c>
      <c r="B2" t="inlineStr">
        <is>
          <t>Sarah Mitchell</t>
        </is>
      </c>
      <c r="C2" t="inlineStr">
        <is>
          <t>InsureSight</t>
        </is>
      </c>
      <c r="D2" t="inlineStr">
        <is>
          <t>Pacific Life</t>
        </is>
      </c>
      <c r="E2" t="inlineStr">
        <is>
          <t>01/15/2026</t>
        </is>
      </c>
      <c r="F2" t="n">
        <v>48000</v>
      </c>
      <c r="G2" t="inlineStr">
        <is>
          <t>Closed Won</t>
        </is>
      </c>
      <c r="H2" t="n">
        <v>0.08</v>
      </c>
      <c r="I2" t="inlineStr">
        <is>
          <t>Expansion deal</t>
        </is>
      </c>
    </row>
    <row r="3">
      <c r="A3" t="inlineStr">
        <is>
          <t>International</t>
        </is>
      </c>
      <c r="B3" t="inlineStr">
        <is>
          <t>Jessica Patel</t>
        </is>
      </c>
      <c r="C3" t="inlineStr">
        <is>
          <t>iGO</t>
        </is>
      </c>
      <c r="D3" t="inlineStr">
        <is>
          <t>MetLife</t>
        </is>
      </c>
      <c r="E3" t="inlineStr">
        <is>
          <t>2026-01-08</t>
        </is>
      </c>
      <c r="F3" t="n">
        <v>47000</v>
      </c>
      <c r="G3" t="inlineStr">
        <is>
          <t>Closed Won</t>
        </is>
      </c>
      <c r="H3" t="n">
        <v>0.1</v>
      </c>
      <c r="I3" t="inlineStr">
        <is>
          <t>Enterprise renewal</t>
        </is>
      </c>
    </row>
    <row r="4">
      <c r="A4" t="inlineStr">
        <is>
          <t>International</t>
        </is>
      </c>
      <c r="B4" t="inlineStr">
        <is>
          <t>Michael Thompson</t>
        </is>
      </c>
      <c r="C4" t="inlineStr">
        <is>
          <t>DocFast</t>
        </is>
      </c>
      <c r="D4" t="inlineStr">
        <is>
          <t>Pacific Life</t>
        </is>
      </c>
      <c r="E4" t="inlineStr">
        <is>
          <t>Jan 12, 2026</t>
        </is>
      </c>
      <c r="F4" t="n">
        <v>175000</v>
      </c>
      <c r="G4" t="inlineStr">
        <is>
          <t>Pipeline</t>
        </is>
      </c>
      <c r="H4" t="n">
        <v>0.12</v>
      </c>
      <c r="I4" t="inlineStr">
        <is>
          <t>Enterprise renewal</t>
        </is>
      </c>
    </row>
    <row r="5">
      <c r="A5" t="inlineStr">
        <is>
          <t>Southeast</t>
        </is>
      </c>
      <c r="B5" t="inlineStr">
        <is>
          <t>Jessica Patel</t>
        </is>
      </c>
      <c r="C5" t="inlineStr">
        <is>
          <t>InsureSight</t>
        </is>
      </c>
      <c r="D5" t="inlineStr">
        <is>
          <t>Unum Group</t>
        </is>
      </c>
      <c r="E5" t="inlineStr">
        <is>
          <t>01/22/2026</t>
        </is>
      </c>
      <c r="F5" t="inlineStr">
        <is>
          <t>35000</t>
        </is>
      </c>
      <c r="G5" t="inlineStr">
        <is>
          <t>Closed Won</t>
        </is>
      </c>
      <c r="H5" t="n">
        <v>0.12</v>
      </c>
      <c r="I5" t="inlineStr">
        <is>
          <t>New logo</t>
        </is>
      </c>
    </row>
    <row r="6">
      <c r="A6" t="inlineStr">
        <is>
          <t>Northeast</t>
        </is>
      </c>
      <c r="B6" t="inlineStr">
        <is>
          <t>Jessica Patel</t>
        </is>
      </c>
      <c r="C6" t="inlineStr">
        <is>
          <t>iGO</t>
        </is>
      </c>
      <c r="D6" t="inlineStr">
        <is>
          <t>Guardian Life</t>
        </is>
      </c>
      <c r="E6" t="inlineStr">
        <is>
          <t>1/19/26</t>
        </is>
      </c>
      <c r="F6" t="n">
        <v>85000</v>
      </c>
      <c r="G6" t="inlineStr">
        <is>
          <t>Pipeline</t>
        </is>
      </c>
      <c r="H6" t="n">
        <v>0.12</v>
      </c>
      <c r="I6" t="inlineStr">
        <is>
          <t>UPDATED: Contract extended to 3 years</t>
        </is>
      </c>
    </row>
    <row r="7">
      <c r="A7" t="inlineStr">
        <is>
          <t>West</t>
        </is>
      </c>
      <c r="B7" t="inlineStr">
        <is>
          <t xml:space="preserve">Lisa Hernandez </t>
        </is>
      </c>
      <c r="C7" t="inlineStr">
        <is>
          <t>iGO</t>
        </is>
      </c>
      <c r="D7" t="inlineStr">
        <is>
          <t>Nationwide</t>
        </is>
      </c>
      <c r="E7" t="inlineStr">
        <is>
          <t>01/28/2026</t>
        </is>
      </c>
      <c r="F7" t="n">
        <v>7000</v>
      </c>
      <c r="G7" t="inlineStr">
        <is>
          <t>Pipeline</t>
        </is>
      </c>
      <c r="H7" t="n">
        <v>0.12</v>
      </c>
      <c r="I7" t="inlineStr">
        <is>
          <t>Q1 push</t>
        </is>
      </c>
    </row>
    <row r="8">
      <c r="A8" t="inlineStr">
        <is>
          <t>International</t>
        </is>
      </c>
      <c r="B8" t="inlineStr">
        <is>
          <t>Michael Thompson</t>
        </is>
      </c>
      <c r="C8" t="inlineStr">
        <is>
          <t>iGO</t>
        </is>
      </c>
      <c r="D8" t="inlineStr">
        <is>
          <t>Prudential</t>
        </is>
      </c>
      <c r="E8" t="inlineStr">
        <is>
          <t>2026-02-06</t>
        </is>
      </c>
      <c r="F8" t="n">
        <v>385000</v>
      </c>
      <c r="G8" t="inlineStr">
        <is>
          <t>Closed Won</t>
        </is>
      </c>
      <c r="H8" t="n">
        <v>0.12</v>
      </c>
      <c r="I8" t="inlineStr">
        <is>
          <t>Expansion deal</t>
        </is>
      </c>
    </row>
    <row r="9">
      <c r="A9" t="inlineStr">
        <is>
          <t>Southeast</t>
        </is>
      </c>
      <c r="B9" t="inlineStr">
        <is>
          <t>James Rodriguez</t>
        </is>
      </c>
      <c r="C9" t="inlineStr">
        <is>
          <t>DocFast</t>
        </is>
      </c>
      <c r="D9" t="inlineStr">
        <is>
          <t>Unum Group</t>
        </is>
      </c>
      <c r="E9" t="inlineStr">
        <is>
          <t>Feb 17 2026</t>
        </is>
      </c>
      <c r="F9" t="n">
        <v>175000</v>
      </c>
      <c r="G9" t="inlineStr">
        <is>
          <t>Closed Won</t>
        </is>
      </c>
      <c r="H9" t="n">
        <v>0.12</v>
      </c>
      <c r="I9" t="inlineStr">
        <is>
          <t>Competitive displacement</t>
        </is>
      </c>
    </row>
    <row r="10">
      <c r="G10" t="inlineStr">
        <is>
          <t>Pipeline</t>
        </is>
      </c>
    </row>
    <row r="11">
      <c r="A11" t="inlineStr">
        <is>
          <t>Midwest</t>
        </is>
      </c>
      <c r="B11" t="inlineStr">
        <is>
          <t>David Okafor</t>
        </is>
      </c>
      <c r="C11" t="inlineStr">
        <is>
          <t>Affirm</t>
        </is>
      </c>
      <c r="D11" t="inlineStr">
        <is>
          <t>Unum Group</t>
        </is>
      </c>
      <c r="E11" t="inlineStr">
        <is>
          <t>02/03/2026</t>
        </is>
      </c>
      <c r="F11" t="n">
        <v>450000</v>
      </c>
      <c r="G11" t="inlineStr">
        <is>
          <t>Closed Won</t>
        </is>
      </c>
      <c r="H11" t="n">
        <v>0.08</v>
      </c>
      <c r="I11" t="inlineStr">
        <is>
          <t>Competitive displacement</t>
        </is>
      </c>
    </row>
    <row r="12">
      <c r="A12" t="inlineStr">
        <is>
          <t>International</t>
        </is>
      </c>
      <c r="B12" t="inlineStr">
        <is>
          <t>Michael Thompson</t>
        </is>
      </c>
      <c r="C12" t="inlineStr">
        <is>
          <t>Affirm</t>
        </is>
      </c>
      <c r="D12" t="inlineStr">
        <is>
          <t>Voya Financial</t>
        </is>
      </c>
      <c r="E12" t="inlineStr">
        <is>
          <t>2/22/26</t>
        </is>
      </c>
      <c r="F12" t="n">
        <v>165000</v>
      </c>
      <c r="G12" t="inlineStr">
        <is>
          <t>Closed Won</t>
        </is>
      </c>
      <c r="H12" t="n">
        <v>0.15</v>
      </c>
      <c r="I12" t="inlineStr">
        <is>
          <t>RFP winner</t>
        </is>
      </c>
    </row>
    <row r="13">
      <c r="A13" t="inlineStr">
        <is>
          <t>Midwest</t>
        </is>
      </c>
      <c r="B13" t="inlineStr">
        <is>
          <t>Sarah Mitchell</t>
        </is>
      </c>
      <c r="C13" t="inlineStr">
        <is>
          <t>Affirm</t>
        </is>
      </c>
      <c r="D13" t="inlineStr">
        <is>
          <t>Prudential</t>
        </is>
      </c>
      <c r="E13" t="inlineStr">
        <is>
          <t>02/10/2026</t>
        </is>
      </c>
      <c r="F13" t="n">
        <v>85000</v>
      </c>
      <c r="G13" t="inlineStr">
        <is>
          <t>Pending</t>
        </is>
      </c>
      <c r="H13" t="n">
        <v>0.12</v>
      </c>
      <c r="I13" t="inlineStr">
        <is>
          <t>Expansion deal</t>
        </is>
      </c>
    </row>
    <row r="14">
      <c r="A14" t="inlineStr">
        <is>
          <t>Southeast</t>
        </is>
      </c>
      <c r="B14" t="inlineStr">
        <is>
          <t>Chris Morrison</t>
        </is>
      </c>
      <c r="C14" t="inlineStr">
        <is>
          <t>InsureSight</t>
        </is>
      </c>
      <c r="D14" t="inlineStr">
        <is>
          <t>Transamerica</t>
        </is>
      </c>
      <c r="E14" t="inlineStr">
        <is>
          <t>02/14/2026</t>
        </is>
      </c>
      <c r="F14" t="n">
        <v>385000</v>
      </c>
      <c r="G14" t="inlineStr">
        <is>
          <t>Pending</t>
        </is>
      </c>
      <c r="H14" t="n">
        <v>0.14</v>
      </c>
      <c r="I14" t="inlineStr">
        <is>
          <t>Annual subscription</t>
        </is>
      </c>
    </row>
    <row r="15">
      <c r="A15" t="inlineStr">
        <is>
          <t>Southeast</t>
        </is>
      </c>
      <c r="B15" t="inlineStr">
        <is>
          <t>Rachel Kim</t>
        </is>
      </c>
      <c r="C15" t="inlineStr">
        <is>
          <t>Affirm</t>
        </is>
      </c>
      <c r="D15" t="inlineStr">
        <is>
          <t>Pacific Life</t>
        </is>
      </c>
      <c r="E15" t="inlineStr">
        <is>
          <t>2026-03-03</t>
        </is>
      </c>
      <c r="F15" t="n">
        <v>450000</v>
      </c>
      <c r="G15" t="inlineStr">
        <is>
          <t>Pipeline</t>
        </is>
      </c>
      <c r="H15" t="n">
        <v>0.15</v>
      </c>
      <c r="I15">
        <f>VLOOKUP("missing_ref",A1:A5,1,FALSE)</f>
        <v/>
      </c>
    </row>
    <row r="16">
      <c r="A16" t="inlineStr">
        <is>
          <t>Southeast</t>
        </is>
      </c>
      <c r="B16" t="inlineStr">
        <is>
          <t>Rachel Kim</t>
        </is>
      </c>
      <c r="C16" t="inlineStr">
        <is>
          <t>Affirm</t>
        </is>
      </c>
      <c r="D16" t="inlineStr">
        <is>
          <t>Pacific Life</t>
        </is>
      </c>
      <c r="E16" t="inlineStr">
        <is>
          <t>2026-03-03</t>
        </is>
      </c>
      <c r="F16" t="inlineStr">
        <is>
          <t>450000</t>
        </is>
      </c>
      <c r="G16" t="inlineStr">
        <is>
          <t>Pipeline</t>
        </is>
      </c>
      <c r="H16" t="n">
        <v>0.15</v>
      </c>
      <c r="I16" t="inlineStr">
        <is>
          <t>Channel partner referral</t>
        </is>
      </c>
    </row>
    <row r="17">
      <c r="A17" t="inlineStr">
        <is>
          <t>International</t>
        </is>
      </c>
      <c r="B17" t="inlineStr">
        <is>
          <t>Jessica Patel</t>
        </is>
      </c>
      <c r="C17" t="inlineStr">
        <is>
          <t>DocFast</t>
        </is>
      </c>
      <c r="D17" t="inlineStr">
        <is>
          <t>Guardian Life</t>
        </is>
      </c>
      <c r="E17" t="inlineStr">
        <is>
          <t>Mar 8 2026</t>
        </is>
      </c>
      <c r="F17" t="n">
        <v>48000</v>
      </c>
      <c r="G17" t="inlineStr">
        <is>
          <t>Closed Won</t>
        </is>
      </c>
      <c r="H17" t="n">
        <v>0.15</v>
      </c>
      <c r="I17" t="inlineStr"/>
    </row>
    <row r="18">
      <c r="A18" t="inlineStr">
        <is>
          <t>Northeast</t>
        </is>
      </c>
      <c r="B18" t="inlineStr">
        <is>
          <t>Sarah Mitchell</t>
        </is>
      </c>
      <c r="C18" t="inlineStr">
        <is>
          <t>iGO</t>
        </is>
      </c>
      <c r="D18" t="inlineStr">
        <is>
          <t>MassMutual</t>
        </is>
      </c>
      <c r="E18" t="inlineStr">
        <is>
          <t>02/19/2026</t>
        </is>
      </c>
      <c r="F18" t="n">
        <v>385000</v>
      </c>
      <c r="G18" t="inlineStr">
        <is>
          <t>Closed Won</t>
        </is>
      </c>
      <c r="H18" t="n">
        <v>0.14</v>
      </c>
      <c r="I18" t="inlineStr">
        <is>
          <t>Expansion deal</t>
        </is>
      </c>
    </row>
    <row r="19">
      <c r="A19" t="inlineStr">
        <is>
          <t>West</t>
        </is>
      </c>
      <c r="B19" t="inlineStr">
        <is>
          <t>Jessica Patel</t>
        </is>
      </c>
      <c r="C19" t="inlineStr">
        <is>
          <t>DocFast</t>
        </is>
      </c>
      <c r="D19" t="inlineStr">
        <is>
          <t>Mutual of Omaha</t>
        </is>
      </c>
      <c r="E19" t="inlineStr">
        <is>
          <t>02/25/2026</t>
        </is>
      </c>
      <c r="F19" t="n">
        <v>67000</v>
      </c>
      <c r="G19" t="inlineStr">
        <is>
          <t>Pipeline</t>
        </is>
      </c>
      <c r="H19" t="n">
        <v>0.08</v>
      </c>
      <c r="I19" t="inlineStr">
        <is>
          <t>New logo</t>
        </is>
      </c>
    </row>
    <row r="20">
      <c r="A20" t="inlineStr">
        <is>
          <t>International</t>
        </is>
      </c>
      <c r="B20" t="inlineStr">
        <is>
          <t>Rachel Kim</t>
        </is>
      </c>
      <c r="C20" t="inlineStr">
        <is>
          <t>InsureSight</t>
        </is>
      </c>
      <c r="D20" t="inlineStr">
        <is>
          <t>Northwestern Mutual</t>
        </is>
      </c>
      <c r="E20" t="inlineStr">
        <is>
          <t>3/14/26</t>
        </is>
      </c>
      <c r="F20" t="n">
        <v>67000</v>
      </c>
      <c r="G20" t="inlineStr">
        <is>
          <t>Closed Won</t>
        </is>
      </c>
      <c r="H20" t="n">
        <v>0.1</v>
      </c>
      <c r="I20" t="inlineStr">
        <is>
          <t>Annual subscription</t>
        </is>
      </c>
    </row>
    <row r="21"/>
    <row r="22">
      <c r="A22" t="inlineStr">
        <is>
          <t>Northeast</t>
        </is>
      </c>
      <c r="B22" t="inlineStr">
        <is>
          <t>Rachel Kim</t>
        </is>
      </c>
      <c r="C22" t="inlineStr">
        <is>
          <t>Affirm</t>
        </is>
      </c>
      <c r="D22" t="inlineStr">
        <is>
          <t>Mutual of Omaha</t>
        </is>
      </c>
      <c r="E22" t="inlineStr">
        <is>
          <t>03/01/2026</t>
        </is>
      </c>
      <c r="F22" t="n">
        <v>22000</v>
      </c>
      <c r="G22" t="inlineStr">
        <is>
          <t>Closed Won</t>
        </is>
      </c>
      <c r="H22" t="n">
        <v>0.12</v>
      </c>
      <c r="I22" t="inlineStr">
        <is>
          <t>POC converted</t>
        </is>
      </c>
    </row>
    <row r="23">
      <c r="A23" t="inlineStr">
        <is>
          <t>Southeast</t>
        </is>
      </c>
      <c r="B23" t="inlineStr">
        <is>
          <t>David Okafor</t>
        </is>
      </c>
      <c r="C23" t="inlineStr">
        <is>
          <t>Affirm</t>
        </is>
      </c>
      <c r="D23" t="inlineStr">
        <is>
          <t>Securian Financial</t>
        </is>
      </c>
      <c r="E23" t="inlineStr">
        <is>
          <t>03/05/2026</t>
        </is>
      </c>
      <c r="F23" t="n">
        <v>225000</v>
      </c>
      <c r="G23" t="inlineStr">
        <is>
          <t>Closed Won</t>
        </is>
      </c>
      <c r="H23" t="n">
        <v>0.15</v>
      </c>
      <c r="I23" t="inlineStr">
        <is>
          <t>Fast close</t>
        </is>
      </c>
    </row>
    <row r="24">
      <c r="A24" t="inlineStr">
        <is>
          <t>West</t>
        </is>
      </c>
      <c r="B24" t="inlineStr">
        <is>
          <t>Sarah Mitchell</t>
        </is>
      </c>
      <c r="C24" t="inlineStr">
        <is>
          <t>iGO</t>
        </is>
      </c>
      <c r="D24" t="inlineStr">
        <is>
          <t>Guardian Life</t>
        </is>
      </c>
      <c r="E24" t="inlineStr">
        <is>
          <t>2026-03-20</t>
        </is>
      </c>
      <c r="F24" t="n">
        <v>67000</v>
      </c>
      <c r="G24" t="inlineStr">
        <is>
          <t>Closed Won</t>
        </is>
      </c>
      <c r="H24" t="n">
        <v>0.08</v>
      </c>
      <c r="I24" t="inlineStr">
        <is>
          <t>RFP winner</t>
        </is>
      </c>
    </row>
    <row r="25">
      <c r="A25" t="inlineStr">
        <is>
          <t>International</t>
        </is>
      </c>
      <c r="B25" t="inlineStr">
        <is>
          <t>James Rodriguez</t>
        </is>
      </c>
      <c r="C25" t="inlineStr">
        <is>
          <t>iGO</t>
        </is>
      </c>
      <c r="D25" t="inlineStr">
        <is>
          <t>Equitable Holdings</t>
        </is>
      </c>
      <c r="E25" t="inlineStr">
        <is>
          <t>03/11/2026</t>
        </is>
      </c>
      <c r="F25" t="n">
        <v>22000</v>
      </c>
      <c r="G25" t="inlineStr">
        <is>
          <t>Pipeline</t>
        </is>
      </c>
      <c r="H25" t="n">
        <v>0.1</v>
      </c>
      <c r="I25" t="inlineStr">
        <is>
          <t>REVISED: Pricing renegotiated per Q1 review</t>
        </is>
      </c>
    </row>
    <row r="26">
      <c r="A26" t="inlineStr">
        <is>
          <t>West</t>
        </is>
      </c>
      <c r="B26" t="inlineStr">
        <is>
          <t xml:space="preserve">Lisa Hernandez </t>
        </is>
      </c>
      <c r="C26" t="inlineStr">
        <is>
          <t>Affirm</t>
        </is>
      </c>
      <c r="D26" t="inlineStr">
        <is>
          <t>Unum Group</t>
        </is>
      </c>
      <c r="E26" t="inlineStr">
        <is>
          <t>Mar 26, 2026</t>
        </is>
      </c>
      <c r="F26" t="n">
        <v>225000</v>
      </c>
      <c r="G26" t="inlineStr">
        <is>
          <t>Pipeline</t>
        </is>
      </c>
      <c r="H26" t="n">
        <v>0.14</v>
      </c>
      <c r="I26" t="inlineStr">
        <is>
          <t>POC converted</t>
        </is>
      </c>
    </row>
    <row r="27">
      <c r="A27" t="inlineStr">
        <is>
          <t>International</t>
        </is>
      </c>
      <c r="B27" t="inlineStr">
        <is>
          <t>Michael Thompson</t>
        </is>
      </c>
      <c r="C27" t="inlineStr">
        <is>
          <t>InsureSight</t>
        </is>
      </c>
      <c r="D27" t="inlineStr">
        <is>
          <t>Nationwide</t>
        </is>
      </c>
      <c r="E27" t="inlineStr">
        <is>
          <t>03/15/2026</t>
        </is>
      </c>
      <c r="F27" t="n">
        <v>385000</v>
      </c>
      <c r="G27" t="inlineStr">
        <is>
          <t>Closed Won</t>
        </is>
      </c>
      <c r="H27" t="n">
        <v>0.12</v>
      </c>
      <c r="I27" t="inlineStr">
        <is>
          <t>Annual subscription</t>
        </is>
      </c>
    </row>
    <row r="28">
      <c r="A28" t="inlineStr">
        <is>
          <t>International</t>
        </is>
      </c>
      <c r="B28" t="inlineStr">
        <is>
          <t xml:space="preserve"> Andrew Walsh</t>
        </is>
      </c>
      <c r="C28" t="inlineStr">
        <is>
          <t>iGO</t>
        </is>
      </c>
      <c r="D28" t="inlineStr">
        <is>
          <t>Pacific Life</t>
        </is>
      </c>
      <c r="E28" t="inlineStr">
        <is>
          <t>3/30/26</t>
        </is>
      </c>
      <c r="F28" t="inlineStr">
        <is>
          <t>48000</t>
        </is>
      </c>
      <c r="G28" t="inlineStr">
        <is>
          <t>Closed Won</t>
        </is>
      </c>
      <c r="H28" t="n">
        <v>0.12</v>
      </c>
      <c r="I28" t="inlineStr">
        <is>
          <t>Enterprise renewal</t>
        </is>
      </c>
    </row>
    <row r="29">
      <c r="A29" t="inlineStr">
        <is>
          <t>International</t>
        </is>
      </c>
      <c r="B29" t="inlineStr">
        <is>
          <t xml:space="preserve">Lisa Hernandez </t>
        </is>
      </c>
      <c r="C29" t="inlineStr">
        <is>
          <t>Affirm</t>
        </is>
      </c>
      <c r="D29" t="inlineStr">
        <is>
          <t>Pacific Life</t>
        </is>
      </c>
      <c r="E29" t="inlineStr">
        <is>
          <t>03/18/2026</t>
        </is>
      </c>
      <c r="F29" t="n">
        <v>15000</v>
      </c>
      <c r="G29" t="inlineStr">
        <is>
          <t>Closed Won</t>
        </is>
      </c>
      <c r="H29" t="n">
        <v>0.08</v>
      </c>
      <c r="I29" t="inlineStr">
        <is>
          <t>RFP winner</t>
        </is>
      </c>
    </row>
    <row r="30">
      <c r="A30" t="inlineStr">
        <is>
          <t>Northeast</t>
        </is>
      </c>
      <c r="B30" t="inlineStr">
        <is>
          <t>Sarah Mitchell</t>
        </is>
      </c>
      <c r="C30" t="inlineStr">
        <is>
          <t>InsureSight</t>
        </is>
      </c>
      <c r="D30" t="inlineStr">
        <is>
          <t>New York Life</t>
        </is>
      </c>
      <c r="E30" t="inlineStr">
        <is>
          <t>03/15/2026</t>
        </is>
      </c>
      <c r="F30" t="n">
        <v>225000</v>
      </c>
      <c r="G30" t="inlineStr">
        <is>
          <t>Closed Won</t>
        </is>
      </c>
      <c r="H30" t="n">
        <v>0.12</v>
      </c>
      <c r="I30" t="inlineStr"/>
    </row>
    <row r="31">
      <c r="A31" t="inlineStr">
        <is>
          <t>Southeast</t>
        </is>
      </c>
      <c r="B31" t="inlineStr">
        <is>
          <t xml:space="preserve">Lisa Hernandez </t>
        </is>
      </c>
      <c r="C31" t="inlineStr">
        <is>
          <t>Affirm</t>
        </is>
      </c>
      <c r="D31" t="inlineStr">
        <is>
          <t>Equitable Holdings</t>
        </is>
      </c>
      <c r="E31" t="inlineStr">
        <is>
          <t>03/25/2026</t>
        </is>
      </c>
      <c r="F31" t="n">
        <v>48000</v>
      </c>
      <c r="G31" t="inlineStr">
        <is>
          <t>Pending</t>
        </is>
      </c>
      <c r="H31" t="n">
        <v>0.14</v>
      </c>
      <c r="I31" t="inlineStr">
        <is>
          <t>POC converted</t>
        </is>
      </c>
    </row>
    <row r="32">
      <c r="A32" t="inlineStr">
        <is>
          <t>Northeast</t>
        </is>
      </c>
      <c r="B32" t="inlineStr">
        <is>
          <t>James Rodriguez</t>
        </is>
      </c>
      <c r="C32" t="inlineStr">
        <is>
          <t>DocFast</t>
        </is>
      </c>
      <c r="D32" t="inlineStr">
        <is>
          <t>Guardian Life</t>
        </is>
      </c>
      <c r="E32" t="inlineStr">
        <is>
          <t>03/28/2026</t>
        </is>
      </c>
      <c r="F32" t="n">
        <v>125000</v>
      </c>
      <c r="G32" t="inlineStr">
        <is>
          <t>Pending</t>
        </is>
      </c>
      <c r="H32" t="n">
        <v>0.14</v>
      </c>
      <c r="I32" t="inlineStr">
        <is>
          <t>Multi-year contract</t>
        </is>
      </c>
    </row>
    <row r="33"/>
    <row r="34">
      <c r="A34" t="inlineStr">
        <is>
          <t>Northeast</t>
        </is>
      </c>
      <c r="B34" t="inlineStr">
        <is>
          <t>Sarah Mitchell</t>
        </is>
      </c>
      <c r="C34" t="inlineStr">
        <is>
          <t>DocFast</t>
        </is>
      </c>
      <c r="D34" t="inlineStr">
        <is>
          <t>Principal Financial</t>
        </is>
      </c>
      <c r="E34" t="inlineStr">
        <is>
          <t>01/15/2026</t>
        </is>
      </c>
      <c r="F34" t="n">
        <v>22000</v>
      </c>
      <c r="G34" t="inlineStr">
        <is>
          <t>Closed Won</t>
        </is>
      </c>
      <c r="H34" t="n">
        <v>0.1</v>
      </c>
      <c r="I34" t="inlineStr">
        <is>
          <t>POC converted</t>
        </is>
      </c>
    </row>
    <row r="35">
      <c r="A35" t="inlineStr">
        <is>
          <t>International</t>
        </is>
      </c>
      <c r="B35" t="inlineStr">
        <is>
          <t xml:space="preserve"> Andrew Walsh</t>
        </is>
      </c>
      <c r="C35" t="inlineStr">
        <is>
          <t>Affirm</t>
        </is>
      </c>
      <c r="D35" t="inlineStr">
        <is>
          <t>Hartford Financial</t>
        </is>
      </c>
      <c r="E35" t="inlineStr">
        <is>
          <t>2026-01-08</t>
        </is>
      </c>
      <c r="F35" t="n">
        <v>35000</v>
      </c>
      <c r="G35" t="inlineStr">
        <is>
          <t>Closed Won</t>
        </is>
      </c>
      <c r="H35" t="n">
        <v>0.14</v>
      </c>
      <c r="I35" t="inlineStr">
        <is>
          <t>RFP winner</t>
        </is>
      </c>
    </row>
    <row r="36">
      <c r="A36" t="inlineStr">
        <is>
          <t>Northeast</t>
        </is>
      </c>
      <c r="B36" t="inlineStr">
        <is>
          <t xml:space="preserve"> Andrew Walsh</t>
        </is>
      </c>
      <c r="C36" t="inlineStr">
        <is>
          <t>iGO</t>
        </is>
      </c>
      <c r="D36" t="inlineStr">
        <is>
          <t>Prudential</t>
        </is>
      </c>
      <c r="E36" t="inlineStr">
        <is>
          <t>Jan 12, 2026</t>
        </is>
      </c>
      <c r="F36" t="n">
        <v>385000</v>
      </c>
      <c r="G36" t="inlineStr">
        <is>
          <t>Pipeline</t>
        </is>
      </c>
      <c r="H36" t="n">
        <v>0.08</v>
      </c>
      <c r="I36" t="inlineStr">
        <is>
          <t>Expansion deal</t>
        </is>
      </c>
    </row>
    <row r="37">
      <c r="A37" t="inlineStr">
        <is>
          <t>Southeast</t>
        </is>
      </c>
      <c r="B37" t="inlineStr">
        <is>
          <t>Emily Chen</t>
        </is>
      </c>
      <c r="C37" t="inlineStr">
        <is>
          <t>DocFast</t>
        </is>
      </c>
      <c r="D37" t="inlineStr">
        <is>
          <t>Equitable Holdings</t>
        </is>
      </c>
      <c r="E37" t="inlineStr">
        <is>
          <t>01/22/2026</t>
        </is>
      </c>
      <c r="F37" t="n">
        <v>175000</v>
      </c>
      <c r="G37" t="inlineStr">
        <is>
          <t>Closed Won</t>
        </is>
      </c>
      <c r="H37" t="n">
        <v>0.14</v>
      </c>
      <c r="I37" t="inlineStr">
        <is>
          <t>Multi-year contract</t>
        </is>
      </c>
    </row>
    <row r="38">
      <c r="A38" t="inlineStr">
        <is>
          <t>Southeast</t>
        </is>
      </c>
      <c r="B38" t="inlineStr">
        <is>
          <t>Jessica Patel</t>
        </is>
      </c>
      <c r="C38" t="inlineStr">
        <is>
          <t>iGO</t>
        </is>
      </c>
      <c r="D38" t="inlineStr">
        <is>
          <t>Nationwide</t>
        </is>
      </c>
      <c r="E38" t="inlineStr">
        <is>
          <t>1/19/26</t>
        </is>
      </c>
      <c r="F38" t="n">
        <v>67000</v>
      </c>
      <c r="G38" t="inlineStr">
        <is>
          <t>Pending</t>
        </is>
      </c>
      <c r="H38" t="n">
        <v>0.12</v>
      </c>
      <c r="I38" t="inlineStr">
        <is>
          <t>Volume discount applied</t>
        </is>
      </c>
    </row>
    <row r="39">
      <c r="A39" t="inlineStr">
        <is>
          <t>International</t>
        </is>
      </c>
      <c r="B39" t="inlineStr">
        <is>
          <t xml:space="preserve"> Andrew Walsh</t>
        </is>
      </c>
      <c r="C39" t="inlineStr">
        <is>
          <t>Affirm</t>
        </is>
      </c>
      <c r="D39" t="inlineStr">
        <is>
          <t>Transamerica</t>
        </is>
      </c>
      <c r="E39" t="inlineStr">
        <is>
          <t>01/28/2026</t>
        </is>
      </c>
      <c r="F39" t="n">
        <v>67000</v>
      </c>
      <c r="G39" t="inlineStr">
        <is>
          <t>Closed Won</t>
        </is>
      </c>
      <c r="H39" t="n">
        <v>0.08</v>
      </c>
      <c r="I39" t="inlineStr">
        <is>
          <t>Multi-year contract</t>
        </is>
      </c>
    </row>
    <row r="40">
      <c r="A40" t="inlineStr">
        <is>
          <t>Midwest</t>
        </is>
      </c>
      <c r="B40" t="inlineStr">
        <is>
          <t>Sarah Mitchell</t>
        </is>
      </c>
      <c r="C40" t="inlineStr">
        <is>
          <t>iGO</t>
        </is>
      </c>
      <c r="D40" t="inlineStr">
        <is>
          <t>Equitable Holdings</t>
        </is>
      </c>
      <c r="E40" t="inlineStr">
        <is>
          <t>2026-02-06</t>
        </is>
      </c>
      <c r="F40" t="n">
        <v>225000</v>
      </c>
      <c r="G40" t="inlineStr">
        <is>
          <t>Pipeline</t>
        </is>
      </c>
      <c r="H40" t="n">
        <v>0.1</v>
      </c>
      <c r="I40" t="inlineStr">
        <is>
          <t>Multi-year contract</t>
        </is>
      </c>
    </row>
    <row r="41">
      <c r="A41" t="inlineStr">
        <is>
          <t>International</t>
        </is>
      </c>
      <c r="B41" t="inlineStr">
        <is>
          <t>James Rodriguez</t>
        </is>
      </c>
      <c r="C41" t="inlineStr">
        <is>
          <t>Affirm</t>
        </is>
      </c>
      <c r="D41" t="inlineStr">
        <is>
          <t>New York Life</t>
        </is>
      </c>
      <c r="E41" t="inlineStr">
        <is>
          <t>Feb 17 2026</t>
        </is>
      </c>
      <c r="F41" t="n">
        <v>310000</v>
      </c>
      <c r="G41" t="inlineStr">
        <is>
          <t>Closed Won</t>
        </is>
      </c>
      <c r="H41" t="n">
        <v>0.1</v>
      </c>
      <c r="I41" t="inlineStr">
        <is>
          <t>Needs legal review</t>
        </is>
      </c>
    </row>
    <row r="42">
      <c r="A42" t="inlineStr">
        <is>
          <t>Northeast</t>
        </is>
      </c>
      <c r="B42" t="inlineStr">
        <is>
          <t>Chris Morrison</t>
        </is>
      </c>
      <c r="C42" t="inlineStr">
        <is>
          <t>Affirm</t>
        </is>
      </c>
      <c r="D42" t="inlineStr">
        <is>
          <t>Prudential</t>
        </is>
      </c>
      <c r="E42" t="inlineStr">
        <is>
          <t>02/03/2026</t>
        </is>
      </c>
      <c r="F42" t="n">
        <v>310000</v>
      </c>
      <c r="G42" t="inlineStr">
        <is>
          <t>Closed Won</t>
        </is>
      </c>
      <c r="H42" t="n">
        <v>0.14</v>
      </c>
      <c r="I42" t="inlineStr">
        <is>
          <t>Fast close</t>
        </is>
      </c>
    </row>
    <row r="43">
      <c r="A43" t="inlineStr">
        <is>
          <t>Midwest</t>
        </is>
      </c>
      <c r="B43" t="inlineStr">
        <is>
          <t>Michael Thompson</t>
        </is>
      </c>
      <c r="C43" t="inlineStr">
        <is>
          <t>InsureSight</t>
        </is>
      </c>
      <c r="D43" t="inlineStr">
        <is>
          <t>Pacific Life</t>
        </is>
      </c>
      <c r="E43" t="inlineStr">
        <is>
          <t>2/22/26</t>
        </is>
      </c>
      <c r="F43" t="n">
        <v>67000</v>
      </c>
      <c r="G43" t="inlineStr">
        <is>
          <t>Pending</t>
        </is>
      </c>
      <c r="H43" t="n">
        <v>0.1</v>
      </c>
      <c r="I43" t="inlineStr">
        <is>
          <t>Executive sponsor: CFO</t>
        </is>
      </c>
    </row>
    <row r="44">
      <c r="A44" t="inlineStr">
        <is>
          <t>Northeast</t>
        </is>
      </c>
      <c r="B44" t="inlineStr">
        <is>
          <t>System</t>
        </is>
      </c>
      <c r="C44" t="inlineStr">
        <is>
          <t>iGO</t>
        </is>
      </c>
      <c r="D44" t="inlineStr">
        <is>
          <t>MetLife</t>
        </is>
      </c>
      <c r="E44" t="inlineStr">
        <is>
          <t>03/31/2026</t>
        </is>
      </c>
      <c r="F44" t="n">
        <v>-12500</v>
      </c>
      <c r="G44" t="inlineStr">
        <is>
          <t>Credit</t>
        </is>
      </c>
      <c r="H44" t="n">
        <v>0</v>
      </c>
      <c r="I44" t="inlineStr">
        <is>
          <t>Q1 billing adjustment - approved by Controller</t>
        </is>
      </c>
    </row>
    <row r="45">
      <c r="A45" t="inlineStr">
        <is>
          <t>International</t>
        </is>
      </c>
      <c r="B45" t="inlineStr">
        <is>
          <t>New Hire TBD</t>
        </is>
      </c>
      <c r="C45" t="inlineStr">
        <is>
          <t>iGO</t>
        </is>
      </c>
      <c r="D45" t="inlineStr">
        <is>
          <t>Zurich Insurance</t>
        </is>
      </c>
      <c r="E45" t="inlineStr">
        <is>
          <t>03/30/2026</t>
        </is>
      </c>
      <c r="F45" t="n">
        <v>290000</v>
      </c>
      <c r="G45" t="inlineStr">
        <is>
          <t>Pipeline</t>
        </is>
      </c>
      <c r="H45" t="n">
        <v>0.12</v>
      </c>
      <c r="I45" t="inlineStr">
        <is>
          <t>International expansion - Q2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2" t="inlineStr">
        <is>
          <t>Department</t>
        </is>
      </c>
      <c r="B1" s="2" t="inlineStr">
        <is>
          <t>Q1 Budget</t>
        </is>
      </c>
      <c r="C1" s="2" t="inlineStr">
        <is>
          <t>Q1 Actual</t>
        </is>
      </c>
      <c r="D1" s="2" t="inlineStr">
        <is>
          <t>Variance ($)</t>
        </is>
      </c>
      <c r="E1" s="2" t="inlineStr">
        <is>
          <t>Variance (%)</t>
        </is>
      </c>
      <c r="F1" s="2" t="inlineStr">
        <is>
          <t>Status</t>
        </is>
      </c>
    </row>
    <row r="2">
      <c r="A2" s="3" t="inlineStr">
        <is>
          <t>Engineering</t>
        </is>
      </c>
      <c r="B2" s="4" t="n">
        <v>485000</v>
      </c>
      <c r="C2" s="4" t="n">
        <v>502000</v>
      </c>
      <c r="D2" s="5">
        <f>C2-B2</f>
        <v/>
      </c>
      <c r="E2" s="6">
        <f>IF(B2=0,0,(C2-B2)/B2)</f>
        <v/>
      </c>
      <c r="F2" s="7" t="inlineStr">
        <is>
          <t>On Track</t>
        </is>
      </c>
    </row>
    <row r="3">
      <c r="A3" s="8" t="inlineStr">
        <is>
          <t>Marketing</t>
        </is>
      </c>
      <c r="B3" s="9" t="n">
        <v>165000</v>
      </c>
      <c r="C3" s="9" t="n">
        <v>178000</v>
      </c>
      <c r="D3" s="10">
        <f>C3-B3</f>
        <v/>
      </c>
      <c r="E3" s="11">
        <f>IF(B3=0,0,(C3-B3)/B3)</f>
        <v/>
      </c>
      <c r="F3" s="12" t="inlineStr">
        <is>
          <t>Over Budget</t>
        </is>
      </c>
    </row>
    <row r="4">
      <c r="A4" s="3" t="inlineStr">
        <is>
          <t>Sales</t>
        </is>
      </c>
      <c r="B4" s="4" t="n">
        <v>95000</v>
      </c>
      <c r="C4" s="4" t="n">
        <v>87000</v>
      </c>
      <c r="D4" s="5">
        <f>C4-B4</f>
        <v/>
      </c>
      <c r="E4" s="6">
        <f>IF(B4=0,0,(C4-B4)/B4)</f>
        <v/>
      </c>
      <c r="F4" s="13" t="inlineStr">
        <is>
          <t>Under Budget</t>
        </is>
      </c>
    </row>
    <row r="5">
      <c r="A5" s="8" t="inlineStr">
        <is>
          <t>Finance</t>
        </is>
      </c>
      <c r="B5" s="9" t="n">
        <v>72000</v>
      </c>
      <c r="C5" s="9" t="n">
        <v>68000</v>
      </c>
      <c r="D5" s="10">
        <f>C5-B5</f>
        <v/>
      </c>
      <c r="E5" s="11">
        <f>IF(B5=0,0,(C5-B5)/B5)</f>
        <v/>
      </c>
      <c r="F5" s="14" t="inlineStr">
        <is>
          <t>Under Budget</t>
        </is>
      </c>
    </row>
    <row r="6">
      <c r="A6" s="3" t="inlineStr">
        <is>
          <t>HR</t>
        </is>
      </c>
      <c r="B6" s="4" t="n">
        <v>58000</v>
      </c>
      <c r="C6" s="4" t="n">
        <v>61000</v>
      </c>
      <c r="D6" s="5">
        <f>C6-B6</f>
        <v/>
      </c>
      <c r="E6" s="6">
        <f>IF(B6=0,0,(C6-B6)/B6)</f>
        <v/>
      </c>
      <c r="F6" s="15" t="inlineStr">
        <is>
          <t>Over Budget</t>
        </is>
      </c>
    </row>
    <row r="7">
      <c r="A7" s="8" t="inlineStr">
        <is>
          <t>Operations</t>
        </is>
      </c>
      <c r="B7" s="9" t="n">
        <v>125000</v>
      </c>
      <c r="C7" s="9" t="n">
        <v>118000</v>
      </c>
      <c r="D7" s="10">
        <f>C7-B7</f>
        <v/>
      </c>
      <c r="E7" s="11">
        <f>IF(B7=0,0,(C7-B7)/B7)</f>
        <v/>
      </c>
      <c r="F7" s="14" t="inlineStr">
        <is>
          <t>Under Budget</t>
        </is>
      </c>
    </row>
    <row r="8">
      <c r="A8" s="3" t="inlineStr">
        <is>
          <t>Legal</t>
        </is>
      </c>
      <c r="B8" s="4" t="n">
        <v>85000</v>
      </c>
      <c r="C8" s="4" t="n">
        <v>92000</v>
      </c>
      <c r="D8" s="5">
        <f>C8-B8</f>
        <v/>
      </c>
      <c r="E8" s="6">
        <f>IF(B8=0,0,(C8-B8)/B8)</f>
        <v/>
      </c>
      <c r="F8" s="15" t="inlineStr">
        <is>
          <t>Over Budget</t>
        </is>
      </c>
    </row>
    <row r="9">
      <c r="A9" s="16" t="inlineStr">
        <is>
          <t>TOTAL</t>
        </is>
      </c>
      <c r="B9" s="17">
        <f>SUM(B2:B8)</f>
        <v/>
      </c>
      <c r="C9" s="17">
        <f>SUM(C2:C8)</f>
        <v/>
      </c>
      <c r="D9" s="17">
        <f>SUM(D2:D8)</f>
        <v/>
      </c>
      <c r="E9" s="18">
        <f>IF(B9=0,0,(C9-B9)/B9)</f>
        <v/>
      </c>
      <c r="F9" s="19" t="n"/>
    </row>
    <row r="12">
      <c r="A12" s="20" t="inlineStr">
        <is>
          <t>Status Options (for dropdown):</t>
        </is>
      </c>
    </row>
    <row r="13">
      <c r="A13" t="inlineStr">
        <is>
          <t>On Track</t>
        </is>
      </c>
    </row>
    <row r="14">
      <c r="A14" t="inlineStr">
        <is>
          <t>Over Budget</t>
        </is>
      </c>
    </row>
    <row r="15">
      <c r="A15" t="inlineStr">
        <is>
          <t>Under Budget</t>
        </is>
      </c>
    </row>
    <row r="16">
      <c r="A16" t="inlineStr">
        <is>
          <t>Under Review</t>
        </is>
      </c>
    </row>
    <row r="17">
      <c r="A17" t="inlineStr">
        <is>
          <t>Frozen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32" customWidth="1" min="4" max="4"/>
    <col width="14" customWidth="1" min="5" max="5"/>
    <col width="16" customWidth="1" min="6" max="6"/>
  </cols>
  <sheetData>
    <row r="1">
      <c r="A1" t="inlineStr">
        <is>
          <t>Full Name</t>
        </is>
      </c>
      <c r="B1" t="inlineStr">
        <is>
          <t>Title</t>
        </is>
      </c>
      <c r="C1" t="inlineStr">
        <is>
          <t>Department</t>
        </is>
      </c>
      <c r="D1" t="inlineStr">
        <is>
          <t>Email</t>
        </is>
      </c>
      <c r="E1" t="inlineStr">
        <is>
          <t>Phone</t>
        </is>
      </c>
      <c r="F1" t="inlineStr">
        <is>
          <t>Office Location</t>
        </is>
      </c>
    </row>
    <row r="2">
      <c r="A2" t="inlineStr">
        <is>
          <t>Robert Chen</t>
        </is>
      </c>
      <c r="B2" t="inlineStr">
        <is>
          <t>Chief Financial Officer</t>
        </is>
      </c>
      <c r="C2" t="inlineStr">
        <is>
          <t>Finance</t>
        </is>
      </c>
      <c r="D2" t="inlineStr">
        <is>
          <t>robert.chen@ipipeline.com</t>
        </is>
      </c>
      <c r="E2" t="inlineStr">
        <is>
          <t>555-0101</t>
        </is>
      </c>
      <c r="F2" t="inlineStr">
        <is>
          <t>Exton, PA</t>
        </is>
      </c>
    </row>
    <row r="3">
      <c r="A3" t="inlineStr">
        <is>
          <t>Maria Santos</t>
        </is>
      </c>
      <c r="B3" t="inlineStr">
        <is>
          <t>VP of Engineering</t>
        </is>
      </c>
      <c r="C3" t="inlineStr">
        <is>
          <t>Engineering</t>
        </is>
      </c>
      <c r="D3" t="inlineStr">
        <is>
          <t>maria.santos@ipipeline.com</t>
        </is>
      </c>
      <c r="E3" t="inlineStr">
        <is>
          <t>(555) 010-2</t>
        </is>
      </c>
      <c r="F3" t="inlineStr">
        <is>
          <t>Exton, PA</t>
        </is>
      </c>
    </row>
    <row r="4">
      <c r="A4" t="inlineStr">
        <is>
          <t>David Kim</t>
        </is>
      </c>
      <c r="B4" t="inlineStr">
        <is>
          <t>Director of Sales</t>
        </is>
      </c>
      <c r="C4" t="inlineStr">
        <is>
          <t>Sales</t>
        </is>
      </c>
      <c r="D4" t="inlineStr">
        <is>
          <t>david.kim@ipipeline.com</t>
        </is>
      </c>
      <c r="E4" t="inlineStr">
        <is>
          <t>555.0103</t>
        </is>
      </c>
      <c r="F4" t="inlineStr">
        <is>
          <t>New York, NY</t>
        </is>
      </c>
    </row>
    <row r="5">
      <c r="A5" t="inlineStr">
        <is>
          <t>Jennifer Williams</t>
        </is>
      </c>
      <c r="B5" t="inlineStr">
        <is>
          <t>Senior Financial Analyst</t>
        </is>
      </c>
      <c r="C5" t="inlineStr">
        <is>
          <t>Finance</t>
        </is>
      </c>
      <c r="D5" t="inlineStr">
        <is>
          <t>jennifer.williams@ipipeline.com</t>
        </is>
      </c>
      <c r="E5" t="inlineStr">
        <is>
          <t>555-0104</t>
        </is>
      </c>
      <c r="F5" t="inlineStr">
        <is>
          <t>Exton, PA</t>
        </is>
      </c>
    </row>
    <row r="6">
      <c r="A6" t="inlineStr">
        <is>
          <t>Marcus Johnson</t>
        </is>
      </c>
      <c r="B6" t="inlineStr">
        <is>
          <t>Head of Product</t>
        </is>
      </c>
      <c r="C6" t="inlineStr">
        <is>
          <t>Engineering</t>
        </is>
      </c>
      <c r="D6" t="inlineStr">
        <is>
          <t>marcus.johnson@ipipeline.com</t>
        </is>
      </c>
      <c r="E6" t="inlineStr">
        <is>
          <t>(555) 010-5</t>
        </is>
      </c>
      <c r="F6" t="inlineStr">
        <is>
          <t>Exton, PA</t>
        </is>
      </c>
    </row>
    <row r="7">
      <c r="A7" t="inlineStr">
        <is>
          <t>Priya Sharma</t>
        </is>
      </c>
      <c r="B7" t="inlineStr">
        <is>
          <t>VP of Marketing</t>
        </is>
      </c>
      <c r="C7" t="inlineStr">
        <is>
          <t>Marketing</t>
        </is>
      </c>
      <c r="D7" t="inlineStr">
        <is>
          <t>priya.sharma@ipipeline.com</t>
        </is>
      </c>
      <c r="E7" t="inlineStr">
        <is>
          <t>555.0106</t>
        </is>
      </c>
      <c r="F7" t="inlineStr">
        <is>
          <t>Boston, MA</t>
        </is>
      </c>
    </row>
    <row r="8">
      <c r="A8" t="inlineStr">
        <is>
          <t>Thomas Anderson</t>
        </is>
      </c>
      <c r="B8" t="inlineStr">
        <is>
          <t>General Counsel</t>
        </is>
      </c>
      <c r="C8" t="inlineStr">
        <is>
          <t>Legal</t>
        </is>
      </c>
      <c r="D8" t="inlineStr">
        <is>
          <t>thomas.anderson@ipipeline.com</t>
        </is>
      </c>
      <c r="E8" t="inlineStr">
        <is>
          <t>555-0107</t>
        </is>
      </c>
      <c r="F8" t="inlineStr">
        <is>
          <t>Exton, PA</t>
        </is>
      </c>
    </row>
    <row r="9">
      <c r="A9" t="inlineStr">
        <is>
          <t>Amanda Foster</t>
        </is>
      </c>
      <c r="B9" t="inlineStr">
        <is>
          <t>Controller</t>
        </is>
      </c>
      <c r="C9" t="inlineStr">
        <is>
          <t>Finance</t>
        </is>
      </c>
      <c r="D9" t="inlineStr">
        <is>
          <t>amanda.foster@ipipeline.com</t>
        </is>
      </c>
      <c r="E9" t="inlineStr">
        <is>
          <t>(555) 010-8</t>
        </is>
      </c>
      <c r="F9" t="inlineStr">
        <is>
          <t>Exton, PA</t>
        </is>
      </c>
    </row>
    <row r="10">
      <c r="A10" t="inlineStr">
        <is>
          <t>Ryan O'Brien</t>
        </is>
      </c>
      <c r="B10" t="inlineStr">
        <is>
          <t>Senior DevOps Engineer</t>
        </is>
      </c>
      <c r="C10" t="inlineStr">
        <is>
          <t>Engineering</t>
        </is>
      </c>
      <c r="D10" t="inlineStr">
        <is>
          <t>ryan.obrien@ipipeline.com</t>
        </is>
      </c>
      <c r="E10" t="inlineStr">
        <is>
          <t>555.0109</t>
        </is>
      </c>
      <c r="F10" t="inlineStr">
        <is>
          <t>Remote</t>
        </is>
      </c>
    </row>
    <row r="11">
      <c r="A11" t="inlineStr">
        <is>
          <t>Sarah Mitchell</t>
        </is>
      </c>
      <c r="B11" t="inlineStr">
        <is>
          <t>Regional Sales Manager</t>
        </is>
      </c>
      <c r="C11" t="inlineStr">
        <is>
          <t>Sales</t>
        </is>
      </c>
      <c r="D11" t="inlineStr">
        <is>
          <t>sarah.mitchell@ipipeline.com</t>
        </is>
      </c>
      <c r="E11" t="inlineStr">
        <is>
          <t>555-0110</t>
        </is>
      </c>
      <c r="F11" t="inlineStr">
        <is>
          <t>Chicago, IL</t>
        </is>
      </c>
    </row>
    <row r="12">
      <c r="A12" t="inlineStr">
        <is>
          <t>Kevin Park</t>
        </is>
      </c>
      <c r="B12" t="inlineStr">
        <is>
          <t>HR Business Partner</t>
        </is>
      </c>
      <c r="C12" t="inlineStr">
        <is>
          <t>HR</t>
        </is>
      </c>
      <c r="D12" t="inlineStr">
        <is>
          <t>kevin.park@ipipeline.com</t>
        </is>
      </c>
      <c r="E12" t="inlineStr">
        <is>
          <t>(555) 011-1</t>
        </is>
      </c>
      <c r="F12" t="inlineStr">
        <is>
          <t>Exton, PA</t>
        </is>
      </c>
    </row>
    <row r="13">
      <c r="A13" t="inlineStr">
        <is>
          <t>Lisa Tran</t>
        </is>
      </c>
      <c r="B13" t="inlineStr">
        <is>
          <t>Data Analytics Lead</t>
        </is>
      </c>
      <c r="C13" t="inlineStr">
        <is>
          <t>Finance</t>
        </is>
      </c>
      <c r="D13" t="inlineStr">
        <is>
          <t>lisa.tran@ipipeline.com</t>
        </is>
      </c>
      <c r="E13" t="inlineStr">
        <is>
          <t>555.0112</t>
        </is>
      </c>
      <c r="F13" t="inlineStr">
        <is>
          <t>Exton, PA</t>
        </is>
      </c>
    </row>
    <row r="14">
      <c r="A14" t="inlineStr">
        <is>
          <t>Christopher Lee</t>
        </is>
      </c>
      <c r="B14" t="inlineStr">
        <is>
          <t>Chief Technology Officer</t>
        </is>
      </c>
      <c r="C14" t="inlineStr">
        <is>
          <t>Engineering</t>
        </is>
      </c>
      <c r="D14" t="inlineStr">
        <is>
          <t>christopher.lee@ipipeline.com</t>
        </is>
      </c>
      <c r="E14" t="inlineStr">
        <is>
          <t>555-0113</t>
        </is>
      </c>
      <c r="F14" t="inlineStr">
        <is>
          <t>Exton, PA</t>
        </is>
      </c>
    </row>
    <row r="15">
      <c r="A15" t="inlineStr">
        <is>
          <t>Nicole Brown</t>
        </is>
      </c>
      <c r="B15" t="inlineStr">
        <is>
          <t>VP of Operations</t>
        </is>
      </c>
      <c r="C15" t="inlineStr">
        <is>
          <t>Operations</t>
        </is>
      </c>
      <c r="D15" t="inlineStr">
        <is>
          <t>nicole.brown@ipipeline.com</t>
        </is>
      </c>
      <c r="E15" t="inlineStr">
        <is>
          <t>(555) 011-4</t>
        </is>
      </c>
      <c r="F15" t="inlineStr">
        <is>
          <t>Exton, PA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sheetData>
    <row r="1">
      <c r="A1" s="21" t="inlineStr">
        <is>
          <t>Q4 2025 ARCHIVE - DO NOT MODIFY</t>
        </is>
      </c>
    </row>
    <row r="2">
      <c r="A2" t="inlineStr">
        <is>
          <t>This sheet contains archived Q4 2025 data.</t>
        </is>
      </c>
    </row>
    <row r="3">
      <c r="A3" s="22" t="inlineStr">
        <is>
          <t>Contact Finance team before making any changes.</t>
        </is>
      </c>
    </row>
    <row r="5">
      <c r="A5" t="inlineStr">
        <is>
          <t>Department</t>
        </is>
      </c>
      <c r="B5" t="inlineStr">
        <is>
          <t>Q4 Revenue</t>
        </is>
      </c>
      <c r="C5" t="inlineStr">
        <is>
          <t>Q4 Expenses</t>
        </is>
      </c>
    </row>
    <row r="6">
      <c r="A6" t="inlineStr">
        <is>
          <t>Engineering</t>
        </is>
      </c>
      <c r="B6" t="n">
        <v>2150000</v>
      </c>
      <c r="C6" t="n">
        <v>485000</v>
      </c>
    </row>
    <row r="7">
      <c r="A7" t="inlineStr">
        <is>
          <t>Sales</t>
        </is>
      </c>
      <c r="B7" t="n">
        <v>3800000</v>
      </c>
      <c r="C7" t="n">
        <v>95000</v>
      </c>
    </row>
    <row r="8">
      <c r="A8" t="inlineStr">
        <is>
          <t>Marketing</t>
        </is>
      </c>
      <c r="B8" t="n">
        <v>0</v>
      </c>
      <c r="C8" t="n">
        <v>165000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2026-03-31T23:18:44Z</dcterms:created>
  <dcterms:modified xsi:type="dcterms:W3CDTF">2026-03-31T23:18:44Z</dcterms:modified>
</cp:coreProperties>
</file>