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nnor.atlee\RecTrial\SampleFile\SampleFileV2\"/>
    </mc:Choice>
  </mc:AlternateContent>
  <xr:revisionPtr revIDLastSave="0" documentId="13_ncr:1_{DAFBA668-F6C7-4731-8603-B51B06ABE547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Cover" sheetId="1" r:id="rId1"/>
    <sheet name="Q1 Revenue" sheetId="2" r:id="rId2"/>
    <sheet name="Q1 Expenses" sheetId="3" r:id="rId3"/>
    <sheet name="Q1 Revenue v2" sheetId="4" r:id="rId4"/>
    <sheet name="Budget Summary" sheetId="5" r:id="rId5"/>
    <sheet name="Contact List" sheetId="6" r:id="rId6"/>
    <sheet name="Archive_Q4_2025" sheetId="7" state="hidden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5" l="1"/>
  <c r="B9" i="5"/>
  <c r="E8" i="5"/>
  <c r="D8" i="5"/>
  <c r="D7" i="5"/>
  <c r="D9" i="5" s="1"/>
  <c r="E9" i="5" s="1"/>
  <c r="E6" i="5"/>
  <c r="D6" i="5"/>
  <c r="D5" i="5"/>
  <c r="E5" i="5" s="1"/>
  <c r="E4" i="5"/>
  <c r="D4" i="5"/>
  <c r="D3" i="5"/>
  <c r="E3" i="5" s="1"/>
  <c r="D2" i="5"/>
  <c r="E2" i="5" s="1"/>
  <c r="I39" i="4"/>
  <c r="I39" i="2"/>
  <c r="E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7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Follow up by end of month - needs VP approval</t>
        </r>
      </text>
    </comment>
    <comment ref="C8" authorId="0" shapeId="0" xr:uid="{00000000-0006-0000-0100-000002000000}">
      <text>
        <r>
          <rPr>
            <sz val="11"/>
            <color theme="1"/>
            <rFont val="Calibri"/>
            <family val="2"/>
            <charset val="1"/>
          </rPr>
          <t>New enterprise tier pricing - check with Product team</t>
        </r>
      </text>
    </comment>
    <comment ref="F11" authorId="0" shapeId="0" xr:uid="{00000000-0006-0000-0100-000003000000}">
      <text>
        <r>
          <rPr>
            <sz val="11"/>
            <color theme="1"/>
            <rFont val="Calibri"/>
            <family val="2"/>
            <charset val="1"/>
          </rPr>
          <t>Verify with accounting - amount seems high for single quarter</t>
        </r>
      </text>
    </comment>
    <comment ref="H11" authorId="0" shapeId="0" xr:uid="{00000000-0006-0000-0100-000004000000}">
      <text>
        <r>
          <rPr>
            <sz val="11"/>
            <color theme="1"/>
            <rFont val="Calibri"/>
            <family val="2"/>
            <charset val="1"/>
          </rPr>
          <t>Override commission approved by VP Sales - see email 2/15</t>
        </r>
      </text>
    </comment>
    <comment ref="D24" authorId="0" shapeId="0" xr:uid="{00000000-0006-0000-0100-000005000000}">
      <text>
        <r>
          <rPr>
            <sz val="11"/>
            <color theme="1"/>
            <rFont val="Calibri"/>
            <family val="2"/>
            <charset val="1"/>
          </rPr>
          <t>Note: Acquired by Lincoln Financial in Q4 2025</t>
        </r>
      </text>
    </comment>
  </commentList>
</comments>
</file>

<file path=xl/sharedStrings.xml><?xml version="1.0" encoding="utf-8"?>
<sst xmlns="http://schemas.openxmlformats.org/spreadsheetml/2006/main" count="896" uniqueCount="329">
  <si>
    <t>Quarterly Financial Report</t>
  </si>
  <si>
    <t>Q1 2026  |  Sales Pipeline &amp; Budget Analysis</t>
  </si>
  <si>
    <t>Prepared by:</t>
  </si>
  <si>
    <t>Report Date:</t>
  </si>
  <si>
    <t>REPORT CONTENTS</t>
  </si>
  <si>
    <t>▸</t>
  </si>
  <si>
    <t>Q1 Revenue</t>
  </si>
  <si>
    <t>Sales pipeline data — 40 enterprise transactions across 5 regions</t>
  </si>
  <si>
    <t>Q1 Expenses</t>
  </si>
  <si>
    <t>Department expense tracking — 25 line items, 7 departments</t>
  </si>
  <si>
    <t>Q1 Revenue v2</t>
  </si>
  <si>
    <t>Revised pipeline for version comparison analysis</t>
  </si>
  <si>
    <t>Budget Summary</t>
  </si>
  <si>
    <t>Q1 Budget vs Actual with variance analysis by department</t>
  </si>
  <si>
    <t>Contact List</t>
  </si>
  <si>
    <t>Team directory — 15 key personnel across all offices</t>
  </si>
  <si>
    <t>KEY HIGHLIGHTS</t>
  </si>
  <si>
    <t>Total Pipeline</t>
  </si>
  <si>
    <t>Q1 Budget</t>
  </si>
  <si>
    <t>$5.3M</t>
  </si>
  <si>
    <t>$1,085,000</t>
  </si>
  <si>
    <t>39 Active Deals</t>
  </si>
  <si>
    <t>7 Departments</t>
  </si>
  <si>
    <t>Q1 Actual Spend</t>
  </si>
  <si>
    <t>Net Variance</t>
  </si>
  <si>
    <t>$1,093,000</t>
  </si>
  <si>
    <t>$8,000</t>
  </si>
  <si>
    <t>vs Budget</t>
  </si>
  <si>
    <t>0.7% Over Budget</t>
  </si>
  <si>
    <t>Region</t>
  </si>
  <si>
    <t>Sales Rep</t>
  </si>
  <si>
    <t>Product</t>
  </si>
  <si>
    <t>Customer</t>
  </si>
  <si>
    <t>Date</t>
  </si>
  <si>
    <t>Amount</t>
  </si>
  <si>
    <t>Status</t>
  </si>
  <si>
    <t>Commission %</t>
  </si>
  <si>
    <t>Notes</t>
  </si>
  <si>
    <t>Northeast</t>
  </si>
  <si>
    <t>Marcus Chen</t>
  </si>
  <si>
    <t>iGO</t>
  </si>
  <si>
    <t>MetLife</t>
  </si>
  <si>
    <t>01/15/2026</t>
  </si>
  <si>
    <t>Closed Won</t>
  </si>
  <si>
    <t>Enterprise renewal</t>
  </si>
  <si>
    <t>Southeast</t>
  </si>
  <si>
    <t>Aisha Johnson</t>
  </si>
  <si>
    <t>Affirm</t>
  </si>
  <si>
    <t>Prudential</t>
  </si>
  <si>
    <t>2026-01-20</t>
  </si>
  <si>
    <t>Multi-year contract</t>
  </si>
  <si>
    <t>West</t>
  </si>
  <si>
    <t>Sofia Rodriguez</t>
  </si>
  <si>
    <t>InsureSight</t>
  </si>
  <si>
    <t>Pacific Life</t>
  </si>
  <si>
    <t>Jan 22 2026</t>
  </si>
  <si>
    <t>Pending</t>
  </si>
  <si>
    <t>RFP winner</t>
  </si>
  <si>
    <t>Midwest</t>
  </si>
  <si>
    <t>David Kowalski</t>
  </si>
  <si>
    <t>DocFast</t>
  </si>
  <si>
    <t>Nationwide</t>
  </si>
  <si>
    <t>1/8/26</t>
  </si>
  <si>
    <t>45000</t>
  </si>
  <si>
    <t>Pipeline</t>
  </si>
  <si>
    <t>Channel partner referral</t>
  </si>
  <si>
    <t xml:space="preserve"> Andrew Walsh</t>
  </si>
  <si>
    <t>New York Life</t>
  </si>
  <si>
    <t>02/03/2026</t>
  </si>
  <si>
    <t>Executive sponsor: CFO</t>
  </si>
  <si>
    <t>International</t>
  </si>
  <si>
    <t>Kenji Tanaka</t>
  </si>
  <si>
    <t>Transamerica</t>
  </si>
  <si>
    <t>2026-02-11</t>
  </si>
  <si>
    <t>Competitive displacement</t>
  </si>
  <si>
    <t xml:space="preserve">Lisa Hernandez </t>
  </si>
  <si>
    <t>MassMutual</t>
  </si>
  <si>
    <t>Feb 14 2026</t>
  </si>
  <si>
    <t>Rachel Goldstein</t>
  </si>
  <si>
    <t>Equitable Holdings</t>
  </si>
  <si>
    <t>2/18/26</t>
  </si>
  <si>
    <t>Initial engagement</t>
  </si>
  <si>
    <t>James O'Brien</t>
  </si>
  <si>
    <t>Guardian Life</t>
  </si>
  <si>
    <t>01/28/2026</t>
  </si>
  <si>
    <t>Priya Patel</t>
  </si>
  <si>
    <t>Hartford Financial</t>
  </si>
  <si>
    <t>2026-01-30</t>
  </si>
  <si>
    <t>Follow up with VP by EOM</t>
  </si>
  <si>
    <t>Aflac</t>
  </si>
  <si>
    <t>Mar 3 2026</t>
  </si>
  <si>
    <t>Voya Financial</t>
  </si>
  <si>
    <t>3/5/26</t>
  </si>
  <si>
    <t>28500</t>
  </si>
  <si>
    <t>Mutual of Omaha</t>
  </si>
  <si>
    <t>02/20/2026</t>
  </si>
  <si>
    <t>Principal Financial</t>
  </si>
  <si>
    <t>2026-03-01</t>
  </si>
  <si>
    <t>Lincoln Financial</t>
  </si>
  <si>
    <t>Jan 15 2026</t>
  </si>
  <si>
    <t>Executive sponsor: CTO</t>
  </si>
  <si>
    <t>Securian Financial</t>
  </si>
  <si>
    <t>1/22/26</t>
  </si>
  <si>
    <t>Northwestern Mutual</t>
  </si>
  <si>
    <t>03/10/2026</t>
  </si>
  <si>
    <t>Unum Group</t>
  </si>
  <si>
    <t>2026-02-05</t>
  </si>
  <si>
    <t>New territory expansion</t>
  </si>
  <si>
    <t>Feb 28 2026</t>
  </si>
  <si>
    <t>2/12/26</t>
  </si>
  <si>
    <t>01/05/2026</t>
  </si>
  <si>
    <t>2026-03-15</t>
  </si>
  <si>
    <t>Mar 18 2026</t>
  </si>
  <si>
    <t>3/20/26</t>
  </si>
  <si>
    <t>02/25/2026</t>
  </si>
  <si>
    <t>2026-01-10</t>
  </si>
  <si>
    <t>Jan 30 2026</t>
  </si>
  <si>
    <t>1/15/26</t>
  </si>
  <si>
    <t>47000</t>
  </si>
  <si>
    <t>03/22/2026</t>
  </si>
  <si>
    <t>02/15/2026</t>
  </si>
  <si>
    <t>Billing adjustment - Q4 credit applied</t>
  </si>
  <si>
    <t>2026-03-08</t>
  </si>
  <si>
    <t>Mar 12 2026</t>
  </si>
  <si>
    <t>3/25/26</t>
  </si>
  <si>
    <t>01/18/2026</t>
  </si>
  <si>
    <t>2026-02-22</t>
  </si>
  <si>
    <t>Feb 8 2026</t>
  </si>
  <si>
    <t>Executive sponsor: COO</t>
  </si>
  <si>
    <t>03/28/2026</t>
  </si>
  <si>
    <t>2026-01-25</t>
  </si>
  <si>
    <t>Department</t>
  </si>
  <si>
    <t>Category</t>
  </si>
  <si>
    <t>Vendor</t>
  </si>
  <si>
    <t>Invoice Date</t>
  </si>
  <si>
    <t>Approved By</t>
  </si>
  <si>
    <t>PO Number</t>
  </si>
  <si>
    <t>Engineering</t>
  </si>
  <si>
    <t>Cloud Infrastructure</t>
  </si>
  <si>
    <t>AWS</t>
  </si>
  <si>
    <t>T. Davis (CTO)</t>
  </si>
  <si>
    <t>PO-2026-001</t>
  </si>
  <si>
    <t>Software Licenses</t>
  </si>
  <si>
    <t>GitHub Enterprise</t>
  </si>
  <si>
    <t>01/12/2026</t>
  </si>
  <si>
    <t>PO-2026-002</t>
  </si>
  <si>
    <t>Snowflake</t>
  </si>
  <si>
    <t>PO-2026-003</t>
  </si>
  <si>
    <t>Datadog</t>
  </si>
  <si>
    <t>02/01/2026</t>
  </si>
  <si>
    <t>PO-2026-004</t>
  </si>
  <si>
    <t>Marketing</t>
  </si>
  <si>
    <t>Digital Advertising</t>
  </si>
  <si>
    <t>HubSpot</t>
  </si>
  <si>
    <t>01/08/2026</t>
  </si>
  <si>
    <t>K. Warren (CMO)</t>
  </si>
  <si>
    <t>PO-2026-005</t>
  </si>
  <si>
    <t>Events &amp; Conferences</t>
  </si>
  <si>
    <t>InsureTech Connect</t>
  </si>
  <si>
    <t>02/14/2026</t>
  </si>
  <si>
    <t>PO-2026-006</t>
  </si>
  <si>
    <t>Salesforce</t>
  </si>
  <si>
    <t>01/22/2026</t>
  </si>
  <si>
    <t>PO-2026-007</t>
  </si>
  <si>
    <t>Sales</t>
  </si>
  <si>
    <t>Sales Tools</t>
  </si>
  <si>
    <t>J. Smith (CFO)</t>
  </si>
  <si>
    <t>PO-2026-008</t>
  </si>
  <si>
    <t>Travel</t>
  </si>
  <si>
    <t>Delta Airlines</t>
  </si>
  <si>
    <t>M. Lee (VP Ops)</t>
  </si>
  <si>
    <t>PO-2026-009</t>
  </si>
  <si>
    <t>LIMRA</t>
  </si>
  <si>
    <t>03/01/2026</t>
  </si>
  <si>
    <t>PO-2026-010</t>
  </si>
  <si>
    <t>Finance</t>
  </si>
  <si>
    <t>Consulting</t>
  </si>
  <si>
    <t>Deloitte</t>
  </si>
  <si>
    <t>02/10/2026</t>
  </si>
  <si>
    <t>PO-2026-011</t>
  </si>
  <si>
    <t>Audit &amp; Tax</t>
  </si>
  <si>
    <t>KPMG</t>
  </si>
  <si>
    <t>PO-2026-012</t>
  </si>
  <si>
    <t>Workday</t>
  </si>
  <si>
    <t>03/05/2026</t>
  </si>
  <si>
    <t>R. Patel (Controller)</t>
  </si>
  <si>
    <t>PO-2026-013</t>
  </si>
  <si>
    <t>HR</t>
  </si>
  <si>
    <t>Recruiting</t>
  </si>
  <si>
    <t>LinkedIn Recruiter</t>
  </si>
  <si>
    <t>01/10/2026</t>
  </si>
  <si>
    <t>PO-2026-014</t>
  </si>
  <si>
    <t>02/18/2026</t>
  </si>
  <si>
    <t>PO-2026-015</t>
  </si>
  <si>
    <t>Mercer</t>
  </si>
  <si>
    <t>03/12/2026</t>
  </si>
  <si>
    <t>PO-2026-016</t>
  </si>
  <si>
    <t>Operations</t>
  </si>
  <si>
    <t>Facilities</t>
  </si>
  <si>
    <t>WeWork</t>
  </si>
  <si>
    <t>01/01/2026</t>
  </si>
  <si>
    <t>PO-2026-017</t>
  </si>
  <si>
    <t>Hardware</t>
  </si>
  <si>
    <t>Dell Technologies</t>
  </si>
  <si>
    <t>02/22/2026</t>
  </si>
  <si>
    <t>PO-2026-018</t>
  </si>
  <si>
    <t>Azure</t>
  </si>
  <si>
    <t>01/30/2026</t>
  </si>
  <si>
    <t>PO-2026-019</t>
  </si>
  <si>
    <t>CrowdStrike</t>
  </si>
  <si>
    <t>03/08/2026</t>
  </si>
  <si>
    <t>PO-2026-020</t>
  </si>
  <si>
    <t>Legal</t>
  </si>
  <si>
    <t>Baker McKenzie</t>
  </si>
  <si>
    <t>02/05/2026</t>
  </si>
  <si>
    <t>PO-2026-021</t>
  </si>
  <si>
    <t>OneTrust</t>
  </si>
  <si>
    <t>01/20/2026</t>
  </si>
  <si>
    <t>PO-2026-022</t>
  </si>
  <si>
    <t>Apple</t>
  </si>
  <si>
    <t>03/15/2026</t>
  </si>
  <si>
    <t>PO-2026-023</t>
  </si>
  <si>
    <t>United Airlines</t>
  </si>
  <si>
    <t>03/18/2026</t>
  </si>
  <si>
    <t>PO-2026-024</t>
  </si>
  <si>
    <t>Google Ads</t>
  </si>
  <si>
    <t>02/28/2026</t>
  </si>
  <si>
    <t>PO-2026-025</t>
  </si>
  <si>
    <t>Multi-year contract (3yr)</t>
  </si>
  <si>
    <t>Mar 5 2026</t>
  </si>
  <si>
    <t>Renewal - 2yr term</t>
  </si>
  <si>
    <t>Zurich Insurance</t>
  </si>
  <si>
    <t>03/30/2026</t>
  </si>
  <si>
    <t>New international prospect</t>
  </si>
  <si>
    <t>Q1 Actual</t>
  </si>
  <si>
    <t>Variance ($)</t>
  </si>
  <si>
    <t>Variance (%)</t>
  </si>
  <si>
    <t>Over Budget</t>
  </si>
  <si>
    <t>Under Budget</t>
  </si>
  <si>
    <t>On Track</t>
  </si>
  <si>
    <t>TOTAL</t>
  </si>
  <si>
    <t>Dropdown Source Values:</t>
  </si>
  <si>
    <t>Under Review</t>
  </si>
  <si>
    <t>Frozen</t>
  </si>
  <si>
    <t>Full Name</t>
  </si>
  <si>
    <t>Title</t>
  </si>
  <si>
    <t>Email</t>
  </si>
  <si>
    <t>Phone</t>
  </si>
  <si>
    <t>Office Location</t>
  </si>
  <si>
    <t>Timothy Regan</t>
  </si>
  <si>
    <t>Chief Executive Officer</t>
  </si>
  <si>
    <t>Executive</t>
  </si>
  <si>
    <t>timothy.regan@ipipeline.com</t>
  </si>
  <si>
    <t>610-555-0101</t>
  </si>
  <si>
    <t>Exton PA</t>
  </si>
  <si>
    <t>Sarah Mitchell</t>
  </si>
  <si>
    <t>Chief Financial Officer</t>
  </si>
  <si>
    <t>sarah.mitchell@ipipeline.com</t>
  </si>
  <si>
    <t>(610) 555-0102</t>
  </si>
  <si>
    <t>Raj Krishnamurthy</t>
  </si>
  <si>
    <t>Chief Technology Officer</t>
  </si>
  <si>
    <t>raj.krishnamurthy@ipipeline.com</t>
  </si>
  <si>
    <t>610.555.0103</t>
  </si>
  <si>
    <t>Karen Warren</t>
  </si>
  <si>
    <t>Chief Marketing Officer</t>
  </si>
  <si>
    <t>karen.warren@ipipeline.com</t>
  </si>
  <si>
    <t>212-555-0104</t>
  </si>
  <si>
    <t>New York NY</t>
  </si>
  <si>
    <t>Michael Torres</t>
  </si>
  <si>
    <t>VP of Engineering</t>
  </si>
  <si>
    <t>michael.torres@ipipeline.com</t>
  </si>
  <si>
    <t>(617) 555-0105</t>
  </si>
  <si>
    <t>Boston MA</t>
  </si>
  <si>
    <t>Jennifer Park</t>
  </si>
  <si>
    <t>VP of Sales</t>
  </si>
  <si>
    <t>jennifer.park@ipipeline.com</t>
  </si>
  <si>
    <t>312.555.0106</t>
  </si>
  <si>
    <t>Chicago IL</t>
  </si>
  <si>
    <t>Robert Chen</t>
  </si>
  <si>
    <t>Director of Product</t>
  </si>
  <si>
    <t>robert.chen@ipipeline.com</t>
  </si>
  <si>
    <t>610-555-0107</t>
  </si>
  <si>
    <t>Amanda Foster</t>
  </si>
  <si>
    <t>Senior Financial Analyst</t>
  </si>
  <si>
    <t>amanda.foster@ipipeline.com</t>
  </si>
  <si>
    <t>(610) 555-0108</t>
  </si>
  <si>
    <t>David Kim</t>
  </si>
  <si>
    <t>General Counsel</t>
  </si>
  <si>
    <t>david.kim@ipipeline.com</t>
  </si>
  <si>
    <t>212.555.0109</t>
  </si>
  <si>
    <t>Rachel Patel</t>
  </si>
  <si>
    <t>Controller</t>
  </si>
  <si>
    <t>rachel.patel@ipipeline.com</t>
  </si>
  <si>
    <t>610-555-0110</t>
  </si>
  <si>
    <t>Marcus Johnson</t>
  </si>
  <si>
    <t>Head of Product</t>
  </si>
  <si>
    <t>marcus.johnson@ipipeline.com</t>
  </si>
  <si>
    <t>(312) 555-0111</t>
  </si>
  <si>
    <t>Lisa Chang</t>
  </si>
  <si>
    <t>Director of HR</t>
  </si>
  <si>
    <t>lisa.chang@ipipeline.com</t>
  </si>
  <si>
    <t>610.555.0112</t>
  </si>
  <si>
    <t>James Rivera</t>
  </si>
  <si>
    <t>Senior Sales Engineer</t>
  </si>
  <si>
    <t>james.rivera@ipipeline.com</t>
  </si>
  <si>
    <t>617-555-0113</t>
  </si>
  <si>
    <t>Priya Sharma</t>
  </si>
  <si>
    <t>Director of Operations</t>
  </si>
  <si>
    <t>priya.sharma@ipipeline.com</t>
  </si>
  <si>
    <t>(610) 555-0114</t>
  </si>
  <si>
    <t>Remote</t>
  </si>
  <si>
    <t>Nathan Wright</t>
  </si>
  <si>
    <t>IT Security Manager</t>
  </si>
  <si>
    <t>nathan.wright@ipipeline.com</t>
  </si>
  <si>
    <t>312.555.0115</t>
  </si>
  <si>
    <t>Q4 2025 ARCHIVE — DO NOT MODIFY</t>
  </si>
  <si>
    <t>This sheet contains archived Q4 2025 department actuals. Data was frozen on 01/15/2026.</t>
  </si>
  <si>
    <t>Contact Finance (R. Patel) before making any changes to this archive.</t>
  </si>
  <si>
    <t>Q4 Actual</t>
  </si>
  <si>
    <t>Q4 Budget</t>
  </si>
  <si>
    <t>Variance</t>
  </si>
  <si>
    <t>Close Date</t>
  </si>
  <si>
    <t>12/31/2025</t>
  </si>
  <si>
    <t>Video 3 Test Sample File Demo</t>
  </si>
  <si>
    <t>Demo File Test Example</t>
  </si>
  <si>
    <t xml:space="preserve">Test File Demo - Video 3 </t>
  </si>
  <si>
    <t>Demo</t>
  </si>
  <si>
    <t>Note:</t>
  </si>
  <si>
    <t>This file is purposely filled with erros for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</si>
</sst>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\$#,##0"/>
    <numFmt numFmtId="165" formatCode="\$#,##0;&quot;($&quot;#,##0\);\-"/>
    <numFmt numFmtId="166" formatCode="0.0%;\(0.0%\);\-"/>
  </numFmts>
  <fonts count="40" x14ac:knownFonts="1">
    <font>
      <sz val="11"/>
      <color theme="1"/>
      <name val="Calibri"/>
      <family val="2"/>
      <charset val="1"/>
    </font>
    <font>
      <i/>
      <sz val="10"/>
      <color rgb="FF4B9BCB"/>
      <name val="Arial"/>
      <family val="2"/>
    </font>
    <font>
      <sz val="14"/>
      <color rgb="FF4B9BCB"/>
      <name val="Arial"/>
      <family val="2"/>
    </font>
    <font>
      <sz val="10"/>
      <color rgb="FF555555"/>
      <name val="Arial"/>
      <family val="2"/>
    </font>
    <font>
      <b/>
      <sz val="10"/>
      <color rgb="FF444444"/>
      <name val="Arial"/>
      <family val="2"/>
    </font>
    <font>
      <b/>
      <sz val="10"/>
      <color rgb="FFCC0000"/>
      <name val="Arial"/>
      <family val="2"/>
    </font>
    <font>
      <b/>
      <sz val="11"/>
      <color rgb="FF0B4779"/>
      <name val="Arial"/>
      <family val="2"/>
    </font>
    <font>
      <sz val="10"/>
      <color rgb="FF2BCCD3"/>
      <name val="Arial"/>
      <family val="2"/>
    </font>
    <font>
      <b/>
      <sz val="10"/>
      <color rgb="FF112E51"/>
      <name val="Arial"/>
      <family val="2"/>
    </font>
    <font>
      <b/>
      <sz val="20"/>
      <color rgb="FF0B4779"/>
      <name val="Arial"/>
      <family val="2"/>
    </font>
    <font>
      <b/>
      <sz val="20"/>
      <color rgb="FF112E51"/>
      <name val="Arial"/>
      <family val="2"/>
    </font>
    <font>
      <sz val="9"/>
      <color rgb="FF777777"/>
      <name val="Arial"/>
      <family val="2"/>
    </font>
    <font>
      <b/>
      <sz val="20"/>
      <color rgb="FF4B9BCB"/>
      <name val="Arial"/>
      <family val="2"/>
    </font>
    <font>
      <b/>
      <sz val="20"/>
      <color rgb="FF2BCCD3"/>
      <name val="Arial"/>
      <family val="2"/>
    </font>
    <font>
      <sz val="9"/>
      <color rgb="FFFFFFFF"/>
      <name val="Arial"/>
      <family val="2"/>
    </font>
    <font>
      <i/>
      <sz val="8"/>
      <color rgb="FF4B9BCB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0"/>
      <color rgb="FF006600"/>
      <name val="Arial"/>
      <family val="2"/>
    </font>
    <font>
      <b/>
      <sz val="10"/>
      <color rgb="FF996600"/>
      <name val="Arial"/>
      <family val="2"/>
    </font>
    <font>
      <b/>
      <sz val="9"/>
      <color rgb="FF0B4779"/>
      <name val="Arial"/>
      <family val="2"/>
    </font>
    <font>
      <sz val="9"/>
      <color rgb="FF666666"/>
      <name val="Arial"/>
      <family val="2"/>
    </font>
    <font>
      <b/>
      <sz val="12"/>
      <color rgb="FFCC0000"/>
      <name val="Arial"/>
      <family val="2"/>
    </font>
    <font>
      <i/>
      <sz val="10"/>
      <color rgb="FF666666"/>
      <name val="Arial"/>
      <family val="2"/>
    </font>
    <font>
      <b/>
      <sz val="10"/>
      <name val="Arial"/>
      <family val="2"/>
    </font>
    <font>
      <i/>
      <sz val="9"/>
      <color rgb="FF888888"/>
      <name val="Arial"/>
      <family val="2"/>
    </font>
    <font>
      <sz val="10"/>
      <name val="Arial"/>
      <family val="2"/>
    </font>
    <font>
      <b/>
      <sz val="28"/>
      <color rgb="FF0B4779"/>
      <name val="Arial"/>
      <family val="2"/>
    </font>
    <font>
      <sz val="28"/>
      <color theme="1"/>
      <name val="Calibri"/>
      <family val="2"/>
      <charset val="1"/>
    </font>
    <font>
      <sz val="28"/>
      <name val="Arial"/>
      <family val="2"/>
    </font>
    <font>
      <b/>
      <sz val="26"/>
      <color rgb="FFFFFFFF"/>
      <name val="Arial"/>
      <family val="2"/>
    </font>
    <font>
      <sz val="26"/>
      <color theme="1"/>
      <name val="Calibri"/>
      <family val="2"/>
      <charset val="1"/>
    </font>
    <font>
      <sz val="26"/>
      <name val="Arial"/>
      <family val="2"/>
    </font>
    <font>
      <sz val="14"/>
      <color theme="1"/>
      <name val="Calibri"/>
      <family val="2"/>
      <charset val="1"/>
    </font>
    <font>
      <sz val="14"/>
      <name val="Arial"/>
      <family val="2"/>
    </font>
    <font>
      <sz val="11"/>
      <name val="Arial"/>
      <family val="2"/>
    </font>
    <font>
      <b/>
      <i/>
      <sz val="10"/>
      <color theme="1" tint="0.34998626667073579"/>
      <name val="Arial"/>
      <family val="2"/>
    </font>
    <font>
      <i/>
      <sz val="11"/>
      <color theme="1" tint="0.34998626667073579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12E51"/>
        <bgColor rgb="FF333333"/>
      </patternFill>
    </fill>
    <fill>
      <patternFill patternType="solid">
        <fgColor rgb="FFFFFFFF"/>
        <bgColor rgb="FFFFFCF0"/>
      </patternFill>
    </fill>
    <fill>
      <patternFill patternType="solid">
        <fgColor rgb="FF0B4779"/>
        <bgColor rgb="FF112E51"/>
      </patternFill>
    </fill>
    <fill>
      <patternFill patternType="solid">
        <fgColor rgb="FFF9F9F9"/>
        <bgColor rgb="FFF7FAFC"/>
      </patternFill>
    </fill>
    <fill>
      <patternFill patternType="solid">
        <fgColor rgb="FF4B9BCB"/>
        <bgColor rgb="FF8AA4BE"/>
      </patternFill>
    </fill>
    <fill>
      <patternFill patternType="solid">
        <fgColor rgb="FF2BCCD3"/>
        <bgColor rgb="FF00CCFF"/>
      </patternFill>
    </fill>
    <fill>
      <patternFill patternType="solid">
        <fgColor rgb="FFF7FAFC"/>
        <bgColor rgb="FFF9F9F9"/>
      </patternFill>
    </fill>
    <fill>
      <patternFill patternType="solid">
        <fgColor rgb="FFFFF0F0"/>
        <bgColor rgb="FFF9F9F9"/>
      </patternFill>
    </fill>
    <fill>
      <patternFill patternType="solid">
        <fgColor rgb="FFEDF3F8"/>
        <bgColor rgb="FFF7FAFC"/>
      </patternFill>
    </fill>
    <fill>
      <patternFill patternType="solid">
        <fgColor rgb="FFF0FFF0"/>
        <bgColor rgb="FFF7FAFC"/>
      </patternFill>
    </fill>
    <fill>
      <patternFill patternType="solid">
        <fgColor rgb="FFFFFCF0"/>
        <bgColor rgb="FFF9F9F9"/>
      </patternFill>
    </fill>
  </fills>
  <borders count="33">
    <border>
      <left/>
      <right/>
      <top/>
      <bottom/>
      <diagonal/>
    </border>
    <border>
      <left/>
      <right/>
      <top/>
      <bottom style="thick">
        <color rgb="FF2BCCD3"/>
      </bottom>
      <diagonal/>
    </border>
    <border>
      <left/>
      <right/>
      <top/>
      <bottom style="medium">
        <color rgb="FF0B4779"/>
      </bottom>
      <diagonal/>
    </border>
    <border>
      <left style="medium">
        <color rgb="FF0B4779"/>
      </left>
      <right style="medium">
        <color rgb="FF0B4779"/>
      </right>
      <top style="medium">
        <color rgb="FF0B4779"/>
      </top>
      <bottom style="medium">
        <color rgb="FF0B4779"/>
      </bottom>
      <diagonal/>
    </border>
    <border>
      <left style="medium">
        <color rgb="FF112E51"/>
      </left>
      <right style="medium">
        <color rgb="FF112E51"/>
      </right>
      <top style="medium">
        <color rgb="FF112E51"/>
      </top>
      <bottom style="medium">
        <color rgb="FF112E51"/>
      </bottom>
      <diagonal/>
    </border>
    <border>
      <left style="medium">
        <color rgb="FF0B4779"/>
      </left>
      <right style="medium">
        <color rgb="FF0B4779"/>
      </right>
      <top/>
      <bottom/>
      <diagonal/>
    </border>
    <border>
      <left style="medium">
        <color rgb="FF112E51"/>
      </left>
      <right style="medium">
        <color rgb="FF112E51"/>
      </right>
      <top/>
      <bottom/>
      <diagonal/>
    </border>
    <border>
      <left style="medium">
        <color rgb="FF0B4779"/>
      </left>
      <right style="medium">
        <color rgb="FF0B4779"/>
      </right>
      <top/>
      <bottom style="medium">
        <color rgb="FF0B4779"/>
      </bottom>
      <diagonal/>
    </border>
    <border>
      <left style="medium">
        <color rgb="FF112E51"/>
      </left>
      <right style="medium">
        <color rgb="FF112E51"/>
      </right>
      <top/>
      <bottom style="medium">
        <color rgb="FF112E51"/>
      </bottom>
      <diagonal/>
    </border>
    <border>
      <left style="medium">
        <color rgb="FF4B9BCB"/>
      </left>
      <right style="medium">
        <color rgb="FF4B9BCB"/>
      </right>
      <top style="medium">
        <color rgb="FF4B9BCB"/>
      </top>
      <bottom style="medium">
        <color rgb="FF4B9BCB"/>
      </bottom>
      <diagonal/>
    </border>
    <border>
      <left style="medium">
        <color rgb="FF2BCCD3"/>
      </left>
      <right style="medium">
        <color rgb="FF2BCCD3"/>
      </right>
      <top style="medium">
        <color rgb="FF2BCCD3"/>
      </top>
      <bottom style="medium">
        <color rgb="FF2BCCD3"/>
      </bottom>
      <diagonal/>
    </border>
    <border>
      <left style="medium">
        <color rgb="FF4B9BCB"/>
      </left>
      <right style="medium">
        <color rgb="FF4B9BCB"/>
      </right>
      <top/>
      <bottom/>
      <diagonal/>
    </border>
    <border>
      <left style="medium">
        <color rgb="FF2BCCD3"/>
      </left>
      <right style="medium">
        <color rgb="FF2BCCD3"/>
      </right>
      <top/>
      <bottom/>
      <diagonal/>
    </border>
    <border>
      <left style="medium">
        <color rgb="FF4B9BCB"/>
      </left>
      <right style="medium">
        <color rgb="FF4B9BCB"/>
      </right>
      <top/>
      <bottom style="medium">
        <color rgb="FF4B9BCB"/>
      </bottom>
      <diagonal/>
    </border>
    <border>
      <left style="medium">
        <color rgb="FF2BCCD3"/>
      </left>
      <right style="medium">
        <color rgb="FF2BCCD3"/>
      </right>
      <top/>
      <bottom style="medium">
        <color rgb="FF2BCCD3"/>
      </bottom>
      <diagonal/>
    </border>
    <border>
      <left style="thin">
        <color rgb="FF112E51"/>
      </left>
      <right style="thin">
        <color rgb="FF112E51"/>
      </right>
      <top style="medium">
        <color rgb="FF112E51"/>
      </top>
      <bottom style="thick">
        <color rgb="FF2BCCD3"/>
      </bottom>
      <diagonal/>
    </border>
    <border>
      <left style="medium">
        <color rgb="FF8AA4BE"/>
      </left>
      <right style="thin">
        <color rgb="FFB8C9DA"/>
      </right>
      <top style="hair">
        <color rgb="FFB8C9DA"/>
      </top>
      <bottom style="hair">
        <color rgb="FFB8C9DA"/>
      </bottom>
      <diagonal/>
    </border>
    <border>
      <left style="thin">
        <color rgb="FFB8C9DA"/>
      </left>
      <right style="thin">
        <color rgb="FFB8C9DA"/>
      </right>
      <top style="hair">
        <color rgb="FFB8C9DA"/>
      </top>
      <bottom style="hair">
        <color rgb="FFB8C9DA"/>
      </bottom>
      <diagonal/>
    </border>
    <border>
      <left style="thin">
        <color rgb="FFB8C9DA"/>
      </left>
      <right style="medium">
        <color rgb="FF8AA4BE"/>
      </right>
      <top style="hair">
        <color rgb="FFB8C9DA"/>
      </top>
      <bottom style="hair">
        <color rgb="FFB8C9DA"/>
      </bottom>
      <diagonal/>
    </border>
    <border>
      <left style="medium">
        <color rgb="FF112E51"/>
      </left>
      <right style="medium">
        <color rgb="FF112E51"/>
      </right>
      <top style="double">
        <color rgb="FF0B4779"/>
      </top>
      <bottom style="medium">
        <color rgb="FF112E51"/>
      </bottom>
      <diagonal/>
    </border>
    <border>
      <left/>
      <right/>
      <top/>
      <bottom style="thin">
        <color rgb="FF4B9BCB"/>
      </bottom>
      <diagonal/>
    </border>
    <border>
      <left/>
      <right style="medium">
        <color rgb="FF0B4779"/>
      </right>
      <top style="medium">
        <color rgb="FF0B4779"/>
      </top>
      <bottom style="medium">
        <color rgb="FF0B4779"/>
      </bottom>
      <diagonal/>
    </border>
    <border>
      <left/>
      <right style="medium">
        <color rgb="FF112E51"/>
      </right>
      <top style="medium">
        <color rgb="FF112E51"/>
      </top>
      <bottom style="medium">
        <color rgb="FF112E51"/>
      </bottom>
      <diagonal/>
    </border>
    <border>
      <left/>
      <right style="medium">
        <color rgb="FF0B4779"/>
      </right>
      <top/>
      <bottom/>
      <diagonal/>
    </border>
    <border>
      <left/>
      <right style="medium">
        <color rgb="FF112E51"/>
      </right>
      <top/>
      <bottom/>
      <diagonal/>
    </border>
    <border>
      <left/>
      <right style="medium">
        <color rgb="FF0B4779"/>
      </right>
      <top/>
      <bottom style="medium">
        <color rgb="FF0B4779"/>
      </bottom>
      <diagonal/>
    </border>
    <border>
      <left/>
      <right style="medium">
        <color rgb="FF112E51"/>
      </right>
      <top/>
      <bottom style="medium">
        <color rgb="FF112E51"/>
      </bottom>
      <diagonal/>
    </border>
    <border>
      <left/>
      <right style="medium">
        <color rgb="FF4B9BCB"/>
      </right>
      <top style="medium">
        <color rgb="FF4B9BCB"/>
      </top>
      <bottom style="medium">
        <color rgb="FF4B9BCB"/>
      </bottom>
      <diagonal/>
    </border>
    <border>
      <left/>
      <right style="medium">
        <color rgb="FF2BCCD3"/>
      </right>
      <top style="medium">
        <color rgb="FF2BCCD3"/>
      </top>
      <bottom style="medium">
        <color rgb="FF2BCCD3"/>
      </bottom>
      <diagonal/>
    </border>
    <border>
      <left/>
      <right style="medium">
        <color rgb="FF4B9BCB"/>
      </right>
      <top/>
      <bottom/>
      <diagonal/>
    </border>
    <border>
      <left/>
      <right style="medium">
        <color rgb="FF2BCCD3"/>
      </right>
      <top/>
      <bottom/>
      <diagonal/>
    </border>
    <border>
      <left/>
      <right style="medium">
        <color rgb="FF4B9BCB"/>
      </right>
      <top/>
      <bottom style="medium">
        <color rgb="FF4B9BCB"/>
      </bottom>
      <diagonal/>
    </border>
    <border>
      <left/>
      <right style="medium">
        <color rgb="FF2BCCD3"/>
      </right>
      <top/>
      <bottom style="medium">
        <color rgb="FF2BCCD3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7" fillId="3" borderId="0" xfId="0" applyFont="1" applyFill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16" fillId="4" borderId="15" xfId="0" applyFont="1" applyFill="1" applyBorder="1" applyAlignment="1">
      <alignment horizontal="center" vertical="center" wrapText="1"/>
    </xf>
    <xf numFmtId="0" fontId="17" fillId="8" borderId="0" xfId="0" applyFont="1" applyFill="1"/>
    <xf numFmtId="49" fontId="17" fillId="8" borderId="0" xfId="0" applyNumberFormat="1" applyFont="1" applyFill="1"/>
    <xf numFmtId="0" fontId="17" fillId="0" borderId="0" xfId="0" applyFont="1"/>
    <xf numFmtId="49" fontId="17" fillId="0" borderId="0" xfId="0" applyNumberFormat="1" applyFont="1"/>
    <xf numFmtId="49" fontId="16" fillId="4" borderId="15" xfId="0" applyNumberFormat="1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vertical="center" indent="1"/>
    </xf>
    <xf numFmtId="164" fontId="19" fillId="3" borderId="17" xfId="0" applyNumberFormat="1" applyFont="1" applyFill="1" applyBorder="1" applyAlignment="1">
      <alignment horizontal="right" vertical="center"/>
    </xf>
    <xf numFmtId="165" fontId="19" fillId="3" borderId="17" xfId="0" applyNumberFormat="1" applyFont="1" applyFill="1" applyBorder="1" applyAlignment="1">
      <alignment horizontal="right" vertical="center"/>
    </xf>
    <xf numFmtId="166" fontId="19" fillId="3" borderId="17" xfId="0" applyNumberFormat="1" applyFont="1" applyFill="1" applyBorder="1" applyAlignment="1">
      <alignment horizontal="right" vertical="center"/>
    </xf>
    <xf numFmtId="0" fontId="5" fillId="9" borderId="18" xfId="0" applyFont="1" applyFill="1" applyBorder="1" applyAlignment="1">
      <alignment horizontal="center" vertical="center"/>
    </xf>
    <xf numFmtId="0" fontId="8" fillId="10" borderId="16" xfId="0" applyFont="1" applyFill="1" applyBorder="1" applyAlignment="1">
      <alignment vertical="center" indent="1"/>
    </xf>
    <xf numFmtId="164" fontId="19" fillId="10" borderId="17" xfId="0" applyNumberFormat="1" applyFont="1" applyFill="1" applyBorder="1" applyAlignment="1">
      <alignment horizontal="right" vertical="center"/>
    </xf>
    <xf numFmtId="165" fontId="19" fillId="10" borderId="17" xfId="0" applyNumberFormat="1" applyFont="1" applyFill="1" applyBorder="1" applyAlignment="1">
      <alignment horizontal="right" vertical="center"/>
    </xf>
    <xf numFmtId="166" fontId="19" fillId="10" borderId="17" xfId="0" applyNumberFormat="1" applyFont="1" applyFill="1" applyBorder="1" applyAlignment="1">
      <alignment horizontal="right" vertical="center"/>
    </xf>
    <xf numFmtId="0" fontId="20" fillId="11" borderId="18" xfId="0" applyFont="1" applyFill="1" applyBorder="1" applyAlignment="1">
      <alignment horizontal="center" vertical="center"/>
    </xf>
    <xf numFmtId="0" fontId="21" fillId="12" borderId="18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vertical="center" indent="1"/>
    </xf>
    <xf numFmtId="164" fontId="18" fillId="2" borderId="19" xfId="0" applyNumberFormat="1" applyFont="1" applyFill="1" applyBorder="1" applyAlignment="1">
      <alignment horizontal="right" vertical="center"/>
    </xf>
    <xf numFmtId="165" fontId="18" fillId="2" borderId="19" xfId="0" applyNumberFormat="1" applyFont="1" applyFill="1" applyBorder="1" applyAlignment="1">
      <alignment horizontal="right" vertical="center"/>
    </xf>
    <xf numFmtId="166" fontId="18" fillId="2" borderId="19" xfId="0" applyNumberFormat="1" applyFont="1" applyFill="1" applyBorder="1" applyAlignment="1">
      <alignment horizontal="right" vertical="center"/>
    </xf>
    <xf numFmtId="0" fontId="18" fillId="2" borderId="19" xfId="0" applyFont="1" applyFill="1" applyBorder="1" applyAlignment="1">
      <alignment horizontal="center" vertical="center"/>
    </xf>
    <xf numFmtId="0" fontId="22" fillId="0" borderId="20" xfId="0" applyFont="1" applyBorder="1"/>
    <xf numFmtId="0" fontId="0" fillId="0" borderId="20" xfId="0" applyBorder="1"/>
    <xf numFmtId="0" fontId="23" fillId="0" borderId="0" xfId="0" applyFont="1" applyAlignment="1">
      <alignment indent="1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31" fillId="8" borderId="0" xfId="0" applyFont="1" applyFill="1" applyAlignment="1">
      <alignment horizontal="left" vertical="center"/>
    </xf>
    <xf numFmtId="49" fontId="31" fillId="8" borderId="0" xfId="0" applyNumberFormat="1" applyFont="1" applyFill="1" applyAlignment="1">
      <alignment horizontal="left" vertical="center"/>
    </xf>
    <xf numFmtId="0" fontId="34" fillId="8" borderId="0" xfId="0" applyFont="1" applyFill="1"/>
    <xf numFmtId="49" fontId="34" fillId="8" borderId="0" xfId="0" applyNumberFormat="1" applyFont="1" applyFill="1"/>
    <xf numFmtId="0" fontId="36" fillId="0" borderId="0" xfId="0" applyFont="1"/>
    <xf numFmtId="49" fontId="36" fillId="0" borderId="0" xfId="0" applyNumberFormat="1" applyFont="1"/>
    <xf numFmtId="15" fontId="17" fillId="0" borderId="0" xfId="0" applyNumberFormat="1" applyFont="1" applyAlignment="1">
      <alignment horizontal="left"/>
    </xf>
    <xf numFmtId="49" fontId="17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37" fillId="0" borderId="0" xfId="0" applyFont="1"/>
    <xf numFmtId="49" fontId="37" fillId="0" borderId="0" xfId="0" applyNumberFormat="1" applyFont="1"/>
    <xf numFmtId="0" fontId="37" fillId="8" borderId="0" xfId="0" applyFont="1" applyFill="1"/>
    <xf numFmtId="49" fontId="37" fillId="8" borderId="0" xfId="0" applyNumberFormat="1" applyFont="1" applyFill="1"/>
    <xf numFmtId="0" fontId="11" fillId="5" borderId="7" xfId="0" applyFont="1" applyFill="1" applyBorder="1" applyAlignment="1">
      <alignment horizontal="center" vertical="center"/>
    </xf>
    <xf numFmtId="0" fontId="0" fillId="0" borderId="25" xfId="0" applyBorder="1"/>
    <xf numFmtId="0" fontId="3" fillId="3" borderId="0" xfId="0" applyFont="1" applyFill="1"/>
    <xf numFmtId="0" fontId="0" fillId="0" borderId="0" xfId="0"/>
    <xf numFmtId="0" fontId="15" fillId="2" borderId="0" xfId="0" applyFont="1" applyFill="1" applyAlignment="1">
      <alignment horizontal="center" vertical="top"/>
    </xf>
    <xf numFmtId="0" fontId="13" fillId="3" borderId="12" xfId="0" applyFont="1" applyFill="1" applyBorder="1" applyAlignment="1">
      <alignment horizontal="center" vertical="center"/>
    </xf>
    <xf numFmtId="0" fontId="0" fillId="0" borderId="30" xfId="0" applyBorder="1"/>
    <xf numFmtId="0" fontId="3" fillId="3" borderId="0" xfId="0" applyFont="1" applyFill="1" applyAlignment="1">
      <alignment vertical="center"/>
    </xf>
    <xf numFmtId="0" fontId="38" fillId="3" borderId="0" xfId="0" applyFont="1" applyFill="1" applyAlignment="1">
      <alignment horizontal="left"/>
    </xf>
    <xf numFmtId="0" fontId="39" fillId="0" borderId="0" xfId="0" applyFont="1" applyAlignment="1">
      <alignment horizontal="left"/>
    </xf>
    <xf numFmtId="0" fontId="18" fillId="7" borderId="10" xfId="0" applyFont="1" applyFill="1" applyBorder="1" applyAlignment="1">
      <alignment horizontal="center" vertical="center"/>
    </xf>
    <xf numFmtId="0" fontId="0" fillId="0" borderId="28" xfId="0" applyBorder="1"/>
    <xf numFmtId="0" fontId="14" fillId="2" borderId="0" xfId="0" applyFont="1" applyFill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0" fillId="0" borderId="32" xfId="0" applyBorder="1"/>
    <xf numFmtId="0" fontId="12" fillId="3" borderId="11" xfId="0" applyFont="1" applyFill="1" applyBorder="1" applyAlignment="1">
      <alignment horizontal="center" vertical="center"/>
    </xf>
    <xf numFmtId="0" fontId="0" fillId="0" borderId="29" xfId="0" applyBorder="1"/>
    <xf numFmtId="0" fontId="18" fillId="6" borderId="9" xfId="0" applyFont="1" applyFill="1" applyBorder="1" applyAlignment="1">
      <alignment horizontal="center" vertical="center"/>
    </xf>
    <xf numFmtId="0" fontId="0" fillId="0" borderId="27" xfId="0" applyBorder="1"/>
    <xf numFmtId="0" fontId="11" fillId="5" borderId="8" xfId="0" applyFont="1" applyFill="1" applyBorder="1" applyAlignment="1">
      <alignment horizontal="center" vertical="center"/>
    </xf>
    <xf numFmtId="0" fontId="0" fillId="0" borderId="26" xfId="0" applyBorder="1"/>
    <xf numFmtId="0" fontId="10" fillId="3" borderId="6" xfId="0" applyFont="1" applyFill="1" applyBorder="1" applyAlignment="1">
      <alignment horizontal="center" vertical="center"/>
    </xf>
    <xf numFmtId="0" fontId="0" fillId="0" borderId="24" xfId="0" applyBorder="1"/>
    <xf numFmtId="0" fontId="11" fillId="5" borderId="13" xfId="0" applyFont="1" applyFill="1" applyBorder="1" applyAlignment="1">
      <alignment horizontal="center" vertical="center"/>
    </xf>
    <xf numFmtId="0" fontId="0" fillId="0" borderId="31" xfId="0" applyBorder="1"/>
    <xf numFmtId="0" fontId="32" fillId="2" borderId="0" xfId="0" applyFont="1" applyFill="1" applyAlignment="1">
      <alignment horizontal="left" vertical="center"/>
    </xf>
    <xf numFmtId="0" fontId="33" fillId="0" borderId="0" xfId="0" applyFont="1"/>
    <xf numFmtId="15" fontId="4" fillId="3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18" fillId="4" borderId="3" xfId="0" applyFont="1" applyFill="1" applyBorder="1" applyAlignment="1">
      <alignment horizontal="center" vertical="center"/>
    </xf>
    <xf numFmtId="0" fontId="0" fillId="0" borderId="21" xfId="0" applyBorder="1"/>
    <xf numFmtId="0" fontId="6" fillId="3" borderId="2" xfId="0" applyFont="1" applyFill="1" applyBorder="1" applyAlignment="1">
      <alignment horizontal="left"/>
    </xf>
    <xf numFmtId="0" fontId="0" fillId="0" borderId="2" xfId="0" applyBorder="1"/>
    <xf numFmtId="0" fontId="29" fillId="3" borderId="0" xfId="0" applyFont="1" applyFill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top"/>
    </xf>
    <xf numFmtId="0" fontId="35" fillId="0" borderId="0" xfId="0" applyFont="1"/>
    <xf numFmtId="0" fontId="4" fillId="3" borderId="0" xfId="0" applyFont="1" applyFill="1"/>
    <xf numFmtId="0" fontId="1" fillId="2" borderId="0" xfId="0" applyFont="1" applyFill="1" applyAlignment="1">
      <alignment horizontal="left" vertical="top"/>
    </xf>
    <xf numFmtId="0" fontId="18" fillId="2" borderId="4" xfId="0" applyFont="1" applyFill="1" applyBorder="1" applyAlignment="1">
      <alignment horizontal="center" vertical="center"/>
    </xf>
    <xf numFmtId="0" fontId="0" fillId="0" borderId="22" xfId="0" applyBorder="1"/>
    <xf numFmtId="0" fontId="9" fillId="3" borderId="5" xfId="0" applyFont="1" applyFill="1" applyBorder="1" applyAlignment="1">
      <alignment horizontal="center" vertical="center"/>
    </xf>
    <xf numFmtId="0" fontId="0" fillId="0" borderId="23" xfId="0" applyBorder="1"/>
    <xf numFmtId="0" fontId="25" fillId="0" borderId="0" xfId="0" applyFont="1"/>
    <xf numFmtId="0" fontId="24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856534B-CD5D-4FE7-94D0-0490C9BE1CD0}"/>
  </table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8C9DA"/>
      <rgbColor rgb="FF777777"/>
      <rgbColor rgb="FF8AA4BE"/>
      <rgbColor rgb="FF555555"/>
      <rgbColor rgb="FFFFFCF0"/>
      <rgbColor rgb="FFF0FFF0"/>
      <rgbColor rgb="FF660066"/>
      <rgbColor rgb="FFFF8080"/>
      <rgbColor rgb="FF0066CC"/>
      <rgbColor rgb="FFF9F9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3F8"/>
      <rgbColor rgb="FFF7FAFC"/>
      <rgbColor rgb="FFFFF0F0"/>
      <rgbColor rgb="FF99CCFF"/>
      <rgbColor rgb="FFFF99CC"/>
      <rgbColor rgb="FFCC99FF"/>
      <rgbColor rgb="FFFFCC99"/>
      <rgbColor rgb="FF3366FF"/>
      <rgbColor rgb="FF2BCCD3"/>
      <rgbColor rgb="FF99CC00"/>
      <rgbColor rgb="FFFFCC00"/>
      <rgbColor rgb="FFFF9900"/>
      <rgbColor rgb="FFFF6600"/>
      <rgbColor rgb="FF666666"/>
      <rgbColor rgb="FF999999"/>
      <rgbColor rgb="FF112E51"/>
      <rgbColor rgb="FF4B9BCB"/>
      <rgbColor rgb="FF003300"/>
      <rgbColor rgb="FF444444"/>
      <rgbColor rgb="FF993300"/>
      <rgbColor rgb="FF993366"/>
      <rgbColor rgb="FF0B47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112E51"/>
  </sheetPr>
  <dimension ref="A1:H35"/>
  <sheetViews>
    <sheetView showGridLines="0" topLeftCell="A18" zoomScaleNormal="100" workbookViewId="0">
      <selection activeCell="G9" sqref="G9"/>
    </sheetView>
  </sheetViews>
  <sheetFormatPr defaultColWidth="8.7109375" defaultRowHeight="15" x14ac:dyDescent="0.25"/>
  <cols>
    <col min="1" max="1" width="4" customWidth="1"/>
    <col min="2" max="2" width="20.5703125" customWidth="1"/>
    <col min="3" max="3" width="23.42578125" customWidth="1"/>
    <col min="4" max="4" width="3" customWidth="1"/>
    <col min="5" max="5" width="22" customWidth="1"/>
    <col min="6" max="6" width="26.140625" customWidth="1"/>
    <col min="7" max="7" width="42.42578125" customWidth="1"/>
    <col min="8" max="8" width="4" customWidth="1"/>
  </cols>
  <sheetData>
    <row r="1" spans="1:8" ht="18" customHeight="1" x14ac:dyDescent="0.25">
      <c r="A1" s="1"/>
      <c r="B1" s="1"/>
      <c r="C1" s="1"/>
      <c r="D1" s="1"/>
      <c r="E1" s="1"/>
      <c r="F1" s="1"/>
      <c r="G1" s="1"/>
      <c r="H1" s="1"/>
    </row>
    <row r="2" spans="1:8" ht="48" customHeight="1" x14ac:dyDescent="0.5">
      <c r="A2" s="1"/>
      <c r="B2" s="74" t="s">
        <v>325</v>
      </c>
      <c r="C2" s="75"/>
      <c r="D2" s="75"/>
      <c r="E2" s="75"/>
      <c r="F2" s="75"/>
      <c r="G2" s="75"/>
      <c r="H2" s="1"/>
    </row>
    <row r="3" spans="1:8" ht="19.5" customHeight="1" x14ac:dyDescent="0.25">
      <c r="A3" s="1"/>
      <c r="B3" s="87" t="s">
        <v>323</v>
      </c>
      <c r="C3" s="52"/>
      <c r="D3" s="52"/>
      <c r="E3" s="52"/>
      <c r="F3" s="52"/>
      <c r="G3" s="52"/>
      <c r="H3" s="1"/>
    </row>
    <row r="4" spans="1:8" ht="4.5" customHeight="1" x14ac:dyDescent="0.25">
      <c r="A4" s="1"/>
      <c r="B4" s="2"/>
      <c r="C4" s="2"/>
      <c r="D4" s="2"/>
      <c r="E4" s="2"/>
      <c r="F4" s="2"/>
      <c r="G4" s="2"/>
      <c r="H4" s="1"/>
    </row>
    <row r="5" spans="1:8" ht="15" customHeight="1" x14ac:dyDescent="0.25">
      <c r="A5" s="3"/>
      <c r="B5" s="3"/>
      <c r="C5" s="3"/>
      <c r="D5" s="3"/>
      <c r="E5" s="3"/>
      <c r="F5" s="3"/>
      <c r="G5" s="3"/>
      <c r="H5" s="3"/>
    </row>
    <row r="6" spans="1:8" ht="33.75" customHeight="1" x14ac:dyDescent="0.25">
      <c r="A6" s="3"/>
      <c r="B6" s="82" t="s">
        <v>0</v>
      </c>
      <c r="C6" s="83"/>
      <c r="D6" s="83"/>
      <c r="E6" s="83"/>
      <c r="F6" s="83"/>
      <c r="G6" s="83"/>
      <c r="H6" s="3"/>
    </row>
    <row r="7" spans="1:8" ht="22.5" customHeight="1" x14ac:dyDescent="0.3">
      <c r="A7" s="3"/>
      <c r="B7" s="84" t="s">
        <v>1</v>
      </c>
      <c r="C7" s="85"/>
      <c r="D7" s="85"/>
      <c r="E7" s="85"/>
      <c r="F7" s="85"/>
      <c r="G7" s="85"/>
      <c r="H7" s="3"/>
    </row>
    <row r="8" spans="1:8" ht="3.75" customHeight="1" x14ac:dyDescent="0.25">
      <c r="A8" s="3"/>
      <c r="B8" s="4"/>
      <c r="C8" s="4"/>
      <c r="D8" s="4"/>
      <c r="E8" s="3"/>
      <c r="F8" s="3"/>
      <c r="G8" s="3"/>
      <c r="H8" s="3"/>
    </row>
    <row r="9" spans="1:8" ht="14.25" customHeight="1" x14ac:dyDescent="0.25">
      <c r="A9" s="3"/>
      <c r="B9" s="3"/>
      <c r="C9" s="3"/>
      <c r="D9" s="3"/>
      <c r="E9" s="3"/>
      <c r="F9" s="3"/>
      <c r="G9" s="3"/>
      <c r="H9" s="3"/>
    </row>
    <row r="10" spans="1:8" ht="15" customHeight="1" x14ac:dyDescent="0.25">
      <c r="A10" s="3"/>
      <c r="B10" s="51" t="s">
        <v>2</v>
      </c>
      <c r="C10" s="52"/>
      <c r="D10" s="86" t="s">
        <v>326</v>
      </c>
      <c r="E10" s="52"/>
      <c r="F10" s="52"/>
      <c r="G10" s="3"/>
      <c r="H10" s="3"/>
    </row>
    <row r="11" spans="1:8" ht="15" customHeight="1" x14ac:dyDescent="0.25">
      <c r="A11" s="3"/>
      <c r="B11" s="51" t="s">
        <v>3</v>
      </c>
      <c r="C11" s="52"/>
      <c r="D11" s="76">
        <v>46107</v>
      </c>
      <c r="E11" s="77"/>
      <c r="F11" s="77"/>
      <c r="G11" s="3"/>
      <c r="H11" s="3"/>
    </row>
    <row r="12" spans="1:8" ht="15" customHeight="1" x14ac:dyDescent="0.25">
      <c r="A12" s="3"/>
      <c r="B12" s="51" t="s">
        <v>327</v>
      </c>
      <c r="C12" s="52"/>
      <c r="D12" s="57" t="s">
        <v>328</v>
      </c>
      <c r="E12" s="58"/>
      <c r="F12" s="58"/>
      <c r="G12" s="3"/>
      <c r="H12" s="3"/>
    </row>
    <row r="13" spans="1:8" ht="14.25" customHeight="1" x14ac:dyDescent="0.25">
      <c r="A13" s="3"/>
      <c r="B13" s="3"/>
      <c r="C13" s="3"/>
      <c r="D13" s="3"/>
      <c r="E13" s="3"/>
      <c r="F13" s="3"/>
      <c r="G13" s="3"/>
      <c r="H13" s="3"/>
    </row>
    <row r="14" spans="1:8" ht="25.5" customHeight="1" x14ac:dyDescent="0.25">
      <c r="A14" s="3"/>
      <c r="B14" s="80" t="s">
        <v>4</v>
      </c>
      <c r="C14" s="81"/>
      <c r="D14" s="81"/>
      <c r="E14" s="81"/>
      <c r="F14" s="81"/>
      <c r="G14" s="81"/>
      <c r="H14" s="3"/>
    </row>
    <row r="15" spans="1:8" ht="7.5" customHeight="1" x14ac:dyDescent="0.25">
      <c r="A15" s="3"/>
      <c r="B15" s="3"/>
      <c r="C15" s="3"/>
      <c r="D15" s="3"/>
      <c r="E15" s="3"/>
      <c r="F15" s="3"/>
      <c r="G15" s="3"/>
      <c r="H15" s="3"/>
    </row>
    <row r="16" spans="1:8" ht="21.75" customHeight="1" x14ac:dyDescent="0.25">
      <c r="A16" s="3"/>
      <c r="B16" s="5" t="s">
        <v>5</v>
      </c>
      <c r="C16" s="6" t="s">
        <v>6</v>
      </c>
      <c r="D16" s="56" t="s">
        <v>7</v>
      </c>
      <c r="E16" s="52"/>
      <c r="F16" s="52"/>
      <c r="G16" s="52"/>
      <c r="H16" s="3"/>
    </row>
    <row r="17" spans="1:8" ht="21.75" customHeight="1" x14ac:dyDescent="0.25">
      <c r="A17" s="3"/>
      <c r="B17" s="5" t="s">
        <v>5</v>
      </c>
      <c r="C17" s="6" t="s">
        <v>8</v>
      </c>
      <c r="D17" s="56" t="s">
        <v>9</v>
      </c>
      <c r="E17" s="52"/>
      <c r="F17" s="52"/>
      <c r="G17" s="52"/>
      <c r="H17" s="3"/>
    </row>
    <row r="18" spans="1:8" ht="21.75" customHeight="1" x14ac:dyDescent="0.25">
      <c r="A18" s="3"/>
      <c r="B18" s="5" t="s">
        <v>5</v>
      </c>
      <c r="C18" s="6" t="s">
        <v>10</v>
      </c>
      <c r="D18" s="56" t="s">
        <v>11</v>
      </c>
      <c r="E18" s="52"/>
      <c r="F18" s="52"/>
      <c r="G18" s="52"/>
      <c r="H18" s="3"/>
    </row>
    <row r="19" spans="1:8" ht="21.75" customHeight="1" x14ac:dyDescent="0.25">
      <c r="A19" s="3"/>
      <c r="B19" s="5" t="s">
        <v>5</v>
      </c>
      <c r="C19" s="6" t="s">
        <v>12</v>
      </c>
      <c r="D19" s="56" t="s">
        <v>13</v>
      </c>
      <c r="E19" s="52"/>
      <c r="F19" s="52"/>
      <c r="G19" s="52"/>
      <c r="H19" s="3"/>
    </row>
    <row r="20" spans="1:8" ht="21.75" customHeight="1" x14ac:dyDescent="0.25">
      <c r="A20" s="3"/>
      <c r="B20" s="5" t="s">
        <v>5</v>
      </c>
      <c r="C20" s="6" t="s">
        <v>14</v>
      </c>
      <c r="D20" s="56" t="s">
        <v>15</v>
      </c>
      <c r="E20" s="52"/>
      <c r="F20" s="52"/>
      <c r="G20" s="52"/>
      <c r="H20" s="3"/>
    </row>
    <row r="21" spans="1:8" ht="15" customHeight="1" x14ac:dyDescent="0.25">
      <c r="A21" s="3"/>
      <c r="B21" s="3"/>
      <c r="C21" s="3"/>
      <c r="D21" s="3"/>
      <c r="E21" s="3"/>
      <c r="F21" s="3"/>
      <c r="G21" s="3"/>
      <c r="H21" s="3"/>
    </row>
    <row r="22" spans="1:8" ht="19.5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25.5" customHeight="1" x14ac:dyDescent="0.25">
      <c r="A23" s="3"/>
      <c r="B23" s="80" t="s">
        <v>16</v>
      </c>
      <c r="C23" s="81"/>
      <c r="D23" s="81"/>
      <c r="E23" s="81"/>
      <c r="F23" s="81"/>
      <c r="G23" s="81"/>
      <c r="H23" s="3"/>
    </row>
    <row r="24" spans="1:8" ht="9.75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24.75" customHeight="1" x14ac:dyDescent="0.25">
      <c r="A25" s="3"/>
      <c r="B25" s="78" t="s">
        <v>17</v>
      </c>
      <c r="C25" s="79"/>
      <c r="D25" s="3"/>
      <c r="E25" s="88" t="s">
        <v>18</v>
      </c>
      <c r="F25" s="89"/>
      <c r="G25" s="3"/>
      <c r="H25" s="3"/>
    </row>
    <row r="26" spans="1:8" ht="36" customHeight="1" x14ac:dyDescent="0.25">
      <c r="A26" s="3"/>
      <c r="B26" s="90" t="s">
        <v>19</v>
      </c>
      <c r="C26" s="91"/>
      <c r="D26" s="3"/>
      <c r="E26" s="70" t="s">
        <v>20</v>
      </c>
      <c r="F26" s="71"/>
      <c r="G26" s="3"/>
      <c r="H26" s="3"/>
    </row>
    <row r="27" spans="1:8" ht="21.75" customHeight="1" x14ac:dyDescent="0.25">
      <c r="A27" s="3"/>
      <c r="B27" s="49" t="s">
        <v>21</v>
      </c>
      <c r="C27" s="50"/>
      <c r="D27" s="3"/>
      <c r="E27" s="68" t="s">
        <v>22</v>
      </c>
      <c r="F27" s="69"/>
      <c r="G27" s="3"/>
      <c r="H27" s="3"/>
    </row>
    <row r="28" spans="1:8" ht="24" customHeight="1" x14ac:dyDescent="0.25">
      <c r="A28" s="3"/>
      <c r="B28" s="66" t="s">
        <v>23</v>
      </c>
      <c r="C28" s="67"/>
      <c r="D28" s="3"/>
      <c r="E28" s="59" t="s">
        <v>24</v>
      </c>
      <c r="F28" s="60"/>
      <c r="G28" s="3"/>
      <c r="H28" s="3"/>
    </row>
    <row r="29" spans="1:8" ht="36" customHeight="1" x14ac:dyDescent="0.25">
      <c r="A29" s="3"/>
      <c r="B29" s="64" t="s">
        <v>25</v>
      </c>
      <c r="C29" s="65"/>
      <c r="D29" s="3"/>
      <c r="E29" s="54" t="s">
        <v>26</v>
      </c>
      <c r="F29" s="55"/>
      <c r="G29" s="3"/>
      <c r="H29" s="3"/>
    </row>
    <row r="30" spans="1:8" ht="21.75" customHeight="1" x14ac:dyDescent="0.25">
      <c r="A30" s="3"/>
      <c r="B30" s="72" t="s">
        <v>27</v>
      </c>
      <c r="C30" s="73"/>
      <c r="D30" s="3"/>
      <c r="E30" s="62" t="s">
        <v>28</v>
      </c>
      <c r="F30" s="63"/>
      <c r="G30" s="3"/>
      <c r="H30" s="3"/>
    </row>
    <row r="31" spans="1:8" ht="30" customHeight="1" x14ac:dyDescent="0.25">
      <c r="A31" s="3"/>
      <c r="B31" s="3"/>
      <c r="C31" s="3"/>
      <c r="D31" s="3"/>
      <c r="E31" s="3"/>
      <c r="F31" s="3"/>
      <c r="G31" s="3"/>
      <c r="H31" s="3"/>
    </row>
    <row r="32" spans="1:8" ht="13.5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27.75" customHeight="1" x14ac:dyDescent="0.25">
      <c r="A33" s="1"/>
      <c r="B33" s="61" t="s">
        <v>324</v>
      </c>
      <c r="C33" s="52"/>
      <c r="D33" s="52"/>
      <c r="E33" s="52"/>
      <c r="F33" s="52"/>
      <c r="G33" s="52"/>
      <c r="H33" s="1"/>
    </row>
    <row r="34" spans="1:8" ht="13.5" customHeight="1" x14ac:dyDescent="0.25">
      <c r="A34" s="1"/>
      <c r="B34" s="53">
        <v>2026</v>
      </c>
      <c r="C34" s="52"/>
      <c r="D34" s="52"/>
      <c r="E34" s="52"/>
      <c r="F34" s="52"/>
      <c r="G34" s="52"/>
      <c r="H34" s="1"/>
    </row>
    <row r="35" spans="1:8" ht="13.5" customHeight="1" x14ac:dyDescent="0.25">
      <c r="A35" s="1"/>
      <c r="B35" s="1"/>
      <c r="C35" s="1"/>
      <c r="D35" s="1"/>
      <c r="E35" s="1"/>
      <c r="F35" s="1"/>
      <c r="G35" s="1"/>
      <c r="H35" s="1"/>
    </row>
  </sheetData>
  <mergeCells count="31">
    <mergeCell ref="B26:C26"/>
    <mergeCell ref="B2:G2"/>
    <mergeCell ref="D18:G18"/>
    <mergeCell ref="D11:F11"/>
    <mergeCell ref="B25:C25"/>
    <mergeCell ref="B14:G14"/>
    <mergeCell ref="B23:G23"/>
    <mergeCell ref="B6:G6"/>
    <mergeCell ref="B10:C10"/>
    <mergeCell ref="B7:G7"/>
    <mergeCell ref="D10:F10"/>
    <mergeCell ref="B3:G3"/>
    <mergeCell ref="D17:G17"/>
    <mergeCell ref="E25:F25"/>
    <mergeCell ref="D16:G16"/>
    <mergeCell ref="B27:C27"/>
    <mergeCell ref="B12:C12"/>
    <mergeCell ref="B34:G34"/>
    <mergeCell ref="B11:C11"/>
    <mergeCell ref="E29:F29"/>
    <mergeCell ref="D20:G20"/>
    <mergeCell ref="D12:F12"/>
    <mergeCell ref="E28:F28"/>
    <mergeCell ref="D19:G19"/>
    <mergeCell ref="B33:G33"/>
    <mergeCell ref="E30:F30"/>
    <mergeCell ref="B29:C29"/>
    <mergeCell ref="B28:C28"/>
    <mergeCell ref="E27:F27"/>
    <mergeCell ref="E26:F26"/>
    <mergeCell ref="B30:C3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B4779"/>
  </sheetPr>
  <dimension ref="A1:I43"/>
  <sheetViews>
    <sheetView showGridLines="0" tabSelected="1" zoomScaleNormal="100" workbookViewId="0">
      <pane ySplit="1" topLeftCell="A2" activePane="bottomLeft" state="frozen"/>
      <selection activeCell="G12" sqref="G12:G13"/>
      <selection pane="bottomLeft" activeCell="B6" sqref="B6"/>
    </sheetView>
  </sheetViews>
  <sheetFormatPr defaultColWidth="8.7109375" defaultRowHeight="15" x14ac:dyDescent="0.25"/>
  <cols>
    <col min="1" max="1" width="14" customWidth="1"/>
    <col min="2" max="2" width="20.5703125" customWidth="1"/>
    <col min="3" max="3" width="23.42578125" customWidth="1"/>
    <col min="4" max="4" width="24" customWidth="1"/>
    <col min="5" max="5" width="16" customWidth="1"/>
    <col min="6" max="6" width="14" customWidth="1"/>
    <col min="7" max="7" width="42.42578125" customWidth="1"/>
    <col min="8" max="8" width="14" customWidth="1"/>
    <col min="9" max="9" width="38" customWidth="1"/>
  </cols>
  <sheetData>
    <row r="1" spans="1:9" ht="27.75" customHeight="1" x14ac:dyDescent="0.25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</row>
    <row r="2" spans="1:9" ht="15" customHeight="1" x14ac:dyDescent="0.45">
      <c r="A2" s="8" t="s">
        <v>38</v>
      </c>
      <c r="B2" s="38" t="s">
        <v>325</v>
      </c>
      <c r="C2" s="38" t="s">
        <v>40</v>
      </c>
      <c r="D2" s="38" t="s">
        <v>41</v>
      </c>
      <c r="E2" s="39" t="s">
        <v>42</v>
      </c>
      <c r="F2" s="38">
        <v>125000</v>
      </c>
      <c r="G2" s="38" t="s">
        <v>43</v>
      </c>
      <c r="H2" s="8">
        <v>0.1</v>
      </c>
      <c r="I2" s="8" t="s">
        <v>44</v>
      </c>
    </row>
    <row r="3" spans="1:9" ht="15" customHeight="1" x14ac:dyDescent="0.25">
      <c r="A3" s="10" t="s">
        <v>45</v>
      </c>
      <c r="B3" s="10" t="s">
        <v>323</v>
      </c>
      <c r="C3" s="10" t="s">
        <v>47</v>
      </c>
      <c r="D3" s="10" t="s">
        <v>48</v>
      </c>
      <c r="E3" s="11" t="s">
        <v>49</v>
      </c>
      <c r="F3" s="10">
        <v>87500</v>
      </c>
      <c r="G3" s="10" t="s">
        <v>43</v>
      </c>
      <c r="H3" s="10">
        <v>0.12</v>
      </c>
      <c r="I3" s="10" t="s">
        <v>50</v>
      </c>
    </row>
    <row r="4" spans="1:9" ht="15" customHeight="1" x14ac:dyDescent="0.25">
      <c r="A4" s="8" t="s">
        <v>51</v>
      </c>
      <c r="B4" s="8" t="s">
        <v>52</v>
      </c>
      <c r="C4" s="8" t="s">
        <v>53</v>
      </c>
      <c r="D4" s="8" t="s">
        <v>54</v>
      </c>
      <c r="E4" s="9" t="s">
        <v>55</v>
      </c>
      <c r="F4" s="8">
        <v>210000</v>
      </c>
      <c r="G4" s="8" t="s">
        <v>56</v>
      </c>
      <c r="H4" s="8">
        <v>0.09</v>
      </c>
      <c r="I4" s="8" t="s">
        <v>57</v>
      </c>
    </row>
    <row r="5" spans="1:9" ht="15" customHeight="1" x14ac:dyDescent="0.25">
      <c r="A5" s="10" t="s">
        <v>58</v>
      </c>
      <c r="B5" s="10" t="s">
        <v>59</v>
      </c>
      <c r="C5" s="10" t="s">
        <v>60</v>
      </c>
      <c r="D5" s="10" t="s">
        <v>61</v>
      </c>
      <c r="E5" s="11" t="s">
        <v>62</v>
      </c>
      <c r="F5" s="11" t="s">
        <v>63</v>
      </c>
      <c r="G5" s="10" t="s">
        <v>64</v>
      </c>
      <c r="H5" s="10">
        <v>0.11</v>
      </c>
      <c r="I5" s="10" t="s">
        <v>65</v>
      </c>
    </row>
    <row r="6" spans="1:9" ht="33.75" customHeight="1" x14ac:dyDescent="0.25">
      <c r="A6" s="8" t="s">
        <v>38</v>
      </c>
      <c r="B6" s="36" t="s">
        <v>66</v>
      </c>
      <c r="C6" s="36" t="s">
        <v>40</v>
      </c>
      <c r="D6" s="36" t="s">
        <v>67</v>
      </c>
      <c r="E6" s="37" t="s">
        <v>68</v>
      </c>
      <c r="F6" s="36">
        <v>315000</v>
      </c>
      <c r="G6" s="36" t="s">
        <v>43</v>
      </c>
      <c r="H6" s="8">
        <v>0.1</v>
      </c>
      <c r="I6" s="8" t="s">
        <v>69</v>
      </c>
    </row>
    <row r="7" spans="1:9" ht="22.5" customHeight="1" x14ac:dyDescent="0.25">
      <c r="A7" s="10" t="s">
        <v>70</v>
      </c>
      <c r="B7" s="40" t="s">
        <v>71</v>
      </c>
      <c r="C7" s="40" t="s">
        <v>47</v>
      </c>
      <c r="D7" s="40" t="s">
        <v>72</v>
      </c>
      <c r="E7" s="41" t="s">
        <v>73</v>
      </c>
      <c r="F7" s="40">
        <v>67500</v>
      </c>
      <c r="G7" s="40" t="s">
        <v>56</v>
      </c>
      <c r="H7" s="10">
        <v>0.08</v>
      </c>
      <c r="I7" s="10" t="s">
        <v>74</v>
      </c>
    </row>
    <row r="8" spans="1:9" ht="15" customHeight="1" x14ac:dyDescent="0.25">
      <c r="A8" s="8" t="s">
        <v>45</v>
      </c>
      <c r="B8" s="8" t="s">
        <v>75</v>
      </c>
      <c r="C8" s="8" t="s">
        <v>53</v>
      </c>
      <c r="D8" s="8" t="s">
        <v>76</v>
      </c>
      <c r="E8" s="9" t="s">
        <v>77</v>
      </c>
      <c r="F8" s="8">
        <v>155000</v>
      </c>
      <c r="G8" s="8" t="s">
        <v>43</v>
      </c>
      <c r="H8" s="8">
        <v>0.13</v>
      </c>
      <c r="I8" s="8" t="s">
        <v>44</v>
      </c>
    </row>
    <row r="9" spans="1:9" ht="14.25" customHeight="1" x14ac:dyDescent="0.25">
      <c r="A9" s="10" t="s">
        <v>51</v>
      </c>
      <c r="B9" s="10" t="s">
        <v>78</v>
      </c>
      <c r="C9" s="10" t="s">
        <v>60</v>
      </c>
      <c r="D9" s="10" t="s">
        <v>79</v>
      </c>
      <c r="E9" s="11" t="s">
        <v>80</v>
      </c>
      <c r="F9" s="10">
        <v>38000</v>
      </c>
      <c r="G9" s="10" t="s">
        <v>64</v>
      </c>
      <c r="H9" s="10">
        <v>0.1</v>
      </c>
      <c r="I9" s="10" t="s">
        <v>81</v>
      </c>
    </row>
    <row r="10" spans="1:9" x14ac:dyDescent="0.25">
      <c r="D10" t="s">
        <v>326</v>
      </c>
    </row>
    <row r="11" spans="1:9" ht="15" customHeight="1" x14ac:dyDescent="0.25">
      <c r="A11" s="10" t="s">
        <v>58</v>
      </c>
      <c r="B11" s="10" t="s">
        <v>82</v>
      </c>
      <c r="C11" s="10" t="s">
        <v>40</v>
      </c>
      <c r="D11" s="42">
        <v>46107</v>
      </c>
      <c r="E11" s="43" t="s">
        <v>84</v>
      </c>
      <c r="F11" s="44">
        <v>420000</v>
      </c>
      <c r="G11" s="10" t="s">
        <v>43</v>
      </c>
      <c r="H11" s="10">
        <v>0.15</v>
      </c>
      <c r="I11" s="10" t="s">
        <v>50</v>
      </c>
    </row>
    <row r="12" spans="1:9" ht="15" customHeight="1" x14ac:dyDescent="0.25">
      <c r="A12" s="8"/>
      <c r="B12" s="8"/>
      <c r="C12" s="8"/>
      <c r="D12" s="8"/>
      <c r="E12" s="9"/>
      <c r="F12" s="8"/>
      <c r="G12" s="8"/>
      <c r="H12" s="8"/>
      <c r="I12" s="8"/>
    </row>
    <row r="13" spans="1:9" ht="14.25" customHeight="1" x14ac:dyDescent="0.25">
      <c r="A13" s="10" t="s">
        <v>45</v>
      </c>
      <c r="B13" s="10" t="s">
        <v>39</v>
      </c>
      <c r="C13" s="10" t="s">
        <v>53</v>
      </c>
      <c r="D13" s="10" t="s">
        <v>89</v>
      </c>
      <c r="E13" s="11" t="s">
        <v>90</v>
      </c>
      <c r="F13" s="10">
        <v>178000</v>
      </c>
      <c r="G13" s="10" t="s">
        <v>43</v>
      </c>
      <c r="H13" s="10">
        <v>0.12</v>
      </c>
      <c r="I13" s="10" t="s">
        <v>74</v>
      </c>
    </row>
    <row r="14" spans="1:9" ht="15" customHeight="1" x14ac:dyDescent="0.25">
      <c r="A14" s="8" t="s">
        <v>51</v>
      </c>
      <c r="B14" s="8" t="s">
        <v>46</v>
      </c>
      <c r="C14" s="8" t="s">
        <v>60</v>
      </c>
      <c r="D14" s="8" t="s">
        <v>91</v>
      </c>
      <c r="E14" s="9" t="s">
        <v>92</v>
      </c>
      <c r="F14" s="9" t="s">
        <v>93</v>
      </c>
      <c r="G14" s="8" t="s">
        <v>64</v>
      </c>
      <c r="H14" s="8">
        <v>0.09</v>
      </c>
      <c r="I14" s="8" t="s">
        <v>65</v>
      </c>
    </row>
    <row r="15" spans="1:9" ht="15" customHeight="1" x14ac:dyDescent="0.25">
      <c r="A15" s="10" t="s">
        <v>70</v>
      </c>
      <c r="B15" s="10" t="s">
        <v>52</v>
      </c>
      <c r="C15" s="10" t="s">
        <v>40</v>
      </c>
      <c r="D15" s="10" t="s">
        <v>94</v>
      </c>
      <c r="E15" s="11" t="s">
        <v>95</v>
      </c>
      <c r="F15" s="10">
        <v>245000</v>
      </c>
      <c r="G15" s="10" t="s">
        <v>43</v>
      </c>
      <c r="H15" s="10">
        <v>0.1</v>
      </c>
      <c r="I15" s="10" t="s">
        <v>57</v>
      </c>
    </row>
    <row r="16" spans="1:9" ht="15" customHeight="1" x14ac:dyDescent="0.25">
      <c r="A16" s="8" t="s">
        <v>58</v>
      </c>
      <c r="B16" s="8" t="s">
        <v>59</v>
      </c>
      <c r="C16" s="8" t="s">
        <v>47</v>
      </c>
      <c r="D16" s="8" t="s">
        <v>96</v>
      </c>
      <c r="E16" s="9" t="s">
        <v>97</v>
      </c>
      <c r="F16" s="8">
        <v>63000</v>
      </c>
      <c r="G16" s="8" t="s">
        <v>64</v>
      </c>
      <c r="H16" s="8">
        <v>0.11</v>
      </c>
      <c r="I16" s="8" t="s">
        <v>81</v>
      </c>
    </row>
    <row r="17" spans="1:9" ht="15" customHeight="1" x14ac:dyDescent="0.25">
      <c r="A17" s="10" t="s">
        <v>38</v>
      </c>
      <c r="B17" s="10" t="s">
        <v>66</v>
      </c>
      <c r="C17" s="10" t="s">
        <v>53</v>
      </c>
      <c r="D17" s="10" t="s">
        <v>98</v>
      </c>
      <c r="E17" s="11" t="s">
        <v>99</v>
      </c>
      <c r="F17" s="10">
        <v>189000</v>
      </c>
      <c r="G17" s="10" t="s">
        <v>43</v>
      </c>
      <c r="H17" s="10">
        <v>0.14000000000000001</v>
      </c>
      <c r="I17" s="10" t="s">
        <v>100</v>
      </c>
    </row>
    <row r="18" spans="1:9" ht="15" customHeight="1" x14ac:dyDescent="0.25">
      <c r="A18" s="8" t="s">
        <v>45</v>
      </c>
      <c r="B18" s="8" t="s">
        <v>71</v>
      </c>
      <c r="C18" s="8" t="s">
        <v>60</v>
      </c>
      <c r="D18" s="8" t="s">
        <v>101</v>
      </c>
      <c r="E18" s="9" t="s">
        <v>102</v>
      </c>
      <c r="F18" s="8">
        <v>52000</v>
      </c>
      <c r="G18" s="8" t="s">
        <v>56</v>
      </c>
      <c r="H18" s="8">
        <v>0.1</v>
      </c>
      <c r="I18" s="8"/>
    </row>
    <row r="19" spans="1:9" ht="15" customHeight="1" x14ac:dyDescent="0.25">
      <c r="A19" s="10" t="s">
        <v>51</v>
      </c>
      <c r="B19" s="10" t="s">
        <v>75</v>
      </c>
      <c r="C19" s="10" t="s">
        <v>40</v>
      </c>
      <c r="D19" s="10" t="s">
        <v>103</v>
      </c>
      <c r="E19" s="11" t="s">
        <v>104</v>
      </c>
      <c r="F19" s="10">
        <v>350000</v>
      </c>
      <c r="G19" s="10" t="s">
        <v>43</v>
      </c>
      <c r="H19" s="10">
        <v>0.12</v>
      </c>
      <c r="I19" s="10" t="s">
        <v>44</v>
      </c>
    </row>
    <row r="21" spans="1:9" ht="15" customHeight="1" x14ac:dyDescent="0.25">
      <c r="A21" s="10" t="s">
        <v>58</v>
      </c>
      <c r="B21" s="10" t="s">
        <v>78</v>
      </c>
      <c r="C21" s="10" t="s">
        <v>47</v>
      </c>
      <c r="D21" s="10" t="s">
        <v>105</v>
      </c>
      <c r="E21" s="11" t="s">
        <v>106</v>
      </c>
      <c r="F21" s="10">
        <v>71000</v>
      </c>
      <c r="G21" s="10" t="s">
        <v>64</v>
      </c>
      <c r="H21" s="10">
        <v>0.09</v>
      </c>
      <c r="I21" s="10" t="s">
        <v>107</v>
      </c>
    </row>
    <row r="22" spans="1:9" ht="15" customHeight="1" x14ac:dyDescent="0.25">
      <c r="A22" s="8" t="s">
        <v>38</v>
      </c>
      <c r="B22" s="8" t="s">
        <v>82</v>
      </c>
      <c r="C22" s="8" t="s">
        <v>53</v>
      </c>
      <c r="D22" s="8" t="s">
        <v>41</v>
      </c>
      <c r="E22" s="9" t="s">
        <v>108</v>
      </c>
      <c r="F22" s="8">
        <v>134000</v>
      </c>
      <c r="G22" s="8" t="s">
        <v>43</v>
      </c>
      <c r="H22" s="8">
        <v>0.11</v>
      </c>
      <c r="I22" s="8" t="s">
        <v>50</v>
      </c>
    </row>
    <row r="23" spans="1:9" ht="15" customHeight="1" x14ac:dyDescent="0.25">
      <c r="A23" s="10" t="s">
        <v>70</v>
      </c>
      <c r="B23" s="10" t="s">
        <v>85</v>
      </c>
      <c r="C23" s="10" t="s">
        <v>60</v>
      </c>
      <c r="D23" s="10" t="s">
        <v>72</v>
      </c>
      <c r="E23" s="11" t="s">
        <v>109</v>
      </c>
      <c r="F23" s="10">
        <v>41500</v>
      </c>
      <c r="G23" s="10" t="s">
        <v>56</v>
      </c>
      <c r="H23" s="10">
        <v>0.1</v>
      </c>
      <c r="I23" s="10"/>
    </row>
    <row r="24" spans="1:9" ht="15" customHeight="1" x14ac:dyDescent="0.25">
      <c r="A24" s="8" t="s">
        <v>45</v>
      </c>
      <c r="B24" s="8" t="s">
        <v>39</v>
      </c>
      <c r="C24" s="8" t="s">
        <v>40</v>
      </c>
      <c r="D24" s="8" t="s">
        <v>86</v>
      </c>
      <c r="E24" s="9" t="s">
        <v>110</v>
      </c>
      <c r="F24" s="8">
        <v>275000</v>
      </c>
      <c r="G24" s="8" t="s">
        <v>43</v>
      </c>
      <c r="H24" s="8">
        <v>0.13</v>
      </c>
      <c r="I24" s="8" t="s">
        <v>74</v>
      </c>
    </row>
    <row r="25" spans="1:9" ht="24.75" customHeight="1" x14ac:dyDescent="0.25">
      <c r="A25" s="10" t="s">
        <v>51</v>
      </c>
      <c r="B25" s="45" t="s">
        <v>59</v>
      </c>
      <c r="C25" s="45" t="s">
        <v>47</v>
      </c>
      <c r="D25" s="45" t="s">
        <v>54</v>
      </c>
      <c r="E25" s="46" t="s">
        <v>111</v>
      </c>
      <c r="F25" s="45">
        <v>88000</v>
      </c>
      <c r="G25" s="10" t="s">
        <v>64</v>
      </c>
      <c r="H25" s="10">
        <v>0.1</v>
      </c>
      <c r="I25" s="10" t="s">
        <v>65</v>
      </c>
    </row>
    <row r="26" spans="1:9" ht="15" customHeight="1" x14ac:dyDescent="0.25">
      <c r="A26" s="8" t="s">
        <v>58</v>
      </c>
      <c r="B26" s="8" t="s">
        <v>46</v>
      </c>
      <c r="C26" s="8" t="s">
        <v>53</v>
      </c>
      <c r="D26" s="8" t="s">
        <v>61</v>
      </c>
      <c r="E26" s="9" t="s">
        <v>112</v>
      </c>
      <c r="F26" s="8">
        <v>165000</v>
      </c>
      <c r="G26" s="8" t="s">
        <v>43</v>
      </c>
      <c r="H26" s="8">
        <v>0.12</v>
      </c>
      <c r="I26" s="8" t="s">
        <v>57</v>
      </c>
    </row>
    <row r="27" spans="1:9" ht="15" customHeight="1" x14ac:dyDescent="0.25">
      <c r="A27" s="10" t="s">
        <v>38</v>
      </c>
      <c r="B27" s="10" t="s">
        <v>52</v>
      </c>
      <c r="C27" s="10" t="s">
        <v>60</v>
      </c>
      <c r="D27" s="10" t="s">
        <v>86</v>
      </c>
      <c r="E27" s="11" t="s">
        <v>113</v>
      </c>
      <c r="F27" s="10">
        <v>33000</v>
      </c>
      <c r="G27" s="10" t="s">
        <v>64</v>
      </c>
      <c r="H27" s="10">
        <v>0.08</v>
      </c>
      <c r="I27" s="10" t="s">
        <v>81</v>
      </c>
    </row>
    <row r="28" spans="1:9" ht="15" customHeight="1" x14ac:dyDescent="0.25">
      <c r="A28" s="8" t="s">
        <v>70</v>
      </c>
      <c r="B28" s="47" t="s">
        <v>71</v>
      </c>
      <c r="C28" s="47" t="s">
        <v>40</v>
      </c>
      <c r="D28" s="47" t="s">
        <v>67</v>
      </c>
      <c r="E28" s="48" t="s">
        <v>114</v>
      </c>
      <c r="F28" s="47">
        <v>198000</v>
      </c>
      <c r="G28" s="8" t="s">
        <v>56</v>
      </c>
      <c r="H28" s="8">
        <v>0.11</v>
      </c>
      <c r="I28" s="8" t="s">
        <v>69</v>
      </c>
    </row>
    <row r="30" spans="1:9" ht="15" customHeight="1" x14ac:dyDescent="0.25">
      <c r="A30" s="8" t="s">
        <v>45</v>
      </c>
      <c r="B30" s="8" t="s">
        <v>78</v>
      </c>
      <c r="C30" s="8" t="s">
        <v>47</v>
      </c>
      <c r="D30" s="8" t="s">
        <v>76</v>
      </c>
      <c r="E30" s="9" t="s">
        <v>115</v>
      </c>
      <c r="F30" s="8">
        <v>105000</v>
      </c>
      <c r="G30" s="8" t="s">
        <v>43</v>
      </c>
      <c r="H30" s="8">
        <v>0.12</v>
      </c>
      <c r="I30" s="8" t="s">
        <v>44</v>
      </c>
    </row>
    <row r="31" spans="1:9" ht="15" customHeight="1" x14ac:dyDescent="0.25">
      <c r="A31" s="10" t="s">
        <v>51</v>
      </c>
      <c r="B31" s="10" t="s">
        <v>66</v>
      </c>
      <c r="C31" s="10" t="s">
        <v>53</v>
      </c>
      <c r="D31" s="10" t="s">
        <v>79</v>
      </c>
      <c r="E31" s="11" t="s">
        <v>116</v>
      </c>
      <c r="F31" s="10">
        <v>222000</v>
      </c>
      <c r="G31" s="10" t="s">
        <v>43</v>
      </c>
      <c r="H31" s="10">
        <v>0.14000000000000001</v>
      </c>
      <c r="I31" s="10" t="s">
        <v>50</v>
      </c>
    </row>
    <row r="32" spans="1:9" ht="15" customHeight="1" x14ac:dyDescent="0.25">
      <c r="A32" s="8" t="s">
        <v>58</v>
      </c>
      <c r="B32" s="8" t="s">
        <v>82</v>
      </c>
      <c r="C32" s="8" t="s">
        <v>60</v>
      </c>
      <c r="D32" s="8" t="s">
        <v>83</v>
      </c>
      <c r="E32" s="9" t="s">
        <v>117</v>
      </c>
      <c r="F32" s="9" t="s">
        <v>118</v>
      </c>
      <c r="G32" s="8" t="s">
        <v>64</v>
      </c>
      <c r="H32" s="8">
        <v>0.1</v>
      </c>
      <c r="I32" s="8"/>
    </row>
    <row r="33" spans="1:9" ht="15" customHeight="1" x14ac:dyDescent="0.25">
      <c r="A33" s="10" t="s">
        <v>38</v>
      </c>
      <c r="B33" s="10" t="s">
        <v>324</v>
      </c>
      <c r="C33" s="10" t="s">
        <v>40</v>
      </c>
      <c r="D33" s="10" t="s">
        <v>89</v>
      </c>
      <c r="E33" s="11" t="s">
        <v>119</v>
      </c>
      <c r="F33" s="10">
        <v>290000</v>
      </c>
      <c r="G33" s="10" t="s">
        <v>43</v>
      </c>
      <c r="H33" s="10">
        <v>0.13</v>
      </c>
      <c r="I33" s="10" t="s">
        <v>74</v>
      </c>
    </row>
    <row r="34" spans="1:9" ht="15" customHeight="1" x14ac:dyDescent="0.25">
      <c r="A34" s="8" t="s">
        <v>38</v>
      </c>
      <c r="B34" s="8">
        <v>2026</v>
      </c>
      <c r="C34" s="8" t="s">
        <v>40</v>
      </c>
      <c r="D34" s="8" t="s">
        <v>41</v>
      </c>
      <c r="E34" s="9" t="s">
        <v>120</v>
      </c>
      <c r="F34" s="8">
        <v>-12500</v>
      </c>
      <c r="G34" s="8" t="s">
        <v>43</v>
      </c>
      <c r="H34" s="8">
        <v>0</v>
      </c>
      <c r="I34" s="8" t="s">
        <v>121</v>
      </c>
    </row>
    <row r="35" spans="1:9" ht="15" customHeight="1" x14ac:dyDescent="0.25">
      <c r="A35" s="10" t="s">
        <v>70</v>
      </c>
      <c r="B35" s="10" t="s">
        <v>39</v>
      </c>
      <c r="C35" s="10" t="s">
        <v>47</v>
      </c>
      <c r="D35" s="10" t="s">
        <v>91</v>
      </c>
      <c r="E35" s="11" t="s">
        <v>122</v>
      </c>
      <c r="F35" s="10">
        <v>76000</v>
      </c>
      <c r="G35" s="10" t="s">
        <v>64</v>
      </c>
      <c r="H35" s="10">
        <v>0.09</v>
      </c>
      <c r="I35" s="10" t="s">
        <v>107</v>
      </c>
    </row>
    <row r="36" spans="1:9" ht="15" customHeight="1" x14ac:dyDescent="0.25">
      <c r="A36" s="8" t="s">
        <v>45</v>
      </c>
      <c r="B36" s="8" t="s">
        <v>59</v>
      </c>
      <c r="C36" s="8" t="s">
        <v>53</v>
      </c>
      <c r="D36" s="8" t="s">
        <v>94</v>
      </c>
      <c r="E36" s="9" t="s">
        <v>123</v>
      </c>
      <c r="F36" s="8">
        <v>143000</v>
      </c>
      <c r="G36" s="8" t="s">
        <v>56</v>
      </c>
      <c r="H36" s="8">
        <v>0.11</v>
      </c>
      <c r="I36" s="8" t="s">
        <v>57</v>
      </c>
    </row>
    <row r="37" spans="1:9" ht="15" customHeight="1" x14ac:dyDescent="0.25">
      <c r="A37" s="10" t="s">
        <v>51</v>
      </c>
      <c r="B37" s="10" t="s">
        <v>46</v>
      </c>
      <c r="C37" s="10" t="s">
        <v>60</v>
      </c>
      <c r="D37" s="10" t="s">
        <v>96</v>
      </c>
      <c r="E37" s="11" t="s">
        <v>124</v>
      </c>
      <c r="F37" s="10">
        <v>55000</v>
      </c>
      <c r="G37" s="10" t="s">
        <v>64</v>
      </c>
      <c r="H37" s="10">
        <v>0.1</v>
      </c>
      <c r="I37" s="10" t="s">
        <v>65</v>
      </c>
    </row>
    <row r="38" spans="1:9" ht="15" customHeight="1" x14ac:dyDescent="0.25">
      <c r="A38" s="8" t="s">
        <v>58</v>
      </c>
      <c r="B38" s="8" t="s">
        <v>52</v>
      </c>
      <c r="C38" s="8" t="s">
        <v>40</v>
      </c>
      <c r="D38" s="8" t="s">
        <v>101</v>
      </c>
      <c r="E38" s="9" t="s">
        <v>125</v>
      </c>
      <c r="F38" s="8">
        <v>182000</v>
      </c>
      <c r="G38" s="8" t="s">
        <v>43</v>
      </c>
      <c r="H38" s="8">
        <v>0.12</v>
      </c>
      <c r="I38" s="8" t="s">
        <v>44</v>
      </c>
    </row>
    <row r="39" spans="1:9" ht="15" customHeight="1" x14ac:dyDescent="0.25">
      <c r="A39" s="10" t="s">
        <v>38</v>
      </c>
      <c r="B39" s="10" t="s">
        <v>71</v>
      </c>
      <c r="C39" s="10" t="s">
        <v>47</v>
      </c>
      <c r="D39" s="10" t="s">
        <v>98</v>
      </c>
      <c r="E39" s="11" t="s">
        <v>126</v>
      </c>
      <c r="F39" s="10">
        <v>94000</v>
      </c>
      <c r="G39" s="10" t="s">
        <v>56</v>
      </c>
      <c r="H39" s="10">
        <v>0.11</v>
      </c>
      <c r="I39" s="10" t="e">
        <f>VLOOKUP("Q1-2026-MISSING",A1:B43,2,FALSE())</f>
        <v>#N/A</v>
      </c>
    </row>
    <row r="40" spans="1:9" ht="15" customHeight="1" x14ac:dyDescent="0.25">
      <c r="A40" s="8" t="s">
        <v>45</v>
      </c>
      <c r="B40" s="8" t="s">
        <v>39</v>
      </c>
      <c r="C40" s="8" t="s">
        <v>40</v>
      </c>
      <c r="D40" s="8" t="s">
        <v>86</v>
      </c>
      <c r="E40" s="9" t="s">
        <v>110</v>
      </c>
      <c r="F40" s="8">
        <v>275000</v>
      </c>
      <c r="G40" s="8" t="s">
        <v>43</v>
      </c>
      <c r="H40" s="8">
        <v>0.13</v>
      </c>
      <c r="I40" s="8" t="s">
        <v>74</v>
      </c>
    </row>
    <row r="41" spans="1:9" ht="15" customHeight="1" x14ac:dyDescent="0.25">
      <c r="A41" s="10" t="s">
        <v>70</v>
      </c>
      <c r="B41" s="10" t="s">
        <v>78</v>
      </c>
      <c r="C41" s="10" t="s">
        <v>53</v>
      </c>
      <c r="D41" s="10" t="s">
        <v>103</v>
      </c>
      <c r="E41" s="11" t="s">
        <v>127</v>
      </c>
      <c r="F41" s="10">
        <v>158000</v>
      </c>
      <c r="G41" s="10" t="s">
        <v>43</v>
      </c>
      <c r="H41" s="10">
        <v>0.1</v>
      </c>
      <c r="I41" s="10" t="s">
        <v>128</v>
      </c>
    </row>
    <row r="42" spans="1:9" ht="15" customHeight="1" x14ac:dyDescent="0.25">
      <c r="A42" s="8" t="s">
        <v>51</v>
      </c>
      <c r="B42" s="8" t="s">
        <v>82</v>
      </c>
      <c r="C42" s="8" t="s">
        <v>40</v>
      </c>
      <c r="D42" s="8" t="s">
        <v>89</v>
      </c>
      <c r="E42" s="9" t="s">
        <v>129</v>
      </c>
      <c r="F42" s="8">
        <v>118000</v>
      </c>
      <c r="G42" s="8" t="s">
        <v>43</v>
      </c>
      <c r="H42" s="8">
        <v>0.11</v>
      </c>
      <c r="I42" s="8" t="s">
        <v>65</v>
      </c>
    </row>
    <row r="43" spans="1:9" ht="15" customHeight="1" x14ac:dyDescent="0.25">
      <c r="A43" s="10" t="s">
        <v>45</v>
      </c>
      <c r="B43" s="10" t="s">
        <v>85</v>
      </c>
      <c r="C43" s="10" t="s">
        <v>60</v>
      </c>
      <c r="D43" s="10" t="s">
        <v>105</v>
      </c>
      <c r="E43" s="11" t="s">
        <v>130</v>
      </c>
      <c r="F43" s="10">
        <v>36500</v>
      </c>
      <c r="G43" s="10" t="s">
        <v>64</v>
      </c>
      <c r="H43" s="10">
        <v>0.09</v>
      </c>
      <c r="I43" s="10" t="s">
        <v>81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4B9BCB"/>
  </sheetPr>
  <dimension ref="A1:G2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4" customWidth="1"/>
    <col min="3" max="3" width="22" customWidth="1"/>
    <col min="4" max="4" width="16" customWidth="1"/>
    <col min="5" max="5" width="14" customWidth="1"/>
    <col min="6" max="6" width="22" customWidth="1"/>
    <col min="7" max="7" width="16" customWidth="1"/>
  </cols>
  <sheetData>
    <row r="1" spans="1:7" ht="27.75" customHeight="1" x14ac:dyDescent="0.25">
      <c r="A1" s="7" t="s">
        <v>131</v>
      </c>
      <c r="B1" s="7" t="s">
        <v>132</v>
      </c>
      <c r="C1" s="7" t="s">
        <v>133</v>
      </c>
      <c r="D1" s="7" t="s">
        <v>134</v>
      </c>
      <c r="E1" s="7" t="s">
        <v>34</v>
      </c>
      <c r="F1" s="7" t="s">
        <v>135</v>
      </c>
      <c r="G1" s="7" t="s">
        <v>136</v>
      </c>
    </row>
    <row r="2" spans="1:7" ht="15" customHeight="1" x14ac:dyDescent="0.25">
      <c r="A2" s="8" t="s">
        <v>137</v>
      </c>
      <c r="B2" s="8" t="s">
        <v>138</v>
      </c>
      <c r="C2" s="8" t="s">
        <v>139</v>
      </c>
      <c r="D2" s="9" t="s">
        <v>110</v>
      </c>
      <c r="E2" s="8">
        <v>87500</v>
      </c>
      <c r="F2" s="8" t="s">
        <v>140</v>
      </c>
      <c r="G2" s="8" t="s">
        <v>141</v>
      </c>
    </row>
    <row r="3" spans="1:7" ht="15" customHeight="1" x14ac:dyDescent="0.25">
      <c r="A3" s="10" t="s">
        <v>137</v>
      </c>
      <c r="B3" s="10" t="s">
        <v>142</v>
      </c>
      <c r="C3" s="10" t="s">
        <v>143</v>
      </c>
      <c r="D3" s="11" t="s">
        <v>144</v>
      </c>
      <c r="E3" s="10">
        <v>24800</v>
      </c>
      <c r="F3" s="10" t="s">
        <v>140</v>
      </c>
      <c r="G3" s="10" t="s">
        <v>145</v>
      </c>
    </row>
    <row r="4" spans="1:7" ht="15" customHeight="1" x14ac:dyDescent="0.25">
      <c r="A4" s="8" t="s">
        <v>137</v>
      </c>
      <c r="B4" s="8" t="s">
        <v>138</v>
      </c>
      <c r="C4" s="8" t="s">
        <v>146</v>
      </c>
      <c r="D4" s="9" t="s">
        <v>125</v>
      </c>
      <c r="E4" s="8">
        <v>62000</v>
      </c>
      <c r="F4" s="8" t="s">
        <v>140</v>
      </c>
      <c r="G4" s="8" t="s">
        <v>147</v>
      </c>
    </row>
    <row r="5" spans="1:7" ht="15" customHeight="1" x14ac:dyDescent="0.25">
      <c r="A5" s="10" t="s">
        <v>137</v>
      </c>
      <c r="B5" s="10" t="s">
        <v>142</v>
      </c>
      <c r="C5" s="10" t="s">
        <v>148</v>
      </c>
      <c r="D5" s="11" t="s">
        <v>149</v>
      </c>
      <c r="E5" s="10">
        <v>31500</v>
      </c>
      <c r="F5" s="10" t="s">
        <v>140</v>
      </c>
      <c r="G5" s="10" t="s">
        <v>150</v>
      </c>
    </row>
    <row r="6" spans="1:7" ht="15" customHeight="1" x14ac:dyDescent="0.25">
      <c r="A6" s="8" t="s">
        <v>151</v>
      </c>
      <c r="B6" s="8" t="s">
        <v>152</v>
      </c>
      <c r="C6" s="8" t="s">
        <v>153</v>
      </c>
      <c r="D6" s="9" t="s">
        <v>154</v>
      </c>
      <c r="E6" s="8">
        <v>18750</v>
      </c>
      <c r="F6" s="8" t="s">
        <v>155</v>
      </c>
      <c r="G6" s="8" t="s">
        <v>156</v>
      </c>
    </row>
    <row r="7" spans="1:7" ht="15" customHeight="1" x14ac:dyDescent="0.25">
      <c r="A7" s="10" t="s">
        <v>151</v>
      </c>
      <c r="B7" s="10" t="s">
        <v>157</v>
      </c>
      <c r="C7" s="10" t="s">
        <v>158</v>
      </c>
      <c r="D7" s="11" t="s">
        <v>159</v>
      </c>
      <c r="E7" s="10">
        <v>45000</v>
      </c>
      <c r="F7" s="10" t="s">
        <v>155</v>
      </c>
      <c r="G7" s="10" t="s">
        <v>160</v>
      </c>
    </row>
    <row r="8" spans="1:7" ht="15" customHeight="1" x14ac:dyDescent="0.25">
      <c r="A8" s="8" t="s">
        <v>151</v>
      </c>
      <c r="B8" s="8" t="s">
        <v>142</v>
      </c>
      <c r="C8" s="8" t="s">
        <v>161</v>
      </c>
      <c r="D8" s="9" t="s">
        <v>162</v>
      </c>
      <c r="E8" s="8">
        <v>36200</v>
      </c>
      <c r="F8" s="8" t="s">
        <v>155</v>
      </c>
      <c r="G8" s="8" t="s">
        <v>163</v>
      </c>
    </row>
    <row r="9" spans="1:7" ht="15" customHeight="1" x14ac:dyDescent="0.25">
      <c r="A9" s="10" t="s">
        <v>164</v>
      </c>
      <c r="B9" s="10" t="s">
        <v>165</v>
      </c>
      <c r="C9" s="10" t="s">
        <v>161</v>
      </c>
      <c r="D9" s="11" t="s">
        <v>42</v>
      </c>
      <c r="E9" s="10">
        <v>28400</v>
      </c>
      <c r="F9" s="10" t="s">
        <v>166</v>
      </c>
      <c r="G9" s="10" t="s">
        <v>167</v>
      </c>
    </row>
    <row r="10" spans="1:7" ht="15" customHeight="1" x14ac:dyDescent="0.25">
      <c r="A10" s="8" t="s">
        <v>164</v>
      </c>
      <c r="B10" s="8" t="s">
        <v>168</v>
      </c>
      <c r="C10" s="8" t="s">
        <v>169</v>
      </c>
      <c r="D10" s="9" t="s">
        <v>68</v>
      </c>
      <c r="E10" s="8">
        <v>4200</v>
      </c>
      <c r="F10" s="8" t="s">
        <v>170</v>
      </c>
      <c r="G10" s="8" t="s">
        <v>171</v>
      </c>
    </row>
    <row r="11" spans="1:7" ht="15" customHeight="1" x14ac:dyDescent="0.25">
      <c r="A11" s="10" t="s">
        <v>164</v>
      </c>
      <c r="B11" s="10" t="s">
        <v>157</v>
      </c>
      <c r="C11" s="10" t="s">
        <v>172</v>
      </c>
      <c r="D11" s="11" t="s">
        <v>173</v>
      </c>
      <c r="E11" s="10">
        <v>22000</v>
      </c>
      <c r="F11" s="10" t="s">
        <v>166</v>
      </c>
      <c r="G11" s="10" t="s">
        <v>174</v>
      </c>
    </row>
    <row r="12" spans="1:7" ht="15" customHeight="1" x14ac:dyDescent="0.25">
      <c r="A12" s="8" t="s">
        <v>175</v>
      </c>
      <c r="B12" s="8" t="s">
        <v>176</v>
      </c>
      <c r="C12" s="8" t="s">
        <v>177</v>
      </c>
      <c r="D12" s="9" t="s">
        <v>178</v>
      </c>
      <c r="E12" s="8">
        <v>125000</v>
      </c>
      <c r="F12" s="8" t="s">
        <v>56</v>
      </c>
      <c r="G12" s="8" t="s">
        <v>179</v>
      </c>
    </row>
    <row r="13" spans="1:7" ht="15" customHeight="1" x14ac:dyDescent="0.25">
      <c r="A13" s="10" t="s">
        <v>175</v>
      </c>
      <c r="B13" s="10" t="s">
        <v>180</v>
      </c>
      <c r="C13" s="10" t="s">
        <v>181</v>
      </c>
      <c r="D13" s="11" t="s">
        <v>84</v>
      </c>
      <c r="E13" s="10">
        <v>68000</v>
      </c>
      <c r="F13" s="10" t="s">
        <v>166</v>
      </c>
      <c r="G13" s="10" t="s">
        <v>182</v>
      </c>
    </row>
    <row r="14" spans="1:7" ht="15" customHeight="1" x14ac:dyDescent="0.25">
      <c r="A14" s="8" t="s">
        <v>175</v>
      </c>
      <c r="B14" s="8" t="s">
        <v>142</v>
      </c>
      <c r="C14" s="8" t="s">
        <v>183</v>
      </c>
      <c r="D14" s="9" t="s">
        <v>184</v>
      </c>
      <c r="E14" s="8">
        <v>19500</v>
      </c>
      <c r="F14" s="8" t="s">
        <v>185</v>
      </c>
      <c r="G14" s="8" t="s">
        <v>186</v>
      </c>
    </row>
    <row r="15" spans="1:7" ht="15" customHeight="1" x14ac:dyDescent="0.25">
      <c r="A15" s="10" t="s">
        <v>187</v>
      </c>
      <c r="B15" s="10" t="s">
        <v>188</v>
      </c>
      <c r="C15" s="10" t="s">
        <v>189</v>
      </c>
      <c r="D15" s="11" t="s">
        <v>190</v>
      </c>
      <c r="E15" s="10">
        <v>14200</v>
      </c>
      <c r="F15" s="10" t="s">
        <v>170</v>
      </c>
      <c r="G15" s="10" t="s">
        <v>191</v>
      </c>
    </row>
    <row r="16" spans="1:7" ht="15" customHeight="1" x14ac:dyDescent="0.25">
      <c r="A16" s="8" t="s">
        <v>187</v>
      </c>
      <c r="B16" s="8" t="s">
        <v>142</v>
      </c>
      <c r="C16" s="8" t="s">
        <v>183</v>
      </c>
      <c r="D16" s="9" t="s">
        <v>192</v>
      </c>
      <c r="E16" s="8">
        <v>8900</v>
      </c>
      <c r="F16" s="8" t="s">
        <v>170</v>
      </c>
      <c r="G16" s="8" t="s">
        <v>193</v>
      </c>
    </row>
    <row r="17" spans="1:7" ht="15" customHeight="1" x14ac:dyDescent="0.25">
      <c r="A17" s="10" t="s">
        <v>187</v>
      </c>
      <c r="B17" s="10" t="s">
        <v>176</v>
      </c>
      <c r="C17" s="10" t="s">
        <v>194</v>
      </c>
      <c r="D17" s="11" t="s">
        <v>195</v>
      </c>
      <c r="E17" s="10">
        <v>35000</v>
      </c>
      <c r="F17" s="10" t="s">
        <v>166</v>
      </c>
      <c r="G17" s="10" t="s">
        <v>196</v>
      </c>
    </row>
    <row r="18" spans="1:7" ht="15" customHeight="1" x14ac:dyDescent="0.25">
      <c r="A18" s="8" t="s">
        <v>197</v>
      </c>
      <c r="B18" s="8" t="s">
        <v>198</v>
      </c>
      <c r="C18" s="8" t="s">
        <v>199</v>
      </c>
      <c r="D18" s="9" t="s">
        <v>200</v>
      </c>
      <c r="E18" s="8">
        <v>42000</v>
      </c>
      <c r="F18" s="8" t="s">
        <v>170</v>
      </c>
      <c r="G18" s="8" t="s">
        <v>201</v>
      </c>
    </row>
    <row r="19" spans="1:7" ht="15" customHeight="1" x14ac:dyDescent="0.25">
      <c r="A19" s="10" t="s">
        <v>197</v>
      </c>
      <c r="B19" s="10" t="s">
        <v>202</v>
      </c>
      <c r="C19" s="10" t="s">
        <v>203</v>
      </c>
      <c r="D19" s="11" t="s">
        <v>204</v>
      </c>
      <c r="E19" s="10">
        <v>56800</v>
      </c>
      <c r="F19" s="10" t="s">
        <v>140</v>
      </c>
      <c r="G19" s="10" t="s">
        <v>205</v>
      </c>
    </row>
    <row r="20" spans="1:7" ht="15" customHeight="1" x14ac:dyDescent="0.25">
      <c r="A20" s="8" t="s">
        <v>197</v>
      </c>
      <c r="B20" s="8" t="s">
        <v>138</v>
      </c>
      <c r="C20" s="8" t="s">
        <v>206</v>
      </c>
      <c r="D20" s="9" t="s">
        <v>207</v>
      </c>
      <c r="E20" s="8">
        <v>41000</v>
      </c>
      <c r="F20" s="8" t="s">
        <v>140</v>
      </c>
      <c r="G20" s="8" t="s">
        <v>208</v>
      </c>
    </row>
    <row r="21" spans="1:7" ht="15" customHeight="1" x14ac:dyDescent="0.25">
      <c r="A21" s="10" t="s">
        <v>197</v>
      </c>
      <c r="B21" s="10" t="s">
        <v>142</v>
      </c>
      <c r="C21" s="10" t="s">
        <v>209</v>
      </c>
      <c r="D21" s="11" t="s">
        <v>210</v>
      </c>
      <c r="E21" s="10">
        <v>27500</v>
      </c>
      <c r="F21" s="10" t="s">
        <v>140</v>
      </c>
      <c r="G21" s="10" t="s">
        <v>211</v>
      </c>
    </row>
    <row r="22" spans="1:7" ht="15" customHeight="1" x14ac:dyDescent="0.25">
      <c r="A22" s="8" t="s">
        <v>212</v>
      </c>
      <c r="B22" s="8" t="s">
        <v>176</v>
      </c>
      <c r="C22" s="8" t="s">
        <v>213</v>
      </c>
      <c r="D22" s="9" t="s">
        <v>214</v>
      </c>
      <c r="E22" s="8">
        <v>78000</v>
      </c>
      <c r="F22" s="8" t="s">
        <v>166</v>
      </c>
      <c r="G22" s="8" t="s">
        <v>215</v>
      </c>
    </row>
    <row r="23" spans="1:7" ht="15" customHeight="1" x14ac:dyDescent="0.25">
      <c r="A23" s="10" t="s">
        <v>212</v>
      </c>
      <c r="B23" s="10" t="s">
        <v>142</v>
      </c>
      <c r="C23" s="10" t="s">
        <v>216</v>
      </c>
      <c r="D23" s="11" t="s">
        <v>217</v>
      </c>
      <c r="E23" s="10">
        <v>12600</v>
      </c>
      <c r="F23" s="10" t="s">
        <v>56</v>
      </c>
      <c r="G23" s="10" t="s">
        <v>218</v>
      </c>
    </row>
    <row r="24" spans="1:7" ht="15" customHeight="1" x14ac:dyDescent="0.25">
      <c r="A24" s="8" t="s">
        <v>137</v>
      </c>
      <c r="B24" s="8" t="s">
        <v>202</v>
      </c>
      <c r="C24" s="8" t="s">
        <v>219</v>
      </c>
      <c r="D24" s="9" t="s">
        <v>220</v>
      </c>
      <c r="E24" s="8">
        <v>15400</v>
      </c>
      <c r="F24" s="8" t="s">
        <v>140</v>
      </c>
      <c r="G24" s="8" t="s">
        <v>221</v>
      </c>
    </row>
    <row r="25" spans="1:7" ht="15" customHeight="1" x14ac:dyDescent="0.25">
      <c r="A25" s="10" t="s">
        <v>164</v>
      </c>
      <c r="B25" s="10" t="s">
        <v>168</v>
      </c>
      <c r="C25" s="10" t="s">
        <v>222</v>
      </c>
      <c r="D25" s="11" t="s">
        <v>223</v>
      </c>
      <c r="E25" s="10">
        <v>3800</v>
      </c>
      <c r="F25" s="10" t="s">
        <v>170</v>
      </c>
      <c r="G25" s="10" t="s">
        <v>224</v>
      </c>
    </row>
    <row r="26" spans="1:7" ht="15" customHeight="1" x14ac:dyDescent="0.25">
      <c r="A26" s="8" t="s">
        <v>151</v>
      </c>
      <c r="B26" s="8" t="s">
        <v>152</v>
      </c>
      <c r="C26" s="8" t="s">
        <v>225</v>
      </c>
      <c r="D26" s="9" t="s">
        <v>226</v>
      </c>
      <c r="E26" s="8">
        <v>950</v>
      </c>
      <c r="F26" s="8" t="s">
        <v>155</v>
      </c>
      <c r="G26" s="8" t="s">
        <v>227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B4779"/>
  </sheetPr>
  <dimension ref="A1:I4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20" customWidth="1"/>
    <col min="3" max="3" width="14" customWidth="1"/>
    <col min="4" max="4" width="24" customWidth="1"/>
    <col min="5" max="5" width="16" customWidth="1"/>
    <col min="6" max="8" width="14" customWidth="1"/>
    <col min="9" max="9" width="38" customWidth="1"/>
  </cols>
  <sheetData>
    <row r="1" spans="1:9" ht="27.75" customHeight="1" x14ac:dyDescent="0.25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12" t="s">
        <v>34</v>
      </c>
      <c r="G1" s="7" t="s">
        <v>35</v>
      </c>
      <c r="H1" s="7" t="s">
        <v>36</v>
      </c>
      <c r="I1" s="7" t="s">
        <v>37</v>
      </c>
    </row>
    <row r="2" spans="1:9" ht="15" customHeight="1" x14ac:dyDescent="0.25">
      <c r="A2" s="8" t="s">
        <v>38</v>
      </c>
      <c r="B2" s="8" t="s">
        <v>39</v>
      </c>
      <c r="C2" s="8" t="s">
        <v>40</v>
      </c>
      <c r="D2" s="8" t="s">
        <v>41</v>
      </c>
      <c r="E2" s="9" t="s">
        <v>42</v>
      </c>
      <c r="F2" s="8">
        <v>132500</v>
      </c>
      <c r="G2" s="8" t="s">
        <v>43</v>
      </c>
      <c r="H2" s="8">
        <v>0.1</v>
      </c>
      <c r="I2" s="8" t="s">
        <v>44</v>
      </c>
    </row>
    <row r="3" spans="1:9" ht="15" customHeight="1" x14ac:dyDescent="0.25">
      <c r="A3" s="10" t="s">
        <v>45</v>
      </c>
      <c r="B3" s="10" t="s">
        <v>46</v>
      </c>
      <c r="C3" s="10" t="s">
        <v>47</v>
      </c>
      <c r="D3" s="10" t="s">
        <v>48</v>
      </c>
      <c r="E3" s="11" t="s">
        <v>49</v>
      </c>
      <c r="F3" s="10">
        <v>87500</v>
      </c>
      <c r="G3" s="10" t="s">
        <v>43</v>
      </c>
      <c r="H3" s="10">
        <v>0.12</v>
      </c>
      <c r="I3" s="10" t="s">
        <v>228</v>
      </c>
    </row>
    <row r="4" spans="1:9" ht="15" customHeight="1" x14ac:dyDescent="0.25">
      <c r="A4" s="8" t="s">
        <v>51</v>
      </c>
      <c r="B4" s="8" t="s">
        <v>52</v>
      </c>
      <c r="C4" s="8" t="s">
        <v>53</v>
      </c>
      <c r="D4" s="8" t="s">
        <v>54</v>
      </c>
      <c r="E4" s="9" t="s">
        <v>55</v>
      </c>
      <c r="F4" s="8">
        <v>210000</v>
      </c>
      <c r="G4" s="8" t="s">
        <v>43</v>
      </c>
      <c r="H4" s="8">
        <v>0.09</v>
      </c>
      <c r="I4" s="8" t="s">
        <v>57</v>
      </c>
    </row>
    <row r="5" spans="1:9" ht="15" customHeight="1" x14ac:dyDescent="0.25">
      <c r="A5" s="10" t="s">
        <v>58</v>
      </c>
      <c r="B5" s="10" t="s">
        <v>59</v>
      </c>
      <c r="C5" s="10" t="s">
        <v>60</v>
      </c>
      <c r="D5" s="10" t="s">
        <v>61</v>
      </c>
      <c r="E5" s="11" t="s">
        <v>62</v>
      </c>
      <c r="F5" s="11" t="s">
        <v>63</v>
      </c>
      <c r="G5" s="10" t="s">
        <v>64</v>
      </c>
      <c r="H5" s="10">
        <v>0.11</v>
      </c>
      <c r="I5" s="10" t="s">
        <v>65</v>
      </c>
    </row>
    <row r="6" spans="1:9" ht="15" customHeight="1" x14ac:dyDescent="0.25">
      <c r="A6" s="8" t="s">
        <v>38</v>
      </c>
      <c r="B6" s="8" t="s">
        <v>66</v>
      </c>
      <c r="C6" s="8" t="s">
        <v>40</v>
      </c>
      <c r="D6" s="8" t="s">
        <v>67</v>
      </c>
      <c r="E6" s="9" t="s">
        <v>68</v>
      </c>
      <c r="F6" s="8">
        <v>315000</v>
      </c>
      <c r="G6" s="8" t="s">
        <v>43</v>
      </c>
      <c r="H6" s="8">
        <v>0.1</v>
      </c>
      <c r="I6" s="8" t="s">
        <v>69</v>
      </c>
    </row>
    <row r="7" spans="1:9" ht="15" customHeight="1" x14ac:dyDescent="0.25">
      <c r="A7" s="10" t="s">
        <v>70</v>
      </c>
      <c r="B7" s="10" t="s">
        <v>71</v>
      </c>
      <c r="C7" s="10" t="s">
        <v>47</v>
      </c>
      <c r="D7" s="10" t="s">
        <v>72</v>
      </c>
      <c r="E7" s="11" t="s">
        <v>73</v>
      </c>
      <c r="F7" s="10">
        <v>67500</v>
      </c>
      <c r="G7" s="10" t="s">
        <v>56</v>
      </c>
      <c r="H7" s="10">
        <v>0.08</v>
      </c>
      <c r="I7" s="10" t="s">
        <v>74</v>
      </c>
    </row>
    <row r="8" spans="1:9" ht="15" customHeight="1" x14ac:dyDescent="0.25">
      <c r="A8" s="8" t="s">
        <v>45</v>
      </c>
      <c r="B8" s="8" t="s">
        <v>75</v>
      </c>
      <c r="C8" s="8" t="s">
        <v>53</v>
      </c>
      <c r="D8" s="8" t="s">
        <v>76</v>
      </c>
      <c r="E8" s="9" t="s">
        <v>77</v>
      </c>
      <c r="F8" s="8">
        <v>155000</v>
      </c>
      <c r="G8" s="8" t="s">
        <v>43</v>
      </c>
      <c r="H8" s="8">
        <v>0.13</v>
      </c>
      <c r="I8" s="8" t="s">
        <v>44</v>
      </c>
    </row>
    <row r="9" spans="1:9" ht="15" customHeight="1" x14ac:dyDescent="0.25">
      <c r="A9" s="10" t="s">
        <v>51</v>
      </c>
      <c r="B9" s="10" t="s">
        <v>78</v>
      </c>
      <c r="C9" s="10" t="s">
        <v>60</v>
      </c>
      <c r="D9" s="10" t="s">
        <v>79</v>
      </c>
      <c r="E9" s="11" t="s">
        <v>80</v>
      </c>
      <c r="F9" s="10">
        <v>38000</v>
      </c>
      <c r="G9" s="10" t="s">
        <v>64</v>
      </c>
      <c r="H9" s="10">
        <v>0.1</v>
      </c>
      <c r="I9" s="10" t="s">
        <v>81</v>
      </c>
    </row>
    <row r="11" spans="1:9" ht="15" customHeight="1" x14ac:dyDescent="0.25">
      <c r="A11" s="10" t="s">
        <v>58</v>
      </c>
      <c r="B11" s="10" t="s">
        <v>82</v>
      </c>
      <c r="C11" s="10" t="s">
        <v>40</v>
      </c>
      <c r="D11" s="10" t="s">
        <v>83</v>
      </c>
      <c r="E11" s="11" t="s">
        <v>84</v>
      </c>
      <c r="F11" s="10">
        <v>420000</v>
      </c>
      <c r="G11" s="10" t="s">
        <v>43</v>
      </c>
      <c r="H11" s="10">
        <v>0.15</v>
      </c>
      <c r="I11" s="10" t="s">
        <v>50</v>
      </c>
    </row>
    <row r="12" spans="1:9" ht="15" customHeight="1" x14ac:dyDescent="0.25">
      <c r="A12" s="8" t="s">
        <v>38</v>
      </c>
      <c r="B12" s="8" t="s">
        <v>85</v>
      </c>
      <c r="C12" s="8" t="s">
        <v>47</v>
      </c>
      <c r="D12" s="8" t="s">
        <v>86</v>
      </c>
      <c r="E12" s="9" t="s">
        <v>87</v>
      </c>
      <c r="F12" s="8">
        <v>92000</v>
      </c>
      <c r="G12" s="8" t="s">
        <v>64</v>
      </c>
      <c r="H12" s="8">
        <v>0.11</v>
      </c>
      <c r="I12" s="8" t="s">
        <v>88</v>
      </c>
    </row>
    <row r="13" spans="1:9" ht="15" customHeight="1" x14ac:dyDescent="0.25">
      <c r="A13" s="10" t="s">
        <v>45</v>
      </c>
      <c r="B13" s="10" t="s">
        <v>39</v>
      </c>
      <c r="C13" s="10" t="s">
        <v>53</v>
      </c>
      <c r="D13" s="10" t="s">
        <v>89</v>
      </c>
      <c r="E13" s="11" t="s">
        <v>229</v>
      </c>
      <c r="F13" s="10">
        <v>178000</v>
      </c>
      <c r="G13" s="10" t="s">
        <v>43</v>
      </c>
      <c r="H13" s="10">
        <v>0.12</v>
      </c>
      <c r="I13" s="10" t="s">
        <v>74</v>
      </c>
    </row>
    <row r="14" spans="1:9" ht="15" customHeight="1" x14ac:dyDescent="0.25">
      <c r="A14" s="8" t="s">
        <v>51</v>
      </c>
      <c r="B14" s="8" t="s">
        <v>46</v>
      </c>
      <c r="C14" s="8" t="s">
        <v>60</v>
      </c>
      <c r="D14" s="8" t="s">
        <v>91</v>
      </c>
      <c r="E14" s="9" t="s">
        <v>92</v>
      </c>
      <c r="F14" s="9" t="s">
        <v>93</v>
      </c>
      <c r="G14" s="8" t="s">
        <v>64</v>
      </c>
      <c r="H14" s="8">
        <v>0.09</v>
      </c>
      <c r="I14" s="8" t="s">
        <v>65</v>
      </c>
    </row>
    <row r="15" spans="1:9" ht="15" customHeight="1" x14ac:dyDescent="0.25">
      <c r="A15" s="10" t="s">
        <v>70</v>
      </c>
      <c r="B15" s="10" t="s">
        <v>52</v>
      </c>
      <c r="C15" s="10" t="s">
        <v>40</v>
      </c>
      <c r="D15" s="10" t="s">
        <v>94</v>
      </c>
      <c r="E15" s="11" t="s">
        <v>95</v>
      </c>
      <c r="F15" s="10">
        <v>238000</v>
      </c>
      <c r="G15" s="10" t="s">
        <v>43</v>
      </c>
      <c r="H15" s="10">
        <v>0.1</v>
      </c>
      <c r="I15" s="10" t="s">
        <v>57</v>
      </c>
    </row>
    <row r="16" spans="1:9" ht="15" customHeight="1" x14ac:dyDescent="0.25">
      <c r="A16" s="8" t="s">
        <v>58</v>
      </c>
      <c r="B16" s="8" t="s">
        <v>59</v>
      </c>
      <c r="C16" s="8" t="s">
        <v>47</v>
      </c>
      <c r="D16" s="8" t="s">
        <v>96</v>
      </c>
      <c r="E16" s="9" t="s">
        <v>97</v>
      </c>
      <c r="F16" s="8">
        <v>63000</v>
      </c>
      <c r="G16" s="8" t="s">
        <v>64</v>
      </c>
      <c r="H16" s="8">
        <v>0.11</v>
      </c>
      <c r="I16" s="8" t="s">
        <v>81</v>
      </c>
    </row>
    <row r="17" spans="1:9" ht="15" customHeight="1" x14ac:dyDescent="0.25">
      <c r="A17" s="10" t="s">
        <v>38</v>
      </c>
      <c r="B17" s="10" t="s">
        <v>66</v>
      </c>
      <c r="C17" s="10" t="s">
        <v>53</v>
      </c>
      <c r="D17" s="10" t="s">
        <v>98</v>
      </c>
      <c r="E17" s="11" t="s">
        <v>99</v>
      </c>
      <c r="F17" s="10">
        <v>189000</v>
      </c>
      <c r="G17" s="10" t="s">
        <v>43</v>
      </c>
      <c r="H17" s="10">
        <v>0.14000000000000001</v>
      </c>
      <c r="I17" s="10" t="s">
        <v>100</v>
      </c>
    </row>
    <row r="18" spans="1:9" ht="15" customHeight="1" x14ac:dyDescent="0.25">
      <c r="A18" s="8" t="s">
        <v>45</v>
      </c>
      <c r="B18" s="8" t="s">
        <v>71</v>
      </c>
      <c r="C18" s="8" t="s">
        <v>60</v>
      </c>
      <c r="D18" s="8" t="s">
        <v>101</v>
      </c>
      <c r="E18" s="9" t="s">
        <v>102</v>
      </c>
      <c r="F18" s="8">
        <v>52000</v>
      </c>
      <c r="G18" s="8" t="s">
        <v>56</v>
      </c>
      <c r="H18" s="8">
        <v>0.1</v>
      </c>
      <c r="I18" s="8"/>
    </row>
    <row r="19" spans="1:9" ht="15" customHeight="1" x14ac:dyDescent="0.25">
      <c r="A19" s="10" t="s">
        <v>51</v>
      </c>
      <c r="B19" s="10" t="s">
        <v>75</v>
      </c>
      <c r="C19" s="10" t="s">
        <v>40</v>
      </c>
      <c r="D19" s="10" t="s">
        <v>103</v>
      </c>
      <c r="E19" s="11" t="s">
        <v>104</v>
      </c>
      <c r="F19" s="10">
        <v>365000</v>
      </c>
      <c r="G19" s="10" t="s">
        <v>43</v>
      </c>
      <c r="H19" s="10">
        <v>0.12</v>
      </c>
      <c r="I19" s="10" t="s">
        <v>44</v>
      </c>
    </row>
    <row r="21" spans="1:9" ht="15" customHeight="1" x14ac:dyDescent="0.25">
      <c r="A21" s="10" t="s">
        <v>58</v>
      </c>
      <c r="B21" s="10" t="s">
        <v>78</v>
      </c>
      <c r="C21" s="10" t="s">
        <v>47</v>
      </c>
      <c r="D21" s="10" t="s">
        <v>105</v>
      </c>
      <c r="E21" s="11" t="s">
        <v>106</v>
      </c>
      <c r="F21" s="10">
        <v>71000</v>
      </c>
      <c r="G21" s="10" t="s">
        <v>64</v>
      </c>
      <c r="H21" s="10">
        <v>0.09</v>
      </c>
      <c r="I21" s="10" t="s">
        <v>107</v>
      </c>
    </row>
    <row r="22" spans="1:9" ht="15" customHeight="1" x14ac:dyDescent="0.25">
      <c r="A22" s="8" t="s">
        <v>38</v>
      </c>
      <c r="B22" s="8" t="s">
        <v>82</v>
      </c>
      <c r="C22" s="8" t="s">
        <v>53</v>
      </c>
      <c r="D22" s="8" t="s">
        <v>41</v>
      </c>
      <c r="E22" s="9" t="s">
        <v>108</v>
      </c>
      <c r="F22" s="8">
        <v>134000</v>
      </c>
      <c r="G22" s="8" t="s">
        <v>43</v>
      </c>
      <c r="H22" s="8">
        <v>0.11</v>
      </c>
      <c r="I22" s="8" t="s">
        <v>230</v>
      </c>
    </row>
    <row r="23" spans="1:9" ht="15" customHeight="1" x14ac:dyDescent="0.25">
      <c r="A23" s="10" t="s">
        <v>70</v>
      </c>
      <c r="B23" s="10" t="s">
        <v>85</v>
      </c>
      <c r="C23" s="10" t="s">
        <v>60</v>
      </c>
      <c r="D23" s="10" t="s">
        <v>72</v>
      </c>
      <c r="E23" s="11" t="s">
        <v>109</v>
      </c>
      <c r="F23" s="10">
        <v>41500</v>
      </c>
      <c r="G23" s="10" t="s">
        <v>56</v>
      </c>
      <c r="H23" s="10">
        <v>0.1</v>
      </c>
      <c r="I23" s="10"/>
    </row>
    <row r="24" spans="1:9" ht="15" customHeight="1" x14ac:dyDescent="0.25">
      <c r="A24" s="8" t="s">
        <v>45</v>
      </c>
      <c r="B24" s="8" t="s">
        <v>39</v>
      </c>
      <c r="C24" s="8" t="s">
        <v>40</v>
      </c>
      <c r="D24" s="8" t="s">
        <v>86</v>
      </c>
      <c r="E24" s="9" t="s">
        <v>110</v>
      </c>
      <c r="F24" s="8">
        <v>275000</v>
      </c>
      <c r="G24" s="8" t="s">
        <v>43</v>
      </c>
      <c r="H24" s="8">
        <v>0.13</v>
      </c>
      <c r="I24" s="8" t="s">
        <v>74</v>
      </c>
    </row>
    <row r="25" spans="1:9" ht="15" customHeight="1" x14ac:dyDescent="0.25">
      <c r="A25" s="10" t="s">
        <v>51</v>
      </c>
      <c r="B25" s="10" t="s">
        <v>59</v>
      </c>
      <c r="C25" s="10" t="s">
        <v>47</v>
      </c>
      <c r="D25" s="10" t="s">
        <v>54</v>
      </c>
      <c r="E25" s="11" t="s">
        <v>111</v>
      </c>
      <c r="F25" s="10">
        <v>88000</v>
      </c>
      <c r="G25" s="10" t="s">
        <v>64</v>
      </c>
      <c r="H25" s="10">
        <v>0.1</v>
      </c>
      <c r="I25" s="10" t="s">
        <v>65</v>
      </c>
    </row>
    <row r="26" spans="1:9" ht="15" customHeight="1" x14ac:dyDescent="0.25">
      <c r="A26" s="8" t="s">
        <v>58</v>
      </c>
      <c r="B26" s="8" t="s">
        <v>46</v>
      </c>
      <c r="C26" s="8" t="s">
        <v>53</v>
      </c>
      <c r="D26" s="8" t="s">
        <v>61</v>
      </c>
      <c r="E26" s="9" t="s">
        <v>112</v>
      </c>
      <c r="F26" s="8">
        <v>165000</v>
      </c>
      <c r="G26" s="8" t="s">
        <v>43</v>
      </c>
      <c r="H26" s="8">
        <v>0.12</v>
      </c>
      <c r="I26" s="8" t="s">
        <v>57</v>
      </c>
    </row>
    <row r="27" spans="1:9" ht="15" customHeight="1" x14ac:dyDescent="0.25">
      <c r="A27" s="10" t="s">
        <v>38</v>
      </c>
      <c r="B27" s="10" t="s">
        <v>52</v>
      </c>
      <c r="C27" s="10" t="s">
        <v>60</v>
      </c>
      <c r="D27" s="10" t="s">
        <v>86</v>
      </c>
      <c r="E27" s="11" t="s">
        <v>113</v>
      </c>
      <c r="F27" s="10">
        <v>33000</v>
      </c>
      <c r="G27" s="10" t="s">
        <v>64</v>
      </c>
      <c r="H27" s="10">
        <v>0.08</v>
      </c>
      <c r="I27" s="10" t="s">
        <v>81</v>
      </c>
    </row>
    <row r="28" spans="1:9" ht="15" customHeight="1" x14ac:dyDescent="0.25">
      <c r="A28" s="8" t="s">
        <v>70</v>
      </c>
      <c r="B28" s="8" t="s">
        <v>71</v>
      </c>
      <c r="C28" s="8" t="s">
        <v>40</v>
      </c>
      <c r="D28" s="8" t="s">
        <v>67</v>
      </c>
      <c r="E28" s="9" t="s">
        <v>114</v>
      </c>
      <c r="F28" s="8">
        <v>198000</v>
      </c>
      <c r="G28" s="8" t="s">
        <v>56</v>
      </c>
      <c r="H28" s="8">
        <v>0.11</v>
      </c>
      <c r="I28" s="8" t="s">
        <v>69</v>
      </c>
    </row>
    <row r="30" spans="1:9" ht="15" customHeight="1" x14ac:dyDescent="0.25">
      <c r="A30" s="8" t="s">
        <v>45</v>
      </c>
      <c r="B30" s="8" t="s">
        <v>78</v>
      </c>
      <c r="C30" s="8" t="s">
        <v>47</v>
      </c>
      <c r="D30" s="8" t="s">
        <v>76</v>
      </c>
      <c r="E30" s="9" t="s">
        <v>115</v>
      </c>
      <c r="F30" s="8">
        <v>105000</v>
      </c>
      <c r="G30" s="8" t="s">
        <v>43</v>
      </c>
      <c r="H30" s="8">
        <v>0.12</v>
      </c>
      <c r="I30" s="8" t="s">
        <v>44</v>
      </c>
    </row>
    <row r="31" spans="1:9" ht="15" customHeight="1" x14ac:dyDescent="0.25">
      <c r="A31" s="10" t="s">
        <v>51</v>
      </c>
      <c r="B31" s="10" t="s">
        <v>66</v>
      </c>
      <c r="C31" s="10" t="s">
        <v>53</v>
      </c>
      <c r="D31" s="10" t="s">
        <v>79</v>
      </c>
      <c r="E31" s="11" t="s">
        <v>116</v>
      </c>
      <c r="F31" s="10">
        <v>222000</v>
      </c>
      <c r="G31" s="10" t="s">
        <v>43</v>
      </c>
      <c r="H31" s="10">
        <v>0.14000000000000001</v>
      </c>
      <c r="I31" s="10" t="s">
        <v>50</v>
      </c>
    </row>
    <row r="32" spans="1:9" ht="15" customHeight="1" x14ac:dyDescent="0.25">
      <c r="A32" s="8" t="s">
        <v>58</v>
      </c>
      <c r="B32" s="8" t="s">
        <v>82</v>
      </c>
      <c r="C32" s="8" t="s">
        <v>60</v>
      </c>
      <c r="D32" s="8" t="s">
        <v>83</v>
      </c>
      <c r="E32" s="9" t="s">
        <v>117</v>
      </c>
      <c r="F32" s="9" t="s">
        <v>118</v>
      </c>
      <c r="G32" s="8" t="s">
        <v>64</v>
      </c>
      <c r="H32" s="8">
        <v>0.1</v>
      </c>
      <c r="I32" s="8"/>
    </row>
    <row r="33" spans="1:9" ht="15" customHeight="1" x14ac:dyDescent="0.25">
      <c r="A33" s="10" t="s">
        <v>38</v>
      </c>
      <c r="B33" s="10" t="s">
        <v>75</v>
      </c>
      <c r="C33" s="10" t="s">
        <v>40</v>
      </c>
      <c r="D33" s="10" t="s">
        <v>89</v>
      </c>
      <c r="E33" s="11" t="s">
        <v>119</v>
      </c>
      <c r="F33" s="10">
        <v>290000</v>
      </c>
      <c r="G33" s="10" t="s">
        <v>43</v>
      </c>
      <c r="H33" s="10">
        <v>0.13</v>
      </c>
      <c r="I33" s="10" t="s">
        <v>74</v>
      </c>
    </row>
    <row r="34" spans="1:9" ht="15" customHeight="1" x14ac:dyDescent="0.25">
      <c r="A34" s="8" t="s">
        <v>38</v>
      </c>
      <c r="B34" s="8" t="s">
        <v>85</v>
      </c>
      <c r="C34" s="8" t="s">
        <v>40</v>
      </c>
      <c r="D34" s="8" t="s">
        <v>41</v>
      </c>
      <c r="E34" s="9" t="s">
        <v>120</v>
      </c>
      <c r="F34" s="8">
        <v>-12500</v>
      </c>
      <c r="G34" s="8" t="s">
        <v>43</v>
      </c>
      <c r="H34" s="8">
        <v>0</v>
      </c>
      <c r="I34" s="8" t="s">
        <v>121</v>
      </c>
    </row>
    <row r="35" spans="1:9" ht="15" customHeight="1" x14ac:dyDescent="0.25">
      <c r="A35" s="10" t="s">
        <v>70</v>
      </c>
      <c r="B35" s="10" t="s">
        <v>39</v>
      </c>
      <c r="C35" s="10" t="s">
        <v>47</v>
      </c>
      <c r="D35" s="10" t="s">
        <v>91</v>
      </c>
      <c r="E35" s="11" t="s">
        <v>122</v>
      </c>
      <c r="F35" s="10">
        <v>76000</v>
      </c>
      <c r="G35" s="10" t="s">
        <v>64</v>
      </c>
      <c r="H35" s="10">
        <v>0.09</v>
      </c>
      <c r="I35" s="10" t="s">
        <v>107</v>
      </c>
    </row>
    <row r="36" spans="1:9" ht="15" customHeight="1" x14ac:dyDescent="0.25">
      <c r="A36" s="8" t="s">
        <v>45</v>
      </c>
      <c r="B36" s="8" t="s">
        <v>59</v>
      </c>
      <c r="C36" s="8" t="s">
        <v>53</v>
      </c>
      <c r="D36" s="8" t="s">
        <v>94</v>
      </c>
      <c r="E36" s="9" t="s">
        <v>123</v>
      </c>
      <c r="F36" s="8">
        <v>143000</v>
      </c>
      <c r="G36" s="8" t="s">
        <v>56</v>
      </c>
      <c r="H36" s="8">
        <v>0.11</v>
      </c>
      <c r="I36" s="8" t="s">
        <v>57</v>
      </c>
    </row>
    <row r="37" spans="1:9" ht="15" customHeight="1" x14ac:dyDescent="0.25">
      <c r="A37" s="10" t="s">
        <v>51</v>
      </c>
      <c r="B37" s="10" t="s">
        <v>46</v>
      </c>
      <c r="C37" s="10" t="s">
        <v>60</v>
      </c>
      <c r="D37" s="10" t="s">
        <v>96</v>
      </c>
      <c r="E37" s="11" t="s">
        <v>124</v>
      </c>
      <c r="F37" s="10">
        <v>55000</v>
      </c>
      <c r="G37" s="10" t="s">
        <v>64</v>
      </c>
      <c r="H37" s="10">
        <v>0.1</v>
      </c>
      <c r="I37" s="10" t="s">
        <v>65</v>
      </c>
    </row>
    <row r="38" spans="1:9" ht="15" customHeight="1" x14ac:dyDescent="0.25">
      <c r="A38" s="8" t="s">
        <v>58</v>
      </c>
      <c r="B38" s="8" t="s">
        <v>52</v>
      </c>
      <c r="C38" s="8" t="s">
        <v>40</v>
      </c>
      <c r="D38" s="8" t="s">
        <v>101</v>
      </c>
      <c r="E38" s="9" t="s">
        <v>125</v>
      </c>
      <c r="F38" s="8">
        <v>182000</v>
      </c>
      <c r="G38" s="8" t="s">
        <v>43</v>
      </c>
      <c r="H38" s="8">
        <v>0.12</v>
      </c>
      <c r="I38" s="8" t="s">
        <v>44</v>
      </c>
    </row>
    <row r="39" spans="1:9" ht="15" customHeight="1" x14ac:dyDescent="0.25">
      <c r="A39" s="10" t="s">
        <v>38</v>
      </c>
      <c r="B39" s="10" t="s">
        <v>71</v>
      </c>
      <c r="C39" s="10" t="s">
        <v>47</v>
      </c>
      <c r="D39" s="10" t="s">
        <v>98</v>
      </c>
      <c r="E39" s="11" t="s">
        <v>126</v>
      </c>
      <c r="F39" s="10">
        <v>94000</v>
      </c>
      <c r="G39" s="10" t="s">
        <v>56</v>
      </c>
      <c r="H39" s="10">
        <v>0.11</v>
      </c>
      <c r="I39" s="10" t="e">
        <f>VLOOKUP("Q1-2026-MISSING",A1:B43,2,FALSE())</f>
        <v>#N/A</v>
      </c>
    </row>
    <row r="40" spans="1:9" ht="15" customHeight="1" x14ac:dyDescent="0.25">
      <c r="A40" s="8" t="s">
        <v>45</v>
      </c>
      <c r="B40" s="8" t="s">
        <v>39</v>
      </c>
      <c r="C40" s="8" t="s">
        <v>40</v>
      </c>
      <c r="D40" s="8" t="s">
        <v>86</v>
      </c>
      <c r="E40" s="9" t="s">
        <v>110</v>
      </c>
      <c r="F40" s="8">
        <v>275000</v>
      </c>
      <c r="G40" s="8" t="s">
        <v>43</v>
      </c>
      <c r="H40" s="8">
        <v>0.13</v>
      </c>
      <c r="I40" s="8" t="s">
        <v>74</v>
      </c>
    </row>
    <row r="41" spans="1:9" ht="15" customHeight="1" x14ac:dyDescent="0.25">
      <c r="A41" s="10" t="s">
        <v>70</v>
      </c>
      <c r="B41" s="10" t="s">
        <v>78</v>
      </c>
      <c r="C41" s="10" t="s">
        <v>53</v>
      </c>
      <c r="D41" s="10" t="s">
        <v>103</v>
      </c>
      <c r="E41" s="11" t="s">
        <v>127</v>
      </c>
      <c r="F41" s="10">
        <v>158000</v>
      </c>
      <c r="G41" s="10" t="s">
        <v>43</v>
      </c>
      <c r="H41" s="10">
        <v>0.1</v>
      </c>
      <c r="I41" s="10" t="s">
        <v>128</v>
      </c>
    </row>
    <row r="42" spans="1:9" ht="15" customHeight="1" x14ac:dyDescent="0.25">
      <c r="A42" s="8" t="s">
        <v>51</v>
      </c>
      <c r="B42" s="8" t="s">
        <v>82</v>
      </c>
      <c r="C42" s="8" t="s">
        <v>40</v>
      </c>
      <c r="D42" s="8" t="s">
        <v>89</v>
      </c>
      <c r="E42" s="9" t="s">
        <v>129</v>
      </c>
      <c r="F42" s="8">
        <v>118000</v>
      </c>
      <c r="G42" s="8" t="s">
        <v>43</v>
      </c>
      <c r="H42" s="8">
        <v>0.11</v>
      </c>
      <c r="I42" s="8" t="s">
        <v>65</v>
      </c>
    </row>
    <row r="43" spans="1:9" ht="15" customHeight="1" x14ac:dyDescent="0.25">
      <c r="A43" s="10" t="s">
        <v>45</v>
      </c>
      <c r="B43" s="10" t="s">
        <v>85</v>
      </c>
      <c r="C43" s="10" t="s">
        <v>60</v>
      </c>
      <c r="D43" s="10" t="s">
        <v>105</v>
      </c>
      <c r="E43" s="11" t="s">
        <v>130</v>
      </c>
      <c r="F43" s="10">
        <v>36500</v>
      </c>
      <c r="G43" s="10" t="s">
        <v>64</v>
      </c>
      <c r="H43" s="10">
        <v>0.09</v>
      </c>
      <c r="I43" s="10" t="s">
        <v>81</v>
      </c>
    </row>
    <row r="44" spans="1:9" ht="15" customHeight="1" x14ac:dyDescent="0.25">
      <c r="A44" s="8" t="s">
        <v>70</v>
      </c>
      <c r="B44" s="8" t="s">
        <v>71</v>
      </c>
      <c r="C44" s="8" t="s">
        <v>40</v>
      </c>
      <c r="D44" s="8" t="s">
        <v>231</v>
      </c>
      <c r="E44" s="9" t="s">
        <v>232</v>
      </c>
      <c r="F44" s="8">
        <v>290000</v>
      </c>
      <c r="G44" s="8" t="s">
        <v>64</v>
      </c>
      <c r="H44" s="8">
        <v>0.1</v>
      </c>
      <c r="I44" s="8" t="s">
        <v>233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112E51"/>
  </sheetPr>
  <dimension ref="A1:F2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0" customWidth="1"/>
    <col min="2" max="6" width="16" customWidth="1"/>
  </cols>
  <sheetData>
    <row r="1" spans="1:6" ht="30" customHeight="1" x14ac:dyDescent="0.25">
      <c r="A1" s="13" t="s">
        <v>131</v>
      </c>
      <c r="B1" s="13" t="s">
        <v>18</v>
      </c>
      <c r="C1" s="13" t="s">
        <v>234</v>
      </c>
      <c r="D1" s="13" t="s">
        <v>235</v>
      </c>
      <c r="E1" s="13" t="s">
        <v>236</v>
      </c>
      <c r="F1" s="13" t="s">
        <v>35</v>
      </c>
    </row>
    <row r="2" spans="1:6" ht="24" customHeight="1" x14ac:dyDescent="0.25">
      <c r="A2" s="14" t="s">
        <v>137</v>
      </c>
      <c r="B2" s="15">
        <v>485000</v>
      </c>
      <c r="C2" s="15">
        <v>498200</v>
      </c>
      <c r="D2" s="16">
        <f t="shared" ref="D2:D8" si="0">C2-B2</f>
        <v>13200</v>
      </c>
      <c r="E2" s="17">
        <f t="shared" ref="E2:E9" si="1">IFERROR(D2/B2,0)</f>
        <v>2.7216494845360824E-2</v>
      </c>
      <c r="F2" s="18" t="s">
        <v>237</v>
      </c>
    </row>
    <row r="3" spans="1:6" ht="24" customHeight="1" x14ac:dyDescent="0.25">
      <c r="A3" s="19" t="s">
        <v>151</v>
      </c>
      <c r="B3" s="20">
        <v>165000</v>
      </c>
      <c r="C3" s="20">
        <v>152800</v>
      </c>
      <c r="D3" s="21">
        <f t="shared" si="0"/>
        <v>-12200</v>
      </c>
      <c r="E3" s="22">
        <f t="shared" si="1"/>
        <v>-7.3939393939393944E-2</v>
      </c>
      <c r="F3" s="23" t="s">
        <v>238</v>
      </c>
    </row>
    <row r="4" spans="1:6" ht="24" customHeight="1" x14ac:dyDescent="0.25">
      <c r="A4" s="14" t="s">
        <v>164</v>
      </c>
      <c r="B4" s="15">
        <v>95000</v>
      </c>
      <c r="C4" s="15">
        <v>93400</v>
      </c>
      <c r="D4" s="16">
        <f t="shared" si="0"/>
        <v>-1600</v>
      </c>
      <c r="E4" s="17">
        <f t="shared" si="1"/>
        <v>-1.6842105263157894E-2</v>
      </c>
      <c r="F4" s="24" t="s">
        <v>239</v>
      </c>
    </row>
    <row r="5" spans="1:6" ht="24" customHeight="1" x14ac:dyDescent="0.25">
      <c r="A5" s="19" t="s">
        <v>175</v>
      </c>
      <c r="B5" s="20">
        <v>72000</v>
      </c>
      <c r="C5" s="20">
        <v>81500</v>
      </c>
      <c r="D5" s="21">
        <f t="shared" si="0"/>
        <v>9500</v>
      </c>
      <c r="E5" s="22">
        <f t="shared" si="1"/>
        <v>0.13194444444444445</v>
      </c>
      <c r="F5" s="18" t="s">
        <v>237</v>
      </c>
    </row>
    <row r="6" spans="1:6" ht="24" customHeight="1" x14ac:dyDescent="0.25">
      <c r="A6" s="14" t="s">
        <v>187</v>
      </c>
      <c r="B6" s="15">
        <v>58000</v>
      </c>
      <c r="C6" s="15">
        <v>49200</v>
      </c>
      <c r="D6" s="16">
        <f t="shared" si="0"/>
        <v>-8800</v>
      </c>
      <c r="E6" s="17">
        <f t="shared" si="1"/>
        <v>-0.15172413793103448</v>
      </c>
      <c r="F6" s="23" t="s">
        <v>238</v>
      </c>
    </row>
    <row r="7" spans="1:6" ht="24" customHeight="1" x14ac:dyDescent="0.25">
      <c r="A7" s="19" t="s">
        <v>197</v>
      </c>
      <c r="B7" s="20">
        <v>125000</v>
      </c>
      <c r="C7" s="20">
        <v>127300</v>
      </c>
      <c r="D7" s="21">
        <f t="shared" si="0"/>
        <v>2300</v>
      </c>
      <c r="E7" s="22">
        <f t="shared" si="1"/>
        <v>1.84E-2</v>
      </c>
      <c r="F7" s="24" t="s">
        <v>239</v>
      </c>
    </row>
    <row r="8" spans="1:6" ht="24" customHeight="1" x14ac:dyDescent="0.25">
      <c r="A8" s="14" t="s">
        <v>212</v>
      </c>
      <c r="B8" s="15">
        <v>85000</v>
      </c>
      <c r="C8" s="15">
        <v>90600</v>
      </c>
      <c r="D8" s="16">
        <f t="shared" si="0"/>
        <v>5600</v>
      </c>
      <c r="E8" s="17">
        <f t="shared" si="1"/>
        <v>6.5882352941176475E-2</v>
      </c>
      <c r="F8" s="18" t="s">
        <v>237</v>
      </c>
    </row>
    <row r="9" spans="1:6" ht="27.75" customHeight="1" x14ac:dyDescent="0.25">
      <c r="A9" s="25" t="s">
        <v>240</v>
      </c>
      <c r="B9" s="26">
        <f>SUM(B2:B8)</f>
        <v>1085000</v>
      </c>
      <c r="C9" s="26">
        <f>SUM(C2:C8)</f>
        <v>1093000</v>
      </c>
      <c r="D9" s="27">
        <f>SUM(D2:D8)</f>
        <v>8000</v>
      </c>
      <c r="E9" s="28">
        <f t="shared" si="1"/>
        <v>7.3732718894009217E-3</v>
      </c>
      <c r="F9" s="29"/>
    </row>
    <row r="11" spans="1:6" ht="15" customHeight="1" x14ac:dyDescent="0.25">
      <c r="A11" s="30" t="s">
        <v>241</v>
      </c>
      <c r="B11" s="31"/>
    </row>
    <row r="12" spans="1:6" ht="15" customHeight="1" x14ac:dyDescent="0.25">
      <c r="A12" s="32" t="s">
        <v>239</v>
      </c>
    </row>
    <row r="13" spans="1:6" ht="15" customHeight="1" x14ac:dyDescent="0.25">
      <c r="A13" s="32" t="s">
        <v>237</v>
      </c>
    </row>
    <row r="14" spans="1:6" ht="15" customHeight="1" x14ac:dyDescent="0.25">
      <c r="A14" s="32" t="s">
        <v>238</v>
      </c>
    </row>
    <row r="15" spans="1:6" ht="15" customHeight="1" x14ac:dyDescent="0.25">
      <c r="A15" s="32" t="s">
        <v>242</v>
      </c>
    </row>
    <row r="16" spans="1:6" ht="15" customHeight="1" x14ac:dyDescent="0.25">
      <c r="A16" s="32" t="s">
        <v>243</v>
      </c>
    </row>
    <row r="19" spans="1:1" x14ac:dyDescent="0.25">
      <c r="A19" s="34"/>
    </row>
    <row r="20" spans="1:1" x14ac:dyDescent="0.25">
      <c r="A20" s="35"/>
    </row>
    <row r="21" spans="1:1" x14ac:dyDescent="0.25">
      <c r="A21" s="35"/>
    </row>
    <row r="22" spans="1:1" x14ac:dyDescent="0.25">
      <c r="A22" s="35"/>
    </row>
    <row r="23" spans="1:1" x14ac:dyDescent="0.25">
      <c r="A23" s="35"/>
    </row>
    <row r="24" spans="1:1" x14ac:dyDescent="0.25">
      <c r="A24" s="3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2BCCD3"/>
  </sheetPr>
  <dimension ref="A1:F1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28" customWidth="1"/>
    <col min="3" max="3" width="16" customWidth="1"/>
    <col min="4" max="4" width="36" customWidth="1"/>
    <col min="5" max="6" width="18" customWidth="1"/>
  </cols>
  <sheetData>
    <row r="1" spans="1:6" ht="27.75" customHeight="1" x14ac:dyDescent="0.25">
      <c r="A1" s="7" t="s">
        <v>244</v>
      </c>
      <c r="B1" s="7" t="s">
        <v>245</v>
      </c>
      <c r="C1" s="7" t="s">
        <v>131</v>
      </c>
      <c r="D1" s="7" t="s">
        <v>246</v>
      </c>
      <c r="E1" s="7" t="s">
        <v>247</v>
      </c>
      <c r="F1" s="7" t="s">
        <v>248</v>
      </c>
    </row>
    <row r="2" spans="1:6" ht="15" customHeight="1" x14ac:dyDescent="0.25">
      <c r="A2" s="8" t="s">
        <v>249</v>
      </c>
      <c r="B2" s="8" t="s">
        <v>250</v>
      </c>
      <c r="C2" s="8" t="s">
        <v>251</v>
      </c>
      <c r="D2" s="8" t="s">
        <v>252</v>
      </c>
      <c r="E2" s="9" t="s">
        <v>253</v>
      </c>
      <c r="F2" s="8" t="s">
        <v>254</v>
      </c>
    </row>
    <row r="3" spans="1:6" ht="15" customHeight="1" x14ac:dyDescent="0.25">
      <c r="A3" s="10" t="s">
        <v>255</v>
      </c>
      <c r="B3" s="10" t="s">
        <v>256</v>
      </c>
      <c r="C3" s="10" t="s">
        <v>175</v>
      </c>
      <c r="D3" s="10" t="s">
        <v>257</v>
      </c>
      <c r="E3" s="11" t="s">
        <v>258</v>
      </c>
      <c r="F3" s="10" t="s">
        <v>254</v>
      </c>
    </row>
    <row r="4" spans="1:6" ht="15" customHeight="1" x14ac:dyDescent="0.25">
      <c r="A4" s="8" t="s">
        <v>259</v>
      </c>
      <c r="B4" s="8" t="s">
        <v>260</v>
      </c>
      <c r="C4" s="8" t="s">
        <v>137</v>
      </c>
      <c r="D4" s="8" t="s">
        <v>261</v>
      </c>
      <c r="E4" s="9" t="s">
        <v>262</v>
      </c>
      <c r="F4" s="8" t="s">
        <v>254</v>
      </c>
    </row>
    <row r="5" spans="1:6" ht="15" customHeight="1" x14ac:dyDescent="0.25">
      <c r="A5" s="10" t="s">
        <v>263</v>
      </c>
      <c r="B5" s="10" t="s">
        <v>264</v>
      </c>
      <c r="C5" s="10" t="s">
        <v>151</v>
      </c>
      <c r="D5" s="10" t="s">
        <v>265</v>
      </c>
      <c r="E5" s="11" t="s">
        <v>266</v>
      </c>
      <c r="F5" s="10" t="s">
        <v>267</v>
      </c>
    </row>
    <row r="6" spans="1:6" ht="15" customHeight="1" x14ac:dyDescent="0.25">
      <c r="A6" s="8" t="s">
        <v>268</v>
      </c>
      <c r="B6" s="8" t="s">
        <v>269</v>
      </c>
      <c r="C6" s="8" t="s">
        <v>137</v>
      </c>
      <c r="D6" s="8" t="s">
        <v>270</v>
      </c>
      <c r="E6" s="9" t="s">
        <v>271</v>
      </c>
      <c r="F6" s="8" t="s">
        <v>272</v>
      </c>
    </row>
    <row r="7" spans="1:6" ht="15" customHeight="1" x14ac:dyDescent="0.25">
      <c r="A7" s="10" t="s">
        <v>273</v>
      </c>
      <c r="B7" s="10" t="s">
        <v>274</v>
      </c>
      <c r="C7" s="10" t="s">
        <v>164</v>
      </c>
      <c r="D7" s="10" t="s">
        <v>275</v>
      </c>
      <c r="E7" s="11" t="s">
        <v>276</v>
      </c>
      <c r="F7" s="10" t="s">
        <v>277</v>
      </c>
    </row>
    <row r="8" spans="1:6" ht="15" customHeight="1" x14ac:dyDescent="0.25">
      <c r="A8" s="8" t="s">
        <v>278</v>
      </c>
      <c r="B8" s="8" t="s">
        <v>279</v>
      </c>
      <c r="C8" s="8" t="s">
        <v>137</v>
      </c>
      <c r="D8" s="8" t="s">
        <v>280</v>
      </c>
      <c r="E8" s="9" t="s">
        <v>281</v>
      </c>
      <c r="F8" s="8" t="s">
        <v>254</v>
      </c>
    </row>
    <row r="9" spans="1:6" ht="15" customHeight="1" x14ac:dyDescent="0.25">
      <c r="A9" s="10" t="s">
        <v>282</v>
      </c>
      <c r="B9" s="10" t="s">
        <v>283</v>
      </c>
      <c r="C9" s="10" t="s">
        <v>175</v>
      </c>
      <c r="D9" s="10" t="s">
        <v>284</v>
      </c>
      <c r="E9" s="11" t="s">
        <v>285</v>
      </c>
      <c r="F9" s="10" t="s">
        <v>254</v>
      </c>
    </row>
    <row r="10" spans="1:6" ht="15" customHeight="1" x14ac:dyDescent="0.25">
      <c r="A10" s="8" t="s">
        <v>286</v>
      </c>
      <c r="B10" s="8" t="s">
        <v>287</v>
      </c>
      <c r="C10" s="8" t="s">
        <v>212</v>
      </c>
      <c r="D10" s="8" t="s">
        <v>288</v>
      </c>
      <c r="E10" s="9" t="s">
        <v>289</v>
      </c>
      <c r="F10" s="8" t="s">
        <v>267</v>
      </c>
    </row>
    <row r="11" spans="1:6" ht="15" customHeight="1" x14ac:dyDescent="0.25">
      <c r="A11" s="10" t="s">
        <v>290</v>
      </c>
      <c r="B11" s="10" t="s">
        <v>291</v>
      </c>
      <c r="C11" s="10" t="s">
        <v>175</v>
      </c>
      <c r="D11" s="10" t="s">
        <v>292</v>
      </c>
      <c r="E11" s="11" t="s">
        <v>293</v>
      </c>
      <c r="F11" s="10" t="s">
        <v>254</v>
      </c>
    </row>
    <row r="12" spans="1:6" ht="15" customHeight="1" x14ac:dyDescent="0.25">
      <c r="A12" s="8" t="s">
        <v>294</v>
      </c>
      <c r="B12" s="8" t="s">
        <v>295</v>
      </c>
      <c r="C12" s="8" t="s">
        <v>137</v>
      </c>
      <c r="D12" s="8" t="s">
        <v>296</v>
      </c>
      <c r="E12" s="9" t="s">
        <v>297</v>
      </c>
      <c r="F12" s="8" t="s">
        <v>277</v>
      </c>
    </row>
    <row r="13" spans="1:6" ht="15" customHeight="1" x14ac:dyDescent="0.25">
      <c r="A13" s="10" t="s">
        <v>298</v>
      </c>
      <c r="B13" s="10" t="s">
        <v>299</v>
      </c>
      <c r="C13" s="10" t="s">
        <v>187</v>
      </c>
      <c r="D13" s="10" t="s">
        <v>300</v>
      </c>
      <c r="E13" s="11" t="s">
        <v>301</v>
      </c>
      <c r="F13" s="10" t="s">
        <v>254</v>
      </c>
    </row>
    <row r="14" spans="1:6" ht="15" customHeight="1" x14ac:dyDescent="0.25">
      <c r="A14" s="8" t="s">
        <v>302</v>
      </c>
      <c r="B14" s="8" t="s">
        <v>303</v>
      </c>
      <c r="C14" s="8" t="s">
        <v>164</v>
      </c>
      <c r="D14" s="8" t="s">
        <v>304</v>
      </c>
      <c r="E14" s="9" t="s">
        <v>305</v>
      </c>
      <c r="F14" s="8" t="s">
        <v>272</v>
      </c>
    </row>
    <row r="15" spans="1:6" ht="15" customHeight="1" x14ac:dyDescent="0.25">
      <c r="A15" s="10" t="s">
        <v>306</v>
      </c>
      <c r="B15" s="10" t="s">
        <v>307</v>
      </c>
      <c r="C15" s="10" t="s">
        <v>197</v>
      </c>
      <c r="D15" s="10" t="s">
        <v>308</v>
      </c>
      <c r="E15" s="11" t="s">
        <v>309</v>
      </c>
      <c r="F15" s="10" t="s">
        <v>310</v>
      </c>
    </row>
    <row r="16" spans="1:6" ht="15" customHeight="1" x14ac:dyDescent="0.25">
      <c r="A16" s="8" t="s">
        <v>311</v>
      </c>
      <c r="B16" s="8" t="s">
        <v>312</v>
      </c>
      <c r="C16" s="8" t="s">
        <v>137</v>
      </c>
      <c r="D16" s="8" t="s">
        <v>313</v>
      </c>
      <c r="E16" s="9" t="s">
        <v>314</v>
      </c>
      <c r="F16" s="8" t="s">
        <v>310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999999"/>
  </sheetPr>
  <dimension ref="A1:E9"/>
  <sheetViews>
    <sheetView showGridLines="0" zoomScaleNormal="100" workbookViewId="0"/>
  </sheetViews>
  <sheetFormatPr defaultColWidth="8.7109375" defaultRowHeight="15" x14ac:dyDescent="0.25"/>
  <cols>
    <col min="1" max="1" width="16" customWidth="1"/>
    <col min="2" max="5" width="14" customWidth="1"/>
  </cols>
  <sheetData>
    <row r="1" spans="1:5" ht="15" customHeight="1" x14ac:dyDescent="0.25">
      <c r="A1" s="93" t="s">
        <v>315</v>
      </c>
      <c r="B1" s="52"/>
      <c r="C1" s="52"/>
      <c r="D1" s="52"/>
      <c r="E1" s="52"/>
    </row>
    <row r="2" spans="1:5" ht="15" customHeight="1" x14ac:dyDescent="0.25">
      <c r="A2" s="92" t="s">
        <v>316</v>
      </c>
      <c r="B2" s="52"/>
      <c r="C2" s="52"/>
      <c r="D2" s="52"/>
      <c r="E2" s="52"/>
    </row>
    <row r="3" spans="1:5" ht="15" customHeight="1" x14ac:dyDescent="0.25">
      <c r="A3" s="92" t="s">
        <v>317</v>
      </c>
      <c r="B3" s="52"/>
      <c r="C3" s="52"/>
      <c r="D3" s="52"/>
      <c r="E3" s="52"/>
    </row>
    <row r="5" spans="1:5" ht="15" customHeight="1" x14ac:dyDescent="0.25">
      <c r="A5" s="33" t="s">
        <v>131</v>
      </c>
      <c r="B5" s="33" t="s">
        <v>318</v>
      </c>
      <c r="C5" s="33" t="s">
        <v>319</v>
      </c>
      <c r="D5" s="33" t="s">
        <v>320</v>
      </c>
      <c r="E5" s="33" t="s">
        <v>321</v>
      </c>
    </row>
    <row r="6" spans="1:5" ht="15" customHeight="1" x14ac:dyDescent="0.25">
      <c r="A6" s="10" t="s">
        <v>137</v>
      </c>
      <c r="B6" s="10">
        <v>472000</v>
      </c>
      <c r="C6" s="10">
        <v>460000</v>
      </c>
      <c r="D6" s="10">
        <v>12000</v>
      </c>
      <c r="E6" s="11" t="s">
        <v>322</v>
      </c>
    </row>
    <row r="7" spans="1:5" ht="15" customHeight="1" x14ac:dyDescent="0.25">
      <c r="A7" s="10" t="s">
        <v>151</v>
      </c>
      <c r="B7" s="10">
        <v>158000</v>
      </c>
      <c r="C7" s="10">
        <v>155000</v>
      </c>
      <c r="D7" s="10">
        <v>3000</v>
      </c>
      <c r="E7" s="11" t="s">
        <v>322</v>
      </c>
    </row>
    <row r="8" spans="1:5" ht="15" customHeight="1" x14ac:dyDescent="0.25">
      <c r="A8" s="10" t="s">
        <v>164</v>
      </c>
      <c r="B8" s="10">
        <v>89000</v>
      </c>
      <c r="C8" s="10">
        <v>92000</v>
      </c>
      <c r="D8" s="10">
        <v>-3000</v>
      </c>
      <c r="E8" s="11" t="s">
        <v>322</v>
      </c>
    </row>
    <row r="9" spans="1:5" ht="15" customHeight="1" x14ac:dyDescent="0.25">
      <c r="A9" s="10" t="s">
        <v>197</v>
      </c>
      <c r="B9" s="10">
        <v>121000</v>
      </c>
      <c r="C9" s="10">
        <v>118000</v>
      </c>
      <c r="D9" s="10">
        <v>3000</v>
      </c>
      <c r="E9" s="11" t="s">
        <v>322</v>
      </c>
    </row>
  </sheetData>
  <mergeCells count="3">
    <mergeCell ref="A2:E2"/>
    <mergeCell ref="A1:E1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Q1 Revenue</vt:lpstr>
      <vt:lpstr>Q1 Expenses</vt:lpstr>
      <vt:lpstr>Q1 Revenue v2</vt:lpstr>
      <vt:lpstr>Budget Summary</vt:lpstr>
      <vt:lpstr>Contact List</vt:lpstr>
      <vt:lpstr>Archive_Q4_2025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Atlee</cp:lastModifiedBy>
  <cp:revision>0</cp:revision>
  <dcterms:created xsi:type="dcterms:W3CDTF">2026-03-31T23:34:13Z</dcterms:created>
  <dcterms:modified xsi:type="dcterms:W3CDTF">2026-04-14T19:31:46Z</dcterms:modified>
  <dc:language>en-US</dc:language>
</cp:coreProperties>
</file>