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4 Expense Data" sheetId="1" state="visible" r:id="rId1"/>
    <sheet name="Archive Notes" sheetId="2" state="hidden" r:id="rId2"/>
    <sheet name="Legacy Data" sheetId="3" state="hidden" r:id="rId3"/>
    <sheet name="Departmen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0" customWidth="1" min="3" max="3"/>
    <col width="8" customWidth="1" min="4" max="4"/>
    <col width="8" customWidth="1" min="5" max="5"/>
    <col width="7" customWidth="1" min="6" max="6"/>
    <col width="25" customWidth="1" min="7" max="7"/>
    <col width="6" customWidth="1" min="8" max="8"/>
  </cols>
  <sheetData>
    <row r="1">
      <c r="A1" t="inlineStr">
        <is>
          <t>Department</t>
        </is>
      </c>
      <c r="B1" t="inlineStr">
        <is>
          <t>Employee Name</t>
        </is>
      </c>
      <c r="C1" t="inlineStr">
        <is>
          <t>Transaction Date</t>
        </is>
      </c>
      <c r="D1" t="inlineStr">
        <is>
          <t>Amount</t>
        </is>
      </c>
      <c r="E1" t="inlineStr">
        <is>
          <t>Budget</t>
        </is>
      </c>
      <c r="F1" t="inlineStr">
        <is>
          <t>Variance</t>
        </is>
      </c>
      <c r="G1" t="inlineStr">
        <is>
          <t>Category</t>
        </is>
      </c>
      <c r="H1" t="inlineStr">
        <is>
          <t>Status</t>
        </is>
      </c>
    </row>
    <row r="2">
      <c r="A2" s="1" t="inlineStr">
        <is>
          <t>Customer Success</t>
        </is>
      </c>
      <c r="B2" t="inlineStr">
        <is>
          <t>Thomas Thompson</t>
        </is>
      </c>
      <c r="C2" s="2" t="inlineStr">
        <is>
          <t>October 15, 2025</t>
        </is>
      </c>
      <c r="D2" t="n">
        <v>44632.18</v>
      </c>
      <c r="E2" t="n">
        <v>55044.74</v>
      </c>
      <c r="F2" t="n">
        <v>-10412.56</v>
      </c>
      <c r="G2" t="inlineStr">
        <is>
          <t>Training</t>
        </is>
      </c>
      <c r="H2" t="inlineStr">
        <is>
          <t>Pending</t>
        </is>
      </c>
    </row>
    <row r="3">
      <c r="B3" t="inlineStr">
        <is>
          <t>Pamela Robinson</t>
        </is>
      </c>
      <c r="C3" s="2" t="inlineStr">
        <is>
          <t>2025-10-02</t>
        </is>
      </c>
      <c r="D3" s="2" t="inlineStr">
        <is>
          <t>22268.56</t>
        </is>
      </c>
      <c r="E3" t="n">
        <v>28930.2</v>
      </c>
      <c r="F3" t="n">
        <v>-6661.64</v>
      </c>
      <c r="G3" t="inlineStr">
        <is>
          <t>Consulting</t>
        </is>
      </c>
      <c r="H3" t="inlineStr">
        <is>
          <t>Approved</t>
        </is>
      </c>
    </row>
    <row r="4">
      <c r="B4" t="inlineStr">
        <is>
          <t>Kenneth Lee</t>
        </is>
      </c>
      <c r="C4" s="2" t="inlineStr">
        <is>
          <t>12/21/2025</t>
        </is>
      </c>
      <c r="D4" s="2" t="inlineStr">
        <is>
          <t>47040.4</t>
        </is>
      </c>
      <c r="E4" t="n">
        <v>39460.78</v>
      </c>
      <c r="F4" t="n">
        <v>7579.62</v>
      </c>
      <c r="G4" t="inlineStr">
        <is>
          <t>Marketing Spend</t>
        </is>
      </c>
      <c r="H4" t="inlineStr">
        <is>
          <t>Complete</t>
        </is>
      </c>
    </row>
    <row r="5">
      <c r="B5" t="inlineStr">
        <is>
          <t>Ryan Cox</t>
        </is>
      </c>
      <c r="C5" s="2" t="inlineStr">
        <is>
          <t>11-18-2025</t>
        </is>
      </c>
      <c r="D5" t="n">
        <v>13717.19</v>
      </c>
      <c r="E5" t="n">
        <v>17464.21</v>
      </c>
      <c r="F5" t="n">
        <v>-3747.02</v>
      </c>
      <c r="G5" t="inlineStr">
        <is>
          <t>Facilities</t>
        </is>
      </c>
      <c r="H5" t="inlineStr">
        <is>
          <t>Reviewed</t>
        </is>
      </c>
    </row>
    <row r="6">
      <c r="B6" t="inlineStr">
        <is>
          <t>Elizabeth Stewart</t>
        </is>
      </c>
      <c r="C6" s="2" t="inlineStr">
        <is>
          <t>12/07/2025</t>
        </is>
      </c>
      <c r="D6" t="n">
        <v>16828.48</v>
      </c>
      <c r="E6" t="n">
        <v>21845.85</v>
      </c>
      <c r="F6" t="n">
        <v>-5017.37</v>
      </c>
      <c r="G6" t="inlineStr">
        <is>
          <t>Subscriptions</t>
        </is>
      </c>
      <c r="H6" t="inlineStr">
        <is>
          <t>Reviewed</t>
        </is>
      </c>
    </row>
    <row r="7">
      <c r="B7" t="inlineStr">
        <is>
          <t>Brian Cox</t>
        </is>
      </c>
      <c r="C7" s="2" t="inlineStr">
        <is>
          <t>2025-12-09</t>
        </is>
      </c>
      <c r="D7" t="n">
        <v>18417.48</v>
      </c>
      <c r="E7" t="n">
        <v>23262.54</v>
      </c>
      <c r="F7" t="n">
        <v>-4845.06</v>
      </c>
      <c r="G7" t="inlineStr">
        <is>
          <t>Equipment</t>
        </is>
      </c>
      <c r="H7" t="inlineStr">
        <is>
          <t>Pending</t>
        </is>
      </c>
    </row>
    <row r="8">
      <c r="A8" s="1" t="inlineStr">
        <is>
          <t>Engineering</t>
        </is>
      </c>
      <c r="B8" t="inlineStr">
        <is>
          <t>Nicole Garcia</t>
        </is>
      </c>
      <c r="C8" s="2" t="inlineStr">
        <is>
          <t>November 10, 2025</t>
        </is>
      </c>
      <c r="D8" t="n">
        <v>19555.33</v>
      </c>
      <c r="E8" t="n">
        <v>15378.38</v>
      </c>
      <c r="F8" t="n">
        <v>4176.95</v>
      </c>
      <c r="G8" t="inlineStr">
        <is>
          <t>Subscriptions</t>
        </is>
      </c>
      <c r="H8" t="inlineStr">
        <is>
          <t>Pending</t>
        </is>
      </c>
    </row>
    <row r="9">
      <c r="B9" t="inlineStr">
        <is>
          <t>James Walker</t>
        </is>
      </c>
      <c r="C9" s="2" t="inlineStr">
        <is>
          <t>12/20/2025</t>
        </is>
      </c>
      <c r="D9" t="n">
        <v>8099.15</v>
      </c>
      <c r="E9" t="n">
        <v>9105.59</v>
      </c>
      <c r="F9" t="n">
        <v>-1006.44</v>
      </c>
      <c r="G9" t="inlineStr">
        <is>
          <t>Consulting</t>
        </is>
      </c>
      <c r="H9" t="inlineStr">
        <is>
          <t>Flagged</t>
        </is>
      </c>
    </row>
    <row r="10">
      <c r="B10" t="inlineStr">
        <is>
          <t>Andrew Sanchez</t>
        </is>
      </c>
      <c r="C10" s="2" t="inlineStr">
        <is>
          <t>10-11-2025</t>
        </is>
      </c>
      <c r="D10" t="n">
        <v>4568.54</v>
      </c>
      <c r="E10" s="2" t="inlineStr">
        <is>
          <t>4647.55</t>
        </is>
      </c>
      <c r="F10" t="n">
        <v>-79.01000000000001</v>
      </c>
      <c r="G10" t="inlineStr">
        <is>
          <t>Consulting</t>
        </is>
      </c>
      <c r="H10" t="inlineStr">
        <is>
          <t>Complete</t>
        </is>
      </c>
    </row>
    <row r="11">
      <c r="B11" t="inlineStr">
        <is>
          <t>Rebecca Lopez</t>
        </is>
      </c>
      <c r="C11" s="2" t="inlineStr">
        <is>
          <t>2025-11-28</t>
        </is>
      </c>
      <c r="D11" t="n">
        <v>14049.34</v>
      </c>
      <c r="E11" t="n">
        <v>15919.66</v>
      </c>
      <c r="F11" t="n">
        <v>-1870.32</v>
      </c>
      <c r="G11" t="inlineStr">
        <is>
          <t>Marketing Spend</t>
        </is>
      </c>
      <c r="H11" t="inlineStr">
        <is>
          <t>Pending</t>
        </is>
      </c>
    </row>
    <row r="12">
      <c r="B12" t="inlineStr">
        <is>
          <t>Patrick Campbell</t>
        </is>
      </c>
      <c r="C12" s="2" t="inlineStr">
        <is>
          <t>2025-12-04</t>
        </is>
      </c>
      <c r="D12" t="n">
        <v>44170.89</v>
      </c>
      <c r="E12" s="2" t="inlineStr">
        <is>
          <t>46031.34</t>
        </is>
      </c>
      <c r="F12" t="n">
        <v>-1860.45</v>
      </c>
      <c r="G12" t="inlineStr">
        <is>
          <t>Software</t>
        </is>
      </c>
      <c r="H12" t="inlineStr">
        <is>
          <t>Complete</t>
        </is>
      </c>
    </row>
    <row r="13">
      <c r="B13" t="inlineStr">
        <is>
          <t>Kevin Morris</t>
        </is>
      </c>
      <c r="C13" s="2" t="inlineStr">
        <is>
          <t>December 10, 2025</t>
        </is>
      </c>
      <c r="D13" t="n">
        <v>7534.45</v>
      </c>
      <c r="E13" t="n">
        <v>6178.97</v>
      </c>
      <c r="F13" t="n">
        <v>1355.48</v>
      </c>
      <c r="G13" t="inlineStr">
        <is>
          <t>Training</t>
        </is>
      </c>
      <c r="H13" t="inlineStr">
        <is>
          <t>Reviewed</t>
        </is>
      </c>
    </row>
    <row r="14">
      <c r="B14" t="inlineStr">
        <is>
          <t>Samantha Hernandez</t>
        </is>
      </c>
      <c r="C14" s="2" t="inlineStr">
        <is>
          <t>12-27-2025</t>
        </is>
      </c>
      <c r="D14" t="n">
        <v>12352.66</v>
      </c>
      <c r="E14" s="2" t="inlineStr">
        <is>
          <t>9962.87</t>
        </is>
      </c>
      <c r="F14" t="n">
        <v>2389.79</v>
      </c>
      <c r="G14" t="inlineStr">
        <is>
          <t>Facilities</t>
        </is>
      </c>
      <c r="H14" t="inlineStr">
        <is>
          <t>Complete</t>
        </is>
      </c>
    </row>
    <row r="15">
      <c r="B15" t="inlineStr">
        <is>
          <t>Pamela Thompson</t>
        </is>
      </c>
      <c r="C15" s="2" t="inlineStr">
        <is>
          <t>2025-11-01</t>
        </is>
      </c>
      <c r="D15" s="2" t="inlineStr">
        <is>
          <t>9969.63</t>
        </is>
      </c>
      <c r="E15" t="n">
        <v>7588.97</v>
      </c>
      <c r="F15" t="n">
        <v>2380.66</v>
      </c>
      <c r="G15" t="inlineStr">
        <is>
          <t>Travel</t>
        </is>
      </c>
      <c r="H15" t="inlineStr">
        <is>
          <t>Pending</t>
        </is>
      </c>
    </row>
    <row r="16"/>
    <row r="17">
      <c r="A17" s="1" t="inlineStr">
        <is>
          <t>Engineering</t>
        </is>
      </c>
      <c r="B17" t="inlineStr">
        <is>
          <t>Brandon Sanchez</t>
        </is>
      </c>
      <c r="C17" s="2" t="inlineStr">
        <is>
          <t>12/26/2025</t>
        </is>
      </c>
      <c r="D17" t="n">
        <v>43631.24</v>
      </c>
      <c r="E17" t="n">
        <v>41729.74</v>
      </c>
      <c r="F17" t="n">
        <v>1901.5</v>
      </c>
      <c r="G17" t="inlineStr">
        <is>
          <t>Equipment</t>
        </is>
      </c>
      <c r="H17" t="inlineStr">
        <is>
          <t>Approved</t>
        </is>
      </c>
    </row>
    <row r="18">
      <c r="B18" t="inlineStr">
        <is>
          <t>Samantha Collins</t>
        </is>
      </c>
      <c r="C18" s="2" t="inlineStr">
        <is>
          <t>24-Nov-2025</t>
        </is>
      </c>
      <c r="D18" t="n">
        <v>31922.26</v>
      </c>
      <c r="E18" t="n">
        <v>25152.39</v>
      </c>
      <c r="F18" t="n">
        <v>6769.87</v>
      </c>
      <c r="G18" t="inlineStr">
        <is>
          <t>Subscriptions</t>
        </is>
      </c>
      <c r="H18" t="inlineStr">
        <is>
          <t>Approved</t>
        </is>
      </c>
    </row>
    <row r="19">
      <c r="B19" t="inlineStr">
        <is>
          <t>David Stewart</t>
        </is>
      </c>
      <c r="C19" s="2" t="inlineStr">
        <is>
          <t>11-07-2025</t>
        </is>
      </c>
      <c r="D19" t="n">
        <v>33627.33</v>
      </c>
      <c r="E19" t="n">
        <v>27556.04</v>
      </c>
      <c r="F19" t="n">
        <v>6071.29</v>
      </c>
      <c r="G19" t="inlineStr">
        <is>
          <t>Marketing Spend</t>
        </is>
      </c>
      <c r="H19" t="inlineStr">
        <is>
          <t>Approved</t>
        </is>
      </c>
    </row>
    <row r="20">
      <c r="B20" t="inlineStr">
        <is>
          <t>Heather Scott</t>
        </is>
      </c>
      <c r="C20" s="2" t="inlineStr">
        <is>
          <t>11/30/2025</t>
        </is>
      </c>
      <c r="D20" t="n">
        <v>23238.92</v>
      </c>
      <c r="E20" t="n">
        <v>21783.89</v>
      </c>
      <c r="F20" t="n">
        <v>1455.03</v>
      </c>
      <c r="G20" t="inlineStr">
        <is>
          <t>Software</t>
        </is>
      </c>
      <c r="H20" t="inlineStr">
        <is>
          <t>Reviewed</t>
        </is>
      </c>
    </row>
    <row r="21">
      <c r="B21" t="inlineStr">
        <is>
          <t>Gregory Richardson</t>
        </is>
      </c>
      <c r="C21" s="2" t="inlineStr">
        <is>
          <t>October 13, 2025</t>
        </is>
      </c>
      <c r="D21" t="n">
        <v>45510.53</v>
      </c>
      <c r="E21" t="n">
        <v>39333.99</v>
      </c>
      <c r="F21" t="n">
        <v>6176.54</v>
      </c>
      <c r="G21" t="inlineStr">
        <is>
          <t>Equipment</t>
        </is>
      </c>
      <c r="H21" t="inlineStr">
        <is>
          <t>Reviewed</t>
        </is>
      </c>
    </row>
    <row r="22">
      <c r="B22" t="inlineStr">
        <is>
          <t xml:space="preserve"> Pamela Cox  </t>
        </is>
      </c>
      <c r="C22" s="2" t="inlineStr">
        <is>
          <t>2025-10-23</t>
        </is>
      </c>
      <c r="D22" t="n">
        <v>22848.79</v>
      </c>
      <c r="E22" t="n">
        <v>25324</v>
      </c>
      <c r="F22" t="n">
        <v>-2475.21</v>
      </c>
      <c r="G22" t="inlineStr">
        <is>
          <t>Training</t>
        </is>
      </c>
      <c r="H22" t="inlineStr">
        <is>
          <t>Pending</t>
        </is>
      </c>
    </row>
    <row r="23">
      <c r="B23" t="inlineStr">
        <is>
          <t>Nathan Clark</t>
        </is>
      </c>
      <c r="C23" s="2" t="inlineStr">
        <is>
          <t>November 10, 2025</t>
        </is>
      </c>
      <c r="D23" t="n">
        <v>12488.95</v>
      </c>
      <c r="E23" t="n">
        <v>10162.97</v>
      </c>
      <c r="F23" t="n">
        <v>2325.98</v>
      </c>
      <c r="G23" t="inlineStr">
        <is>
          <t>Facilities</t>
        </is>
      </c>
      <c r="H23" t="inlineStr">
        <is>
          <t>Complete</t>
        </is>
      </c>
    </row>
    <row r="24">
      <c r="B24" t="inlineStr">
        <is>
          <t>Andrea Collins</t>
        </is>
      </c>
      <c r="C24" s="2" t="inlineStr">
        <is>
          <t>29-Nov-2025</t>
        </is>
      </c>
      <c r="D24" t="n">
        <v>20129.26</v>
      </c>
      <c r="E24" t="n">
        <v>17173.69</v>
      </c>
      <c r="F24" t="n">
        <v>2955.57</v>
      </c>
      <c r="G24" t="inlineStr">
        <is>
          <t>Subscriptions</t>
        </is>
      </c>
      <c r="H24" t="inlineStr">
        <is>
          <t>Complete</t>
        </is>
      </c>
    </row>
    <row r="25">
      <c r="B25" t="inlineStr">
        <is>
          <t>Brian Perez</t>
        </is>
      </c>
      <c r="C25" s="2" t="inlineStr">
        <is>
          <t>10/12/2025</t>
        </is>
      </c>
      <c r="D25" t="n">
        <v>11173.28</v>
      </c>
      <c r="E25" t="n">
        <v>13550.65</v>
      </c>
      <c r="F25" t="n">
        <v>-2377.37</v>
      </c>
      <c r="G25" t="inlineStr">
        <is>
          <t>Consulting</t>
        </is>
      </c>
      <c r="H25" t="inlineStr">
        <is>
          <t>Flagged</t>
        </is>
      </c>
    </row>
    <row r="26">
      <c r="B26" t="inlineStr">
        <is>
          <t xml:space="preserve"> Rachel Martinez  </t>
        </is>
      </c>
      <c r="C26" s="2" t="inlineStr">
        <is>
          <t>11-07-2025</t>
        </is>
      </c>
      <c r="D26" t="n">
        <v>17527.01</v>
      </c>
      <c r="E26" t="n">
        <v>17297.02</v>
      </c>
      <c r="F26" t="n">
        <v>229.99</v>
      </c>
      <c r="G26" t="inlineStr">
        <is>
          <t>Equipment</t>
        </is>
      </c>
      <c r="H26" t="inlineStr">
        <is>
          <t>Complete</t>
        </is>
      </c>
    </row>
    <row r="27">
      <c r="B27" t="inlineStr">
        <is>
          <t>Nathan Scott</t>
        </is>
      </c>
      <c r="C27" s="2" t="inlineStr">
        <is>
          <t>2025-12-26</t>
        </is>
      </c>
      <c r="D27" t="n">
        <v>26463.41</v>
      </c>
      <c r="E27" s="2" t="inlineStr">
        <is>
          <t>20922.61</t>
        </is>
      </c>
      <c r="F27" t="n">
        <v>5540.8</v>
      </c>
      <c r="G27" t="inlineStr">
        <is>
          <t>Subscriptions</t>
        </is>
      </c>
      <c r="H27" t="inlineStr">
        <is>
          <t>Complete</t>
        </is>
      </c>
    </row>
    <row r="28">
      <c r="A28" t="inlineStr">
        <is>
          <t>Finance</t>
        </is>
      </c>
      <c r="B28" t="inlineStr">
        <is>
          <t>Eric Morgan</t>
        </is>
      </c>
      <c r="C28" s="2" t="inlineStr">
        <is>
          <t>12-29-2025</t>
        </is>
      </c>
      <c r="D28" s="2" t="inlineStr">
        <is>
          <t>26384.72</t>
        </is>
      </c>
      <c r="E28" t="n">
        <v>22987.49</v>
      </c>
      <c r="F28" t="n">
        <v>3397.23</v>
      </c>
      <c r="G28" t="inlineStr">
        <is>
          <t>Training</t>
        </is>
      </c>
      <c r="H28" t="inlineStr">
        <is>
          <t>Approved</t>
        </is>
      </c>
    </row>
    <row r="29">
      <c r="A29" t="inlineStr">
        <is>
          <t>Finance</t>
        </is>
      </c>
      <c r="B29" t="inlineStr">
        <is>
          <t>Eric Robinson</t>
        </is>
      </c>
      <c r="C29" s="2" t="inlineStr">
        <is>
          <t>10/06/2025</t>
        </is>
      </c>
      <c r="D29" t="n">
        <v>31910.01</v>
      </c>
      <c r="E29" t="n">
        <v>37500.25</v>
      </c>
      <c r="F29" t="n">
        <v>-5590.24</v>
      </c>
      <c r="G29" t="inlineStr">
        <is>
          <t>Consulting</t>
        </is>
      </c>
      <c r="H29" t="inlineStr">
        <is>
          <t>Pending</t>
        </is>
      </c>
    </row>
    <row r="30">
      <c r="A30" t="inlineStr">
        <is>
          <t>Finance</t>
        </is>
      </c>
      <c r="B30" t="inlineStr">
        <is>
          <t>Andrea Hill</t>
        </is>
      </c>
      <c r="C30" s="2" t="inlineStr">
        <is>
          <t>29-Dec-2025</t>
        </is>
      </c>
      <c r="D30" t="n">
        <v>44991.09</v>
      </c>
      <c r="E30" t="n">
        <v>49779.02</v>
      </c>
      <c r="F30" t="n">
        <v>-4787.93</v>
      </c>
      <c r="G30" t="inlineStr">
        <is>
          <t>Travel</t>
        </is>
      </c>
      <c r="H30" t="inlineStr">
        <is>
          <t>Complete</t>
        </is>
      </c>
    </row>
    <row r="31">
      <c r="A31" t="inlineStr">
        <is>
          <t>Finance</t>
        </is>
      </c>
      <c r="B31" t="inlineStr">
        <is>
          <t>Ashley Phillips</t>
        </is>
      </c>
      <c r="C31" s="2" t="inlineStr">
        <is>
          <t>11/18/2025</t>
        </is>
      </c>
      <c r="D31" t="n">
        <v>13322.52</v>
      </c>
      <c r="E31" t="n">
        <v>16772.59</v>
      </c>
      <c r="F31" t="n">
        <v>-3450.07</v>
      </c>
      <c r="G31" t="inlineStr">
        <is>
          <t>Equipment</t>
        </is>
      </c>
      <c r="H31" t="inlineStr">
        <is>
          <t>Reviewed</t>
        </is>
      </c>
    </row>
    <row r="32">
      <c r="A32" t="inlineStr">
        <is>
          <t>Finance</t>
        </is>
      </c>
      <c r="B32" t="inlineStr">
        <is>
          <t xml:space="preserve">  Daniel Nelson</t>
        </is>
      </c>
      <c r="C32" s="2" t="inlineStr">
        <is>
          <t>2025-10-21</t>
        </is>
      </c>
      <c r="D32" t="n">
        <v>26120.5</v>
      </c>
      <c r="E32" t="n">
        <v>30776.34</v>
      </c>
      <c r="F32" t="n">
        <v>-4655.84</v>
      </c>
      <c r="G32" t="inlineStr">
        <is>
          <t>Software</t>
        </is>
      </c>
      <c r="H32" t="inlineStr">
        <is>
          <t>Complete</t>
        </is>
      </c>
    </row>
    <row r="33"/>
    <row r="34">
      <c r="A34" t="inlineStr">
        <is>
          <t>Finance</t>
        </is>
      </c>
      <c r="B34" t="inlineStr">
        <is>
          <t>Eric Green</t>
        </is>
      </c>
      <c r="C34" s="2" t="inlineStr">
        <is>
          <t>11-21-2025</t>
        </is>
      </c>
      <c r="D34" s="2" t="inlineStr">
        <is>
          <t>47769.59</t>
        </is>
      </c>
      <c r="E34" t="n">
        <v>52901.62</v>
      </c>
      <c r="F34" t="n">
        <v>-5132.03</v>
      </c>
      <c r="G34" t="inlineStr">
        <is>
          <t>Marketing Spend</t>
        </is>
      </c>
      <c r="H34" t="inlineStr">
        <is>
          <t>Complete</t>
        </is>
      </c>
    </row>
    <row r="35">
      <c r="A35" t="inlineStr">
        <is>
          <t>Finance</t>
        </is>
      </c>
      <c r="B35" t="inlineStr">
        <is>
          <t>Sarah Robinson</t>
        </is>
      </c>
      <c r="C35" s="2" t="inlineStr">
        <is>
          <t>12/30/2025</t>
        </is>
      </c>
      <c r="D35" t="n">
        <v>30477.39</v>
      </c>
      <c r="E35" t="n">
        <v>26695.69</v>
      </c>
      <c r="F35" t="n">
        <v>3781.7</v>
      </c>
      <c r="G35" t="inlineStr">
        <is>
          <t>Software</t>
        </is>
      </c>
      <c r="H35" t="inlineStr">
        <is>
          <t>Reviewed</t>
        </is>
      </c>
    </row>
    <row r="36">
      <c r="A36" t="inlineStr">
        <is>
          <t>Finance</t>
        </is>
      </c>
      <c r="B36" t="inlineStr">
        <is>
          <t>Megan Hernandez</t>
        </is>
      </c>
      <c r="C36" s="2" t="inlineStr">
        <is>
          <t>10/08/2025</t>
        </is>
      </c>
      <c r="D36" t="n">
        <v>28011.06</v>
      </c>
      <c r="E36" t="n">
        <v>29361.4</v>
      </c>
      <c r="F36" t="n">
        <v>-1350.34</v>
      </c>
      <c r="G36" t="inlineStr">
        <is>
          <t>Subscriptions</t>
        </is>
      </c>
      <c r="H36" t="inlineStr">
        <is>
          <t>Approved</t>
        </is>
      </c>
    </row>
    <row r="37">
      <c r="A37" t="inlineStr">
        <is>
          <t>Finance</t>
        </is>
      </c>
      <c r="B37" t="inlineStr">
        <is>
          <t xml:space="preserve">  Patrick Rogers</t>
        </is>
      </c>
      <c r="C37" s="2" t="inlineStr">
        <is>
          <t>October 06, 2025</t>
        </is>
      </c>
      <c r="D37" t="n">
        <v>29920.62</v>
      </c>
      <c r="E37" s="2" t="inlineStr">
        <is>
          <t>29339.37</t>
        </is>
      </c>
      <c r="F37" t="n">
        <v>581.25</v>
      </c>
      <c r="G37" t="inlineStr">
        <is>
          <t>Subscriptions</t>
        </is>
      </c>
      <c r="H37" t="inlineStr">
        <is>
          <t>Reviewed</t>
        </is>
      </c>
    </row>
    <row r="38">
      <c r="A38" t="inlineStr">
        <is>
          <t>Finance</t>
        </is>
      </c>
      <c r="B38" t="inlineStr">
        <is>
          <t>Andrea Rivera</t>
        </is>
      </c>
      <c r="C38" s="2" t="inlineStr">
        <is>
          <t>10-Nov-2025</t>
        </is>
      </c>
      <c r="D38" t="n">
        <v>11837.58</v>
      </c>
      <c r="E38" t="n">
        <v>11455.02</v>
      </c>
      <c r="F38" t="n">
        <v>382.56</v>
      </c>
      <c r="G38" t="inlineStr">
        <is>
          <t>Training</t>
        </is>
      </c>
      <c r="H38" t="inlineStr">
        <is>
          <t>Flagged</t>
        </is>
      </c>
    </row>
    <row r="39">
      <c r="A39" t="inlineStr">
        <is>
          <t>Finance</t>
        </is>
      </c>
      <c r="B39" t="inlineStr">
        <is>
          <t>Angela Lopez</t>
        </is>
      </c>
      <c r="C39" s="2" t="inlineStr">
        <is>
          <t>10-17-2025</t>
        </is>
      </c>
      <c r="D39" s="2" t="inlineStr">
        <is>
          <t>44829.82</t>
        </is>
      </c>
      <c r="E39" s="2" t="inlineStr">
        <is>
          <t>55341.31</t>
        </is>
      </c>
      <c r="F39" t="n">
        <v>-10511.49</v>
      </c>
      <c r="G39" t="inlineStr">
        <is>
          <t>Equipment</t>
        </is>
      </c>
      <c r="H39" t="inlineStr">
        <is>
          <t>Reviewed</t>
        </is>
      </c>
    </row>
    <row r="40">
      <c r="A40" t="inlineStr">
        <is>
          <t>Finance</t>
        </is>
      </c>
      <c r="B40" t="inlineStr">
        <is>
          <t xml:space="preserve">Joshua Hall   </t>
        </is>
      </c>
      <c r="C40" s="2" t="inlineStr">
        <is>
          <t>2025-12-29</t>
        </is>
      </c>
      <c r="D40" t="n">
        <v>5634.54</v>
      </c>
      <c r="E40" t="n">
        <v>6928.75</v>
      </c>
      <c r="F40" t="n">
        <v>-1294.21</v>
      </c>
      <c r="G40" t="inlineStr">
        <is>
          <t>Marketing Spend</t>
        </is>
      </c>
      <c r="H40" t="inlineStr">
        <is>
          <t>Pending</t>
        </is>
      </c>
    </row>
    <row r="41">
      <c r="A41" t="inlineStr">
        <is>
          <t>Finance</t>
        </is>
      </c>
      <c r="B41" t="inlineStr">
        <is>
          <t>Nathan Gonzalez</t>
        </is>
      </c>
      <c r="C41" s="2" t="inlineStr">
        <is>
          <t>November 09, 2025</t>
        </is>
      </c>
      <c r="D41" s="2" t="inlineStr">
        <is>
          <t>39475.48</t>
        </is>
      </c>
      <c r="E41" t="n">
        <v>48524.35</v>
      </c>
      <c r="F41" t="n">
        <v>-9048.870000000001</v>
      </c>
      <c r="G41" t="inlineStr">
        <is>
          <t>Equipment</t>
        </is>
      </c>
      <c r="H41" t="inlineStr">
        <is>
          <t>Approved</t>
        </is>
      </c>
    </row>
    <row r="42">
      <c r="A42" t="inlineStr">
        <is>
          <t>Finance</t>
        </is>
      </c>
      <c r="B42" t="inlineStr">
        <is>
          <t>Justin Baker</t>
        </is>
      </c>
      <c r="C42" s="2" t="inlineStr">
        <is>
          <t>11-05-2025</t>
        </is>
      </c>
      <c r="D42" s="2" t="inlineStr">
        <is>
          <t>41556.76</t>
        </is>
      </c>
      <c r="E42" t="n">
        <v>53267</v>
      </c>
      <c r="F42" t="n">
        <v>-11710.24</v>
      </c>
      <c r="G42" t="inlineStr">
        <is>
          <t>Training</t>
        </is>
      </c>
      <c r="H42" t="inlineStr">
        <is>
          <t>Reviewed</t>
        </is>
      </c>
    </row>
    <row r="43">
      <c r="A43" t="inlineStr">
        <is>
          <t>Finance</t>
        </is>
      </c>
      <c r="B43" t="inlineStr">
        <is>
          <t>Kevin Roberts</t>
        </is>
      </c>
      <c r="C43" s="2" t="inlineStr">
        <is>
          <t>October 09, 2025</t>
        </is>
      </c>
      <c r="D43" t="n">
        <v>45571.54</v>
      </c>
      <c r="E43" t="n">
        <v>57257.18</v>
      </c>
      <c r="F43" t="n">
        <v>-11685.64</v>
      </c>
      <c r="G43" t="inlineStr">
        <is>
          <t>Subscriptions</t>
        </is>
      </c>
      <c r="H43" t="inlineStr">
        <is>
          <t>Approved</t>
        </is>
      </c>
    </row>
    <row r="44">
      <c r="A44" t="inlineStr">
        <is>
          <t>Finance</t>
        </is>
      </c>
      <c r="B44" t="inlineStr">
        <is>
          <t>Stephanie Walker</t>
        </is>
      </c>
      <c r="C44" s="2" t="inlineStr">
        <is>
          <t>04-Oct-2025</t>
        </is>
      </c>
      <c r="D44" t="n">
        <v>2695.15</v>
      </c>
      <c r="E44" t="n">
        <v>3479.88</v>
      </c>
      <c r="F44" t="n">
        <v>-784.73</v>
      </c>
      <c r="G44" t="inlineStr">
        <is>
          <t>Consulting</t>
        </is>
      </c>
      <c r="H44" t="inlineStr">
        <is>
          <t>Flagged</t>
        </is>
      </c>
    </row>
    <row r="45">
      <c r="A45" t="inlineStr">
        <is>
          <t>Finance</t>
        </is>
      </c>
      <c r="B45" t="inlineStr">
        <is>
          <t>Christopher Bailey</t>
        </is>
      </c>
      <c r="C45" s="2" t="inlineStr">
        <is>
          <t>12-06-2025</t>
        </is>
      </c>
      <c r="D45" t="n">
        <v>22566.12</v>
      </c>
      <c r="E45" t="n">
        <v>23842.76</v>
      </c>
      <c r="F45" t="n">
        <v>-1276.64</v>
      </c>
      <c r="G45" t="inlineStr">
        <is>
          <t>Consulting</t>
        </is>
      </c>
      <c r="H45" t="inlineStr">
        <is>
          <t>Flagged</t>
        </is>
      </c>
    </row>
    <row r="46">
      <c r="A46" t="inlineStr">
        <is>
          <t>Finance</t>
        </is>
      </c>
      <c r="B46" t="inlineStr">
        <is>
          <t xml:space="preserve"> Rebecca Bailey  </t>
        </is>
      </c>
      <c r="C46" s="2" t="inlineStr">
        <is>
          <t>10/20/2025</t>
        </is>
      </c>
      <c r="D46" t="n">
        <v>34054.91</v>
      </c>
      <c r="E46" t="n">
        <v>26744.2</v>
      </c>
      <c r="F46" t="n">
        <v>7310.71</v>
      </c>
      <c r="G46" t="inlineStr">
        <is>
          <t>Facilities</t>
        </is>
      </c>
      <c r="H46" t="inlineStr">
        <is>
          <t>Reviewed</t>
        </is>
      </c>
    </row>
    <row r="47">
      <c r="A47" t="inlineStr">
        <is>
          <t>Finance</t>
        </is>
      </c>
      <c r="B47" t="inlineStr">
        <is>
          <t>Thomas King</t>
        </is>
      </c>
      <c r="C47" s="2" t="inlineStr">
        <is>
          <t>11-04-2025</t>
        </is>
      </c>
      <c r="D47" t="n">
        <v>21202.21</v>
      </c>
      <c r="E47" t="n">
        <v>16240.12</v>
      </c>
      <c r="F47" t="n">
        <v>4962.09</v>
      </c>
      <c r="G47" t="inlineStr">
        <is>
          <t>Subscriptions</t>
        </is>
      </c>
      <c r="H47" t="inlineStr">
        <is>
          <t>Flagged</t>
        </is>
      </c>
    </row>
    <row r="48">
      <c r="A48" t="inlineStr">
        <is>
          <t>Finance</t>
        </is>
      </c>
      <c r="B48" t="inlineStr">
        <is>
          <t xml:space="preserve"> Emily Bailey  </t>
        </is>
      </c>
      <c r="C48" s="2" t="inlineStr">
        <is>
          <t>11-08-2025</t>
        </is>
      </c>
      <c r="D48" t="n">
        <v>40888.93</v>
      </c>
      <c r="E48" t="n">
        <v>44169.3</v>
      </c>
      <c r="F48" t="n">
        <v>-3280.37</v>
      </c>
      <c r="G48" t="inlineStr">
        <is>
          <t>Consulting</t>
        </is>
      </c>
      <c r="H48" t="inlineStr">
        <is>
          <t>Complete</t>
        </is>
      </c>
    </row>
    <row r="49">
      <c r="A49" t="inlineStr">
        <is>
          <t>Finance</t>
        </is>
      </c>
      <c r="B49" t="inlineStr">
        <is>
          <t>Megan King</t>
        </is>
      </c>
      <c r="C49" s="2" t="inlineStr">
        <is>
          <t>2025-11-16</t>
        </is>
      </c>
      <c r="D49" s="2" t="inlineStr">
        <is>
          <t>9023.47</t>
        </is>
      </c>
      <c r="E49" t="n">
        <v>6837.82</v>
      </c>
      <c r="F49" t="n">
        <v>2185.65</v>
      </c>
      <c r="G49" t="inlineStr">
        <is>
          <t>Travel</t>
        </is>
      </c>
      <c r="H49" t="inlineStr">
        <is>
          <t>Reviewed</t>
        </is>
      </c>
    </row>
    <row r="50">
      <c r="A50" t="inlineStr">
        <is>
          <t>Finance</t>
        </is>
      </c>
      <c r="B50" t="inlineStr">
        <is>
          <t>Kenneth Edwards</t>
        </is>
      </c>
      <c r="C50" s="2" t="inlineStr">
        <is>
          <t>11/18/2025</t>
        </is>
      </c>
      <c r="D50" t="n">
        <v>21899.44</v>
      </c>
      <c r="E50" t="n">
        <v>21757.02</v>
      </c>
      <c r="F50" t="n">
        <v>142.42</v>
      </c>
      <c r="G50" t="inlineStr">
        <is>
          <t>Facilities</t>
        </is>
      </c>
      <c r="H50" t="inlineStr">
        <is>
          <t>Reviewed</t>
        </is>
      </c>
    </row>
    <row r="51"/>
    <row r="52">
      <c r="A52" t="inlineStr">
        <is>
          <t>Finance</t>
        </is>
      </c>
      <c r="B52" t="inlineStr">
        <is>
          <t>Lauren Cook</t>
        </is>
      </c>
      <c r="C52" s="2" t="inlineStr">
        <is>
          <t>2025-12-15</t>
        </is>
      </c>
      <c r="D52" t="n">
        <v>31906.19</v>
      </c>
      <c r="E52" t="n">
        <v>40314.03</v>
      </c>
      <c r="F52" t="n">
        <v>-8407.84</v>
      </c>
      <c r="G52" t="inlineStr">
        <is>
          <t>Facilities</t>
        </is>
      </c>
      <c r="H52" t="inlineStr">
        <is>
          <t>Approved</t>
        </is>
      </c>
    </row>
    <row r="53">
      <c r="A53" t="inlineStr">
        <is>
          <t>Finance</t>
        </is>
      </c>
      <c r="B53" t="inlineStr">
        <is>
          <t>Scott Walker</t>
        </is>
      </c>
      <c r="C53" s="2" t="inlineStr">
        <is>
          <t>04-Nov-2025</t>
        </is>
      </c>
      <c r="D53" s="2" t="inlineStr">
        <is>
          <t>39764.98</t>
        </is>
      </c>
      <c r="E53" s="2" t="inlineStr">
        <is>
          <t>31385.52</t>
        </is>
      </c>
      <c r="F53" t="n">
        <v>8379.459999999999</v>
      </c>
      <c r="G53" t="inlineStr">
        <is>
          <t>Travel</t>
        </is>
      </c>
      <c r="H53" t="inlineStr">
        <is>
          <t>Reviewed</t>
        </is>
      </c>
    </row>
    <row r="54">
      <c r="A54" t="inlineStr">
        <is>
          <t>Finance</t>
        </is>
      </c>
      <c r="B54" t="inlineStr">
        <is>
          <t>Nathan Stewart</t>
        </is>
      </c>
      <c r="C54" s="2" t="inlineStr">
        <is>
          <t>10-19-2025</t>
        </is>
      </c>
      <c r="D54" s="2" t="inlineStr">
        <is>
          <t>18720.34</t>
        </is>
      </c>
      <c r="E54" t="n">
        <v>23531.98</v>
      </c>
      <c r="F54" t="n">
        <v>-4811.64</v>
      </c>
      <c r="G54" t="inlineStr">
        <is>
          <t>Travel</t>
        </is>
      </c>
      <c r="H54" t="inlineStr">
        <is>
          <t>Approved</t>
        </is>
      </c>
    </row>
    <row r="55">
      <c r="A55" t="inlineStr">
        <is>
          <t>Finance</t>
        </is>
      </c>
      <c r="B55" t="inlineStr">
        <is>
          <t>Thomas Morris</t>
        </is>
      </c>
      <c r="C55" s="2" t="inlineStr">
        <is>
          <t>10-19-2025</t>
        </is>
      </c>
      <c r="D55" s="2" t="inlineStr">
        <is>
          <t>11528.95</t>
        </is>
      </c>
      <c r="E55" t="n">
        <v>12691.62</v>
      </c>
      <c r="F55" t="n">
        <v>-1162.67</v>
      </c>
      <c r="G55" t="inlineStr">
        <is>
          <t>Marketing Spend</t>
        </is>
      </c>
      <c r="H55" t="inlineStr">
        <is>
          <t>Reviewed</t>
        </is>
      </c>
    </row>
    <row r="56">
      <c r="A56" t="inlineStr">
        <is>
          <t>HR</t>
        </is>
      </c>
      <c r="B56" t="inlineStr">
        <is>
          <t xml:space="preserve">  Justin Morgan</t>
        </is>
      </c>
      <c r="C56" s="2" t="inlineStr">
        <is>
          <t>2025-11-28</t>
        </is>
      </c>
      <c r="D56" t="n">
        <v>7286.4</v>
      </c>
      <c r="E56" t="n">
        <v>6024.37</v>
      </c>
      <c r="F56" t="n">
        <v>1262.03</v>
      </c>
      <c r="G56" t="inlineStr">
        <is>
          <t>Training</t>
        </is>
      </c>
      <c r="H56" t="inlineStr">
        <is>
          <t>Complete</t>
        </is>
      </c>
    </row>
    <row r="57">
      <c r="A57" t="inlineStr">
        <is>
          <t>HR</t>
        </is>
      </c>
      <c r="B57" t="inlineStr">
        <is>
          <t>James Wright</t>
        </is>
      </c>
      <c r="C57" s="2" t="inlineStr">
        <is>
          <t>10/29/2025</t>
        </is>
      </c>
      <c r="D57" t="n">
        <v>3541.23</v>
      </c>
      <c r="E57" t="n">
        <v>2696.89</v>
      </c>
      <c r="F57" t="n">
        <v>844.34</v>
      </c>
      <c r="G57" t="inlineStr">
        <is>
          <t>Equipment</t>
        </is>
      </c>
      <c r="H57" t="inlineStr">
        <is>
          <t>Complete</t>
        </is>
      </c>
    </row>
    <row r="58">
      <c r="A58" t="inlineStr">
        <is>
          <t>HR</t>
        </is>
      </c>
      <c r="B58" t="inlineStr">
        <is>
          <t>Andrew Campbell</t>
        </is>
      </c>
      <c r="C58" s="2" t="inlineStr">
        <is>
          <t>2025-11-22</t>
        </is>
      </c>
      <c r="D58" t="n">
        <v>9544.469999999999</v>
      </c>
      <c r="E58" t="n">
        <v>7667.19</v>
      </c>
      <c r="F58" t="n">
        <v>1877.28</v>
      </c>
      <c r="G58" t="inlineStr">
        <is>
          <t>Facilities</t>
        </is>
      </c>
      <c r="H58" t="inlineStr">
        <is>
          <t>Reviewed</t>
        </is>
      </c>
    </row>
    <row r="59">
      <c r="A59" t="inlineStr">
        <is>
          <t>HR</t>
        </is>
      </c>
      <c r="B59" t="inlineStr">
        <is>
          <t>Lauren Martinez</t>
        </is>
      </c>
      <c r="C59" s="2" t="inlineStr">
        <is>
          <t>October 12, 2025</t>
        </is>
      </c>
      <c r="D59" t="n">
        <v>30628.51</v>
      </c>
      <c r="E59" t="n">
        <v>36942.32</v>
      </c>
      <c r="F59" t="n">
        <v>-6313.81</v>
      </c>
      <c r="G59" t="inlineStr">
        <is>
          <t>Software</t>
        </is>
      </c>
      <c r="H59" t="inlineStr">
        <is>
          <t>Approved</t>
        </is>
      </c>
    </row>
    <row r="60">
      <c r="A60" t="inlineStr">
        <is>
          <t>HR</t>
        </is>
      </c>
      <c r="B60" t="inlineStr">
        <is>
          <t>Kimberly Murphy</t>
        </is>
      </c>
      <c r="C60" s="2" t="inlineStr">
        <is>
          <t>2025-10-28</t>
        </is>
      </c>
      <c r="D60" t="n">
        <v>24780.76</v>
      </c>
      <c r="E60" t="n">
        <v>29403.72</v>
      </c>
      <c r="F60" t="n">
        <v>-4622.96</v>
      </c>
      <c r="G60" t="inlineStr">
        <is>
          <t>Travel</t>
        </is>
      </c>
      <c r="H60" t="inlineStr">
        <is>
          <t>Approved</t>
        </is>
      </c>
    </row>
    <row r="61">
      <c r="A61" t="inlineStr">
        <is>
          <t>HR</t>
        </is>
      </c>
      <c r="B61" t="inlineStr">
        <is>
          <t>Michelle Martinez</t>
        </is>
      </c>
      <c r="C61" s="2" t="inlineStr">
        <is>
          <t>10/27/2025</t>
        </is>
      </c>
      <c r="D61" t="n">
        <v>40062.33</v>
      </c>
      <c r="E61" s="2" t="inlineStr">
        <is>
          <t>38628.59</t>
        </is>
      </c>
      <c r="F61" t="n">
        <v>1433.74</v>
      </c>
      <c r="G61" t="inlineStr">
        <is>
          <t>Software</t>
        </is>
      </c>
      <c r="H61" t="inlineStr">
        <is>
          <t>Complete</t>
        </is>
      </c>
    </row>
    <row r="62">
      <c r="A62" t="inlineStr">
        <is>
          <t>HR</t>
        </is>
      </c>
      <c r="B62" t="inlineStr">
        <is>
          <t xml:space="preserve">Andrew Cox   </t>
        </is>
      </c>
      <c r="C62" s="2" t="inlineStr">
        <is>
          <t>2025-11-29</t>
        </is>
      </c>
      <c r="D62" t="n">
        <v>27567.86</v>
      </c>
      <c r="E62" t="n">
        <v>30807.18</v>
      </c>
      <c r="F62" t="n">
        <v>-3239.32</v>
      </c>
      <c r="G62" t="inlineStr">
        <is>
          <t>Subscriptions</t>
        </is>
      </c>
      <c r="H62" t="inlineStr">
        <is>
          <t>Approved</t>
        </is>
      </c>
    </row>
    <row r="63">
      <c r="A63" t="inlineStr">
        <is>
          <t>HR</t>
        </is>
      </c>
      <c r="B63" t="inlineStr">
        <is>
          <t>Rachel Allen</t>
        </is>
      </c>
      <c r="C63" s="2" t="inlineStr">
        <is>
          <t>02-Dec-2025</t>
        </is>
      </c>
      <c r="D63" s="2" t="inlineStr">
        <is>
          <t>10575.69</t>
        </is>
      </c>
      <c r="E63" s="2" t="inlineStr">
        <is>
          <t>12572.46</t>
        </is>
      </c>
      <c r="F63" t="n">
        <v>-1996.77</v>
      </c>
      <c r="G63" t="inlineStr">
        <is>
          <t>Subscriptions</t>
        </is>
      </c>
      <c r="H63" t="inlineStr">
        <is>
          <t>Reviewed</t>
        </is>
      </c>
    </row>
    <row r="64">
      <c r="A64" t="inlineStr">
        <is>
          <t>HR</t>
        </is>
      </c>
      <c r="B64" t="inlineStr">
        <is>
          <t>Kimberly Thompson</t>
        </is>
      </c>
      <c r="C64" s="2" t="inlineStr">
        <is>
          <t>10/12/2025</t>
        </is>
      </c>
      <c r="D64" t="n">
        <v>14476.19</v>
      </c>
      <c r="E64" t="n">
        <v>14076.95</v>
      </c>
      <c r="F64" t="n">
        <v>399.24</v>
      </c>
      <c r="G64" t="inlineStr">
        <is>
          <t>Equipment</t>
        </is>
      </c>
      <c r="H64" t="inlineStr">
        <is>
          <t>Reviewed</t>
        </is>
      </c>
    </row>
    <row r="65">
      <c r="A65" t="inlineStr">
        <is>
          <t>HR</t>
        </is>
      </c>
      <c r="B65" t="inlineStr">
        <is>
          <t>Joshua Green</t>
        </is>
      </c>
      <c r="C65" s="2" t="inlineStr">
        <is>
          <t>11-02-2025</t>
        </is>
      </c>
      <c r="D65" t="n">
        <v>11450.56</v>
      </c>
      <c r="E65" t="n">
        <v>13130.43</v>
      </c>
      <c r="F65" t="n">
        <v>-1679.87</v>
      </c>
      <c r="G65" t="inlineStr">
        <is>
          <t>Subscriptions</t>
        </is>
      </c>
      <c r="H65" t="inlineStr">
        <is>
          <t>Approved</t>
        </is>
      </c>
    </row>
    <row r="66">
      <c r="A66" t="inlineStr">
        <is>
          <t>HR</t>
        </is>
      </c>
      <c r="B66" t="inlineStr">
        <is>
          <t>James Robinson</t>
        </is>
      </c>
      <c r="C66" s="2" t="inlineStr">
        <is>
          <t>11/21/2025</t>
        </is>
      </c>
      <c r="D66" s="2" t="inlineStr">
        <is>
          <t>23857.96</t>
        </is>
      </c>
      <c r="E66" t="n">
        <v>25465.07</v>
      </c>
      <c r="F66" t="n">
        <v>-1607.11</v>
      </c>
      <c r="G66" t="inlineStr">
        <is>
          <t>Software</t>
        </is>
      </c>
      <c r="H66" t="inlineStr">
        <is>
          <t>Pending</t>
        </is>
      </c>
    </row>
    <row r="67">
      <c r="A67" t="inlineStr">
        <is>
          <t>HR</t>
        </is>
      </c>
      <c r="B67" t="inlineStr">
        <is>
          <t>Megan Garcia</t>
        </is>
      </c>
      <c r="C67" s="2" t="inlineStr">
        <is>
          <t>30-Oct-2025</t>
        </is>
      </c>
      <c r="D67" t="n">
        <v>14184.98</v>
      </c>
      <c r="E67" t="n">
        <v>12844.43</v>
      </c>
      <c r="F67" t="n">
        <v>1340.55</v>
      </c>
      <c r="G67" t="inlineStr">
        <is>
          <t>Marketing Spend</t>
        </is>
      </c>
      <c r="H67" t="inlineStr">
        <is>
          <t>Approved</t>
        </is>
      </c>
    </row>
    <row r="68"/>
    <row r="69">
      <c r="A69" t="inlineStr">
        <is>
          <t>HR</t>
        </is>
      </c>
      <c r="B69" t="inlineStr">
        <is>
          <t>Kimberly Clark</t>
        </is>
      </c>
      <c r="C69" s="2" t="inlineStr">
        <is>
          <t>December 16, 2025</t>
        </is>
      </c>
      <c r="D69" t="n">
        <v>2393.39</v>
      </c>
      <c r="E69" t="n">
        <v>2363.75</v>
      </c>
      <c r="F69" t="n">
        <v>29.64</v>
      </c>
      <c r="G69" t="inlineStr">
        <is>
          <t>Subscriptions</t>
        </is>
      </c>
      <c r="H69" t="inlineStr">
        <is>
          <t>Complete</t>
        </is>
      </c>
    </row>
    <row r="70">
      <c r="A70" t="inlineStr">
        <is>
          <t>HR</t>
        </is>
      </c>
      <c r="B70" t="inlineStr">
        <is>
          <t>Melissa Turner</t>
        </is>
      </c>
      <c r="C70" s="2" t="inlineStr">
        <is>
          <t>10/07/2025</t>
        </is>
      </c>
      <c r="D70" s="2" t="inlineStr">
        <is>
          <t>10169.02</t>
        </is>
      </c>
      <c r="E70" s="2" t="inlineStr">
        <is>
          <t>10698.53</t>
        </is>
      </c>
      <c r="F70" t="n">
        <v>-529.51</v>
      </c>
      <c r="G70" t="inlineStr">
        <is>
          <t>Training</t>
        </is>
      </c>
      <c r="H70" t="inlineStr">
        <is>
          <t>Flagged</t>
        </is>
      </c>
    </row>
    <row r="71">
      <c r="A71" t="inlineStr">
        <is>
          <t>HR</t>
        </is>
      </c>
      <c r="B71" t="inlineStr">
        <is>
          <t xml:space="preserve">  James Thompson</t>
        </is>
      </c>
      <c r="C71" s="2" t="inlineStr">
        <is>
          <t>2025-12-20</t>
        </is>
      </c>
      <c r="D71" t="n">
        <v>29421.4</v>
      </c>
      <c r="E71" t="n">
        <v>25938.31</v>
      </c>
      <c r="F71" t="n">
        <v>3483.09</v>
      </c>
      <c r="G71" t="inlineStr">
        <is>
          <t>Travel</t>
        </is>
      </c>
      <c r="H71" t="inlineStr">
        <is>
          <t>Reviewed</t>
        </is>
      </c>
    </row>
    <row r="72">
      <c r="A72" t="inlineStr">
        <is>
          <t>HR</t>
        </is>
      </c>
      <c r="B72" t="inlineStr">
        <is>
          <t>Lauren Baker</t>
        </is>
      </c>
      <c r="C72" s="2" t="inlineStr">
        <is>
          <t>19-Dec-2025</t>
        </is>
      </c>
      <c r="D72" t="n">
        <v>33403.47</v>
      </c>
      <c r="E72" t="n">
        <v>36991.34</v>
      </c>
      <c r="F72" t="n">
        <v>-3587.87</v>
      </c>
      <c r="G72" t="inlineStr">
        <is>
          <t>Subscriptions</t>
        </is>
      </c>
      <c r="H72" t="inlineStr">
        <is>
          <t>Complete</t>
        </is>
      </c>
    </row>
    <row r="73">
      <c r="A73" t="inlineStr">
        <is>
          <t>Marketing</t>
        </is>
      </c>
      <c r="B73" t="inlineStr">
        <is>
          <t>Donna Roberts</t>
        </is>
      </c>
      <c r="C73" s="2" t="inlineStr">
        <is>
          <t>13-Nov-2025</t>
        </is>
      </c>
      <c r="D73" t="n">
        <v>13698.89</v>
      </c>
      <c r="E73" t="n">
        <v>11896.43</v>
      </c>
      <c r="F73" t="n">
        <v>1802.46</v>
      </c>
      <c r="G73" t="inlineStr">
        <is>
          <t>Subscriptions</t>
        </is>
      </c>
      <c r="H73" t="inlineStr">
        <is>
          <t>Approved</t>
        </is>
      </c>
    </row>
    <row r="74">
      <c r="A74" t="inlineStr">
        <is>
          <t>Marketing</t>
        </is>
      </c>
      <c r="B74" t="inlineStr">
        <is>
          <t>Jessica Bell</t>
        </is>
      </c>
      <c r="C74" s="2" t="inlineStr">
        <is>
          <t>November 30, 2025</t>
        </is>
      </c>
      <c r="D74" t="n">
        <v>45475.31</v>
      </c>
      <c r="E74" t="n">
        <v>38236.54</v>
      </c>
      <c r="F74" t="n">
        <v>7238.77</v>
      </c>
      <c r="G74" t="inlineStr">
        <is>
          <t>Facilities</t>
        </is>
      </c>
      <c r="H74" t="inlineStr">
        <is>
          <t>Pending</t>
        </is>
      </c>
    </row>
    <row r="75">
      <c r="A75" t="inlineStr">
        <is>
          <t>Marketing</t>
        </is>
      </c>
      <c r="B75" t="inlineStr">
        <is>
          <t xml:space="preserve">  Andrew Hall</t>
        </is>
      </c>
      <c r="C75" s="2" t="inlineStr">
        <is>
          <t>10/23/2025</t>
        </is>
      </c>
      <c r="D75" t="n">
        <v>42367.27</v>
      </c>
      <c r="E75" t="n">
        <v>32353.02</v>
      </c>
      <c r="F75" t="n">
        <v>10014.25</v>
      </c>
      <c r="G75" t="inlineStr">
        <is>
          <t>Subscriptions</t>
        </is>
      </c>
      <c r="H75" t="inlineStr">
        <is>
          <t>Flagged</t>
        </is>
      </c>
    </row>
    <row r="76">
      <c r="A76" t="inlineStr">
        <is>
          <t>Marketing</t>
        </is>
      </c>
      <c r="B76" t="inlineStr">
        <is>
          <t>Stephanie Perez</t>
        </is>
      </c>
      <c r="C76" s="2" t="inlineStr">
        <is>
          <t>December 25, 2025</t>
        </is>
      </c>
      <c r="D76" t="n">
        <v>45167.27</v>
      </c>
      <c r="E76" t="n">
        <v>50701.38</v>
      </c>
      <c r="F76" t="n">
        <v>-5534.11</v>
      </c>
      <c r="G76" t="inlineStr">
        <is>
          <t>Travel</t>
        </is>
      </c>
      <c r="H76" t="inlineStr">
        <is>
          <t>Complete</t>
        </is>
      </c>
    </row>
    <row r="77">
      <c r="A77" t="inlineStr">
        <is>
          <t>Marketing</t>
        </is>
      </c>
      <c r="B77" t="inlineStr">
        <is>
          <t>Scott Bailey</t>
        </is>
      </c>
      <c r="C77" s="2" t="inlineStr">
        <is>
          <t>01-Oct-2025</t>
        </is>
      </c>
      <c r="D77" t="n">
        <v>42901.34</v>
      </c>
      <c r="E77" t="n">
        <v>52478.73</v>
      </c>
      <c r="F77" t="n">
        <v>-9577.389999999999</v>
      </c>
      <c r="G77" t="inlineStr">
        <is>
          <t>Consulting</t>
        </is>
      </c>
      <c r="H77" t="inlineStr">
        <is>
          <t>Flagged</t>
        </is>
      </c>
    </row>
    <row r="78">
      <c r="A78" t="inlineStr">
        <is>
          <t>Marketing</t>
        </is>
      </c>
      <c r="B78" t="inlineStr">
        <is>
          <t>Nathan Bell</t>
        </is>
      </c>
      <c r="C78" s="2" t="inlineStr">
        <is>
          <t>December 07, 2025</t>
        </is>
      </c>
      <c r="D78" s="2" t="inlineStr">
        <is>
          <t>47424.89</t>
        </is>
      </c>
      <c r="E78" t="n">
        <v>51100.26</v>
      </c>
      <c r="F78" t="n">
        <v>-3675.37</v>
      </c>
      <c r="G78" t="inlineStr">
        <is>
          <t>Marketing Spend</t>
        </is>
      </c>
      <c r="H78" t="inlineStr">
        <is>
          <t>Complete</t>
        </is>
      </c>
    </row>
    <row r="79">
      <c r="A79" t="inlineStr">
        <is>
          <t>Marketing</t>
        </is>
      </c>
      <c r="B79" t="inlineStr">
        <is>
          <t>Nathan Lee</t>
        </is>
      </c>
      <c r="C79" s="2" t="inlineStr">
        <is>
          <t>19-Dec-2025</t>
        </is>
      </c>
      <c r="D79" s="2" t="inlineStr">
        <is>
          <t>25870.87</t>
        </is>
      </c>
      <c r="E79" s="2" t="inlineStr">
        <is>
          <t>32307.82</t>
        </is>
      </c>
      <c r="F79" t="n">
        <v>-6436.95</v>
      </c>
      <c r="G79" t="inlineStr">
        <is>
          <t>Software</t>
        </is>
      </c>
      <c r="H79" t="inlineStr">
        <is>
          <t>Approved</t>
        </is>
      </c>
    </row>
    <row r="80">
      <c r="A80" t="inlineStr">
        <is>
          <t>Marketing</t>
        </is>
      </c>
      <c r="B80" t="inlineStr">
        <is>
          <t>Elizabeth Bell</t>
        </is>
      </c>
      <c r="C80" s="2" t="inlineStr">
        <is>
          <t>15-Oct-2025</t>
        </is>
      </c>
      <c r="D80" t="n">
        <v>27288.56</v>
      </c>
      <c r="E80" t="n">
        <v>23737.79</v>
      </c>
      <c r="F80" t="n">
        <v>3550.77</v>
      </c>
      <c r="G80" t="inlineStr">
        <is>
          <t>Training</t>
        </is>
      </c>
      <c r="H80" t="inlineStr">
        <is>
          <t>Reviewed</t>
        </is>
      </c>
    </row>
    <row r="81">
      <c r="A81" t="inlineStr">
        <is>
          <t>Marketing</t>
        </is>
      </c>
      <c r="B81" t="inlineStr">
        <is>
          <t xml:space="preserve">Christina Rogers   </t>
        </is>
      </c>
      <c r="C81" s="2" t="inlineStr">
        <is>
          <t>31-Dec-2025</t>
        </is>
      </c>
      <c r="D81" t="n">
        <v>5940.31</v>
      </c>
      <c r="E81" t="n">
        <v>7132.03</v>
      </c>
      <c r="F81" t="n">
        <v>-1191.72</v>
      </c>
      <c r="G81" t="inlineStr">
        <is>
          <t>Training</t>
        </is>
      </c>
      <c r="H81" t="inlineStr">
        <is>
          <t>Approved</t>
        </is>
      </c>
    </row>
    <row r="82">
      <c r="A82" t="inlineStr">
        <is>
          <t>Marketing</t>
        </is>
      </c>
      <c r="B82" t="inlineStr">
        <is>
          <t>Stephanie Hernandez</t>
        </is>
      </c>
      <c r="C82" s="2" t="inlineStr">
        <is>
          <t>December 01, 2025</t>
        </is>
      </c>
      <c r="D82" s="2" t="inlineStr">
        <is>
          <t>13633.73</t>
        </is>
      </c>
      <c r="E82" t="n">
        <v>14646.35</v>
      </c>
      <c r="F82" t="n">
        <v>-1012.62</v>
      </c>
      <c r="G82" t="inlineStr">
        <is>
          <t>Training</t>
        </is>
      </c>
      <c r="H82" t="inlineStr">
        <is>
          <t>Approved</t>
        </is>
      </c>
    </row>
    <row r="83">
      <c r="A83" t="inlineStr">
        <is>
          <t>Marketing</t>
        </is>
      </c>
      <c r="B83" t="inlineStr">
        <is>
          <t>Heather Green</t>
        </is>
      </c>
      <c r="C83" s="2" t="inlineStr">
        <is>
          <t>10/11/2025</t>
        </is>
      </c>
      <c r="D83" t="n">
        <v>47711.11</v>
      </c>
      <c r="E83" t="n">
        <v>38891.63</v>
      </c>
      <c r="F83" t="n">
        <v>8819.48</v>
      </c>
      <c r="G83" t="inlineStr">
        <is>
          <t>Facilities</t>
        </is>
      </c>
      <c r="H83" t="inlineStr">
        <is>
          <t>Complete</t>
        </is>
      </c>
    </row>
    <row r="84"/>
    <row r="85">
      <c r="A85" t="inlineStr">
        <is>
          <t>Marketing</t>
        </is>
      </c>
      <c r="B85" t="inlineStr">
        <is>
          <t>Ryan Perez</t>
        </is>
      </c>
      <c r="C85" s="2" t="inlineStr">
        <is>
          <t>2025-12-28</t>
        </is>
      </c>
      <c r="D85" t="n">
        <v>24034.78</v>
      </c>
      <c r="E85" t="n">
        <v>26784.86</v>
      </c>
      <c r="F85" t="n">
        <v>-2750.08</v>
      </c>
      <c r="G85" t="inlineStr">
        <is>
          <t>Facilities</t>
        </is>
      </c>
      <c r="H85" t="inlineStr">
        <is>
          <t>Complete</t>
        </is>
      </c>
    </row>
    <row r="86">
      <c r="A86" t="inlineStr">
        <is>
          <t>Marketing</t>
        </is>
      </c>
      <c r="B86" t="inlineStr">
        <is>
          <t>Thomas Garcia</t>
        </is>
      </c>
      <c r="C86" s="2" t="inlineStr">
        <is>
          <t>17-Oct-2025</t>
        </is>
      </c>
      <c r="D86" t="n">
        <v>24358.83</v>
      </c>
      <c r="E86" s="2" t="inlineStr">
        <is>
          <t>26175.98</t>
        </is>
      </c>
      <c r="F86" t="n">
        <v>-1817.15</v>
      </c>
      <c r="G86" t="inlineStr">
        <is>
          <t>Consulting</t>
        </is>
      </c>
      <c r="H86" t="inlineStr">
        <is>
          <t>Flagged</t>
        </is>
      </c>
    </row>
    <row r="87">
      <c r="A87" t="inlineStr">
        <is>
          <t>Operations</t>
        </is>
      </c>
      <c r="B87" t="inlineStr">
        <is>
          <t>Kenneth Morgan</t>
        </is>
      </c>
      <c r="C87" s="2" t="inlineStr">
        <is>
          <t>13-Nov-2025</t>
        </is>
      </c>
      <c r="D87" t="n">
        <v>5798.73</v>
      </c>
      <c r="E87" t="n">
        <v>5735.64</v>
      </c>
      <c r="F87" t="n">
        <v>63.09</v>
      </c>
      <c r="G87" t="inlineStr">
        <is>
          <t>Marketing Spend</t>
        </is>
      </c>
      <c r="H87" t="inlineStr">
        <is>
          <t>Approved</t>
        </is>
      </c>
    </row>
    <row r="88">
      <c r="A88" t="inlineStr">
        <is>
          <t>Operations</t>
        </is>
      </c>
      <c r="B88" t="inlineStr">
        <is>
          <t>Angela Cox</t>
        </is>
      </c>
      <c r="C88" s="2" t="inlineStr">
        <is>
          <t>October 23, 2025</t>
        </is>
      </c>
      <c r="D88" t="n">
        <v>24614.88</v>
      </c>
      <c r="E88" t="n">
        <v>19901.77</v>
      </c>
      <c r="F88" t="n">
        <v>4713.11</v>
      </c>
      <c r="G88" t="inlineStr">
        <is>
          <t>Training</t>
        </is>
      </c>
      <c r="H88" t="inlineStr">
        <is>
          <t>Complete</t>
        </is>
      </c>
    </row>
    <row r="89">
      <c r="A89" t="inlineStr">
        <is>
          <t>Operations</t>
        </is>
      </c>
      <c r="B89" t="inlineStr">
        <is>
          <t>Ashley Turner</t>
        </is>
      </c>
      <c r="C89" s="2" t="inlineStr">
        <is>
          <t>2025-12-09</t>
        </is>
      </c>
      <c r="D89" t="n">
        <v>33918.15</v>
      </c>
      <c r="E89" t="n">
        <v>36849.45</v>
      </c>
      <c r="F89" t="n">
        <v>-2931.3</v>
      </c>
      <c r="G89" t="inlineStr">
        <is>
          <t>Software</t>
        </is>
      </c>
      <c r="H89" t="inlineStr">
        <is>
          <t>Complete</t>
        </is>
      </c>
    </row>
    <row r="90">
      <c r="A90" t="inlineStr">
        <is>
          <t>Operations</t>
        </is>
      </c>
      <c r="B90" t="inlineStr">
        <is>
          <t xml:space="preserve">  Andrea Rodriguez</t>
        </is>
      </c>
      <c r="C90" s="2" t="inlineStr">
        <is>
          <t>10/18/2025</t>
        </is>
      </c>
      <c r="D90" t="n">
        <v>13062.13</v>
      </c>
      <c r="E90" t="n">
        <v>16188.45</v>
      </c>
      <c r="F90" t="n">
        <v>-3126.32</v>
      </c>
      <c r="G90" t="inlineStr">
        <is>
          <t>Travel</t>
        </is>
      </c>
      <c r="H90" t="inlineStr">
        <is>
          <t>Reviewed</t>
        </is>
      </c>
    </row>
    <row r="91">
      <c r="A91" t="inlineStr">
        <is>
          <t>Operations</t>
        </is>
      </c>
      <c r="B91" t="inlineStr">
        <is>
          <t>Christina Hernandez</t>
        </is>
      </c>
      <c r="C91" s="2" t="inlineStr">
        <is>
          <t>12/31/2025</t>
        </is>
      </c>
      <c r="D91" s="2" t="inlineStr">
        <is>
          <t>16786.81</t>
        </is>
      </c>
      <c r="E91" t="n">
        <v>18937.59</v>
      </c>
      <c r="F91" t="n">
        <v>-2150.78</v>
      </c>
      <c r="G91" t="inlineStr">
        <is>
          <t>Training</t>
        </is>
      </c>
      <c r="H91" t="inlineStr">
        <is>
          <t>Complete</t>
        </is>
      </c>
    </row>
    <row r="92">
      <c r="A92" t="inlineStr">
        <is>
          <t>Operations</t>
        </is>
      </c>
      <c r="B92" t="inlineStr">
        <is>
          <t>Jennifer Rodriguez</t>
        </is>
      </c>
      <c r="C92" s="2" t="inlineStr">
        <is>
          <t>16-Dec-2025</t>
        </is>
      </c>
      <c r="D92" t="n">
        <v>21141.78</v>
      </c>
      <c r="E92" t="n">
        <v>24327.84</v>
      </c>
      <c r="F92" t="n">
        <v>-3186.06</v>
      </c>
      <c r="G92" t="inlineStr">
        <is>
          <t>Subscriptions</t>
        </is>
      </c>
      <c r="H92" t="inlineStr">
        <is>
          <t>Flagged</t>
        </is>
      </c>
    </row>
    <row r="93">
      <c r="A93" t="inlineStr">
        <is>
          <t>Operations</t>
        </is>
      </c>
      <c r="B93" t="inlineStr">
        <is>
          <t xml:space="preserve">  Angela Green</t>
        </is>
      </c>
      <c r="C93" s="2" t="inlineStr">
        <is>
          <t>2025-12-25</t>
        </is>
      </c>
      <c r="D93" t="n">
        <v>19898.66</v>
      </c>
      <c r="E93" t="n">
        <v>19327.97</v>
      </c>
      <c r="F93" t="n">
        <v>570.6900000000001</v>
      </c>
      <c r="G93" t="inlineStr">
        <is>
          <t>Training</t>
        </is>
      </c>
      <c r="H93" t="inlineStr">
        <is>
          <t>Complete</t>
        </is>
      </c>
    </row>
    <row r="94">
      <c r="A94" t="inlineStr">
        <is>
          <t>Operations</t>
        </is>
      </c>
      <c r="B94" t="inlineStr">
        <is>
          <t>Justin Stewart</t>
        </is>
      </c>
      <c r="C94" s="2" t="inlineStr">
        <is>
          <t>01-Oct-2025</t>
        </is>
      </c>
      <c r="D94" t="n">
        <v>14934.06</v>
      </c>
      <c r="E94" t="n">
        <v>12926.93</v>
      </c>
      <c r="F94" t="n">
        <v>2007.13</v>
      </c>
      <c r="G94" t="inlineStr">
        <is>
          <t>Subscriptions</t>
        </is>
      </c>
      <c r="H94" t="inlineStr">
        <is>
          <t>Flagged</t>
        </is>
      </c>
    </row>
    <row r="95">
      <c r="A95" t="inlineStr">
        <is>
          <t>Operations</t>
        </is>
      </c>
      <c r="B95" t="inlineStr">
        <is>
          <t>Angela Bell</t>
        </is>
      </c>
      <c r="C95" s="2" t="inlineStr">
        <is>
          <t>December 21, 2025</t>
        </is>
      </c>
      <c r="D95" t="n">
        <v>29914.89</v>
      </c>
      <c r="E95" t="n">
        <v>23972.68</v>
      </c>
      <c r="F95" t="n">
        <v>5942.21</v>
      </c>
      <c r="G95" t="inlineStr">
        <is>
          <t>Equipment</t>
        </is>
      </c>
      <c r="H95" t="inlineStr">
        <is>
          <t>Reviewed</t>
        </is>
      </c>
    </row>
    <row r="96">
      <c r="A96" t="inlineStr">
        <is>
          <t>Operations</t>
        </is>
      </c>
      <c r="B96" t="inlineStr">
        <is>
          <t>Kenneth Howard</t>
        </is>
      </c>
      <c r="C96" s="2" t="inlineStr">
        <is>
          <t>2025-12-06</t>
        </is>
      </c>
      <c r="D96" s="2" t="inlineStr">
        <is>
          <t>23518.36</t>
        </is>
      </c>
      <c r="E96" t="n">
        <v>20733.44</v>
      </c>
      <c r="F96" t="n">
        <v>2784.92</v>
      </c>
      <c r="G96" t="inlineStr">
        <is>
          <t>Marketing Spend</t>
        </is>
      </c>
      <c r="H96" t="inlineStr">
        <is>
          <t>Approved</t>
        </is>
      </c>
    </row>
    <row r="97">
      <c r="A97" t="inlineStr">
        <is>
          <t>Operations</t>
        </is>
      </c>
      <c r="B97" t="inlineStr">
        <is>
          <t>Andrew Hill</t>
        </is>
      </c>
      <c r="C97" s="2" t="inlineStr">
        <is>
          <t>11/12/2025</t>
        </is>
      </c>
      <c r="D97" t="n">
        <v>15686.2</v>
      </c>
      <c r="E97" s="2" t="inlineStr">
        <is>
          <t>16424.76</t>
        </is>
      </c>
      <c r="F97" t="n">
        <v>-738.5599999999999</v>
      </c>
      <c r="G97" t="inlineStr">
        <is>
          <t>Travel</t>
        </is>
      </c>
      <c r="H97" t="inlineStr">
        <is>
          <t>Pending</t>
        </is>
      </c>
    </row>
    <row r="98">
      <c r="A98" t="inlineStr">
        <is>
          <t>Operations</t>
        </is>
      </c>
      <c r="B98" t="inlineStr">
        <is>
          <t>Stephanie Clark</t>
        </is>
      </c>
      <c r="C98" s="2" t="inlineStr">
        <is>
          <t>31-Oct-2025</t>
        </is>
      </c>
      <c r="D98" t="n">
        <v>34703.55</v>
      </c>
      <c r="E98" t="n">
        <v>35353.12</v>
      </c>
      <c r="F98" t="n">
        <v>-649.5700000000001</v>
      </c>
      <c r="G98" t="inlineStr">
        <is>
          <t>Equipment</t>
        </is>
      </c>
      <c r="H98" t="inlineStr">
        <is>
          <t>Flagged</t>
        </is>
      </c>
    </row>
    <row r="99">
      <c r="A99" t="inlineStr">
        <is>
          <t>Operations</t>
        </is>
      </c>
      <c r="B99" t="inlineStr">
        <is>
          <t>Kimberly Lewis</t>
        </is>
      </c>
      <c r="C99" s="2" t="inlineStr">
        <is>
          <t>2025-11-29</t>
        </is>
      </c>
      <c r="D99" t="n">
        <v>33212.2</v>
      </c>
      <c r="E99" t="n">
        <v>37690.98</v>
      </c>
      <c r="F99" t="n">
        <v>-4478.78</v>
      </c>
      <c r="G99" t="inlineStr">
        <is>
          <t>Training</t>
        </is>
      </c>
      <c r="H99" t="inlineStr">
        <is>
          <t>Complete</t>
        </is>
      </c>
    </row>
    <row r="100">
      <c r="A100" t="inlineStr">
        <is>
          <t>Operations</t>
        </is>
      </c>
      <c r="B100" t="inlineStr">
        <is>
          <t xml:space="preserve">  Michael Clark</t>
        </is>
      </c>
      <c r="C100" s="2" t="inlineStr">
        <is>
          <t>30-Oct-2025</t>
        </is>
      </c>
      <c r="D100" t="n">
        <v>46190.78</v>
      </c>
      <c r="E100" s="2" t="inlineStr">
        <is>
          <t>55880.55</t>
        </is>
      </c>
      <c r="F100" t="n">
        <v>-9689.77</v>
      </c>
      <c r="G100" t="inlineStr">
        <is>
          <t>Software</t>
        </is>
      </c>
      <c r="H100" t="inlineStr">
        <is>
          <t>Reviewed</t>
        </is>
      </c>
    </row>
    <row r="101">
      <c r="A101" t="inlineStr">
        <is>
          <t>Operations</t>
        </is>
      </c>
      <c r="B101" t="inlineStr">
        <is>
          <t>Kenneth Perez</t>
        </is>
      </c>
      <c r="C101" s="2" t="inlineStr">
        <is>
          <t>11-13-2025</t>
        </is>
      </c>
      <c r="D101" t="n">
        <v>44876.8</v>
      </c>
      <c r="E101" t="n">
        <v>46189.7</v>
      </c>
      <c r="F101" t="n">
        <v>-1312.9</v>
      </c>
      <c r="G101" t="inlineStr">
        <is>
          <t>Software</t>
        </is>
      </c>
      <c r="H101" t="inlineStr">
        <is>
          <t>Reviewed</t>
        </is>
      </c>
    </row>
    <row r="102"/>
    <row r="103">
      <c r="A103" t="inlineStr">
        <is>
          <t>Operations</t>
        </is>
      </c>
      <c r="B103" t="inlineStr">
        <is>
          <t>Patrick Morris</t>
        </is>
      </c>
      <c r="C103" s="2" t="inlineStr">
        <is>
          <t>December 24, 2025</t>
        </is>
      </c>
      <c r="D103" t="n">
        <v>23757.92</v>
      </c>
      <c r="E103" t="n">
        <v>19760.11</v>
      </c>
      <c r="F103" t="n">
        <v>3997.81</v>
      </c>
      <c r="G103" t="inlineStr">
        <is>
          <t>Marketing Spend</t>
        </is>
      </c>
      <c r="H103" t="inlineStr">
        <is>
          <t>Reviewed</t>
        </is>
      </c>
    </row>
    <row r="104">
      <c r="A104" t="inlineStr">
        <is>
          <t>Product</t>
        </is>
      </c>
      <c r="B104" t="inlineStr">
        <is>
          <t>Patrick Mitchell</t>
        </is>
      </c>
      <c r="C104" s="2" t="inlineStr">
        <is>
          <t>11/16/2025</t>
        </is>
      </c>
      <c r="D104" t="n">
        <v>10917.74</v>
      </c>
      <c r="E104" t="n">
        <v>14178.28</v>
      </c>
      <c r="F104" t="n">
        <v>-3260.54</v>
      </c>
      <c r="G104" t="inlineStr">
        <is>
          <t>Marketing Spend</t>
        </is>
      </c>
      <c r="H104" t="inlineStr">
        <is>
          <t>Approved</t>
        </is>
      </c>
    </row>
    <row r="105">
      <c r="A105" t="inlineStr">
        <is>
          <t>Product</t>
        </is>
      </c>
      <c r="B105" t="inlineStr">
        <is>
          <t>Christina Phillips</t>
        </is>
      </c>
      <c r="C105" s="2" t="inlineStr">
        <is>
          <t>12/07/2025</t>
        </is>
      </c>
      <c r="D105" t="n">
        <v>12442.17</v>
      </c>
      <c r="E105" t="n">
        <v>13117.46</v>
      </c>
      <c r="F105" t="n">
        <v>-675.29</v>
      </c>
      <c r="G105" t="inlineStr">
        <is>
          <t>Software</t>
        </is>
      </c>
      <c r="H105" t="inlineStr">
        <is>
          <t>Approved</t>
        </is>
      </c>
    </row>
    <row r="106">
      <c r="A106" t="inlineStr">
        <is>
          <t>Product</t>
        </is>
      </c>
      <c r="B106" t="inlineStr">
        <is>
          <t>Michelle Phillips</t>
        </is>
      </c>
      <c r="C106" s="2" t="inlineStr">
        <is>
          <t>10-07-2025</t>
        </is>
      </c>
      <c r="D106" t="n">
        <v>32484.82</v>
      </c>
      <c r="E106" t="n">
        <v>41947.35</v>
      </c>
      <c r="F106" t="n">
        <v>-9462.530000000001</v>
      </c>
      <c r="G106" t="inlineStr">
        <is>
          <t>Consulting</t>
        </is>
      </c>
      <c r="H106" t="inlineStr">
        <is>
          <t>Approved</t>
        </is>
      </c>
    </row>
    <row r="107">
      <c r="A107" t="inlineStr">
        <is>
          <t>Product</t>
        </is>
      </c>
      <c r="B107" t="inlineStr">
        <is>
          <t>Sharon Baker</t>
        </is>
      </c>
      <c r="C107" s="2" t="inlineStr">
        <is>
          <t>10-14-2025</t>
        </is>
      </c>
      <c r="D107" t="n">
        <v>12311.18</v>
      </c>
      <c r="E107" t="n">
        <v>10521.32</v>
      </c>
      <c r="F107" t="n">
        <v>1789.86</v>
      </c>
      <c r="G107" t="inlineStr">
        <is>
          <t>Marketing Spend</t>
        </is>
      </c>
      <c r="H107" t="inlineStr">
        <is>
          <t>Pending</t>
        </is>
      </c>
    </row>
    <row r="108">
      <c r="A108" t="inlineStr">
        <is>
          <t>Product</t>
        </is>
      </c>
      <c r="B108" t="inlineStr">
        <is>
          <t>Christopher Hill</t>
        </is>
      </c>
      <c r="C108" s="2" t="inlineStr">
        <is>
          <t>2025-11-29</t>
        </is>
      </c>
      <c r="D108" t="n">
        <v>12365.81</v>
      </c>
      <c r="E108" t="n">
        <v>15553.67</v>
      </c>
      <c r="F108" t="n">
        <v>-3187.86</v>
      </c>
      <c r="G108" t="inlineStr">
        <is>
          <t>Marketing Spend</t>
        </is>
      </c>
      <c r="H108" t="inlineStr">
        <is>
          <t>Complete</t>
        </is>
      </c>
    </row>
    <row r="109">
      <c r="A109" t="inlineStr">
        <is>
          <t>Product</t>
        </is>
      </c>
      <c r="B109" t="inlineStr">
        <is>
          <t xml:space="preserve"> Thomas Campbell  </t>
        </is>
      </c>
      <c r="C109" s="2" t="inlineStr">
        <is>
          <t>October 28, 2025</t>
        </is>
      </c>
      <c r="D109" t="n">
        <v>41570.89</v>
      </c>
      <c r="E109" t="n">
        <v>51811.61</v>
      </c>
      <c r="F109" t="n">
        <v>-10240.72</v>
      </c>
      <c r="G109" t="inlineStr">
        <is>
          <t>Travel</t>
        </is>
      </c>
      <c r="H109" t="inlineStr">
        <is>
          <t>Flagged</t>
        </is>
      </c>
    </row>
    <row r="110">
      <c r="A110" t="inlineStr">
        <is>
          <t>Product</t>
        </is>
      </c>
      <c r="B110" t="inlineStr">
        <is>
          <t>Brian Anderson</t>
        </is>
      </c>
      <c r="C110" s="2" t="inlineStr">
        <is>
          <t>10/15/2025</t>
        </is>
      </c>
      <c r="D110" t="n">
        <v>4074.08</v>
      </c>
      <c r="E110" t="n">
        <v>5034.38</v>
      </c>
      <c r="F110" t="n">
        <v>-960.3</v>
      </c>
      <c r="G110" t="inlineStr">
        <is>
          <t>Travel</t>
        </is>
      </c>
      <c r="H110" t="inlineStr">
        <is>
          <t>Complete</t>
        </is>
      </c>
    </row>
    <row r="111">
      <c r="A111" t="inlineStr">
        <is>
          <t>Product</t>
        </is>
      </c>
      <c r="B111" t="inlineStr">
        <is>
          <t>Mark Collins</t>
        </is>
      </c>
      <c r="C111" s="2" t="inlineStr">
        <is>
          <t>11-12-2025</t>
        </is>
      </c>
      <c r="D111" t="n">
        <v>45113.76</v>
      </c>
      <c r="E111" t="n">
        <v>36697.25</v>
      </c>
      <c r="F111" t="n">
        <v>8416.51</v>
      </c>
      <c r="G111" t="inlineStr">
        <is>
          <t>Training</t>
        </is>
      </c>
      <c r="H111" t="inlineStr">
        <is>
          <t>Pending</t>
        </is>
      </c>
    </row>
    <row r="112">
      <c r="A112" t="inlineStr">
        <is>
          <t>Product</t>
        </is>
      </c>
      <c r="B112" t="inlineStr">
        <is>
          <t>Melissa Sanchez</t>
        </is>
      </c>
      <c r="C112" s="2" t="inlineStr">
        <is>
          <t>October 25, 2025</t>
        </is>
      </c>
      <c r="D112" t="n">
        <v>34621.43</v>
      </c>
      <c r="E112" t="n">
        <v>33277.71</v>
      </c>
      <c r="F112" t="n">
        <v>1343.72</v>
      </c>
      <c r="G112" t="inlineStr">
        <is>
          <t>Facilities</t>
        </is>
      </c>
      <c r="H112" t="inlineStr">
        <is>
          <t>Pending</t>
        </is>
      </c>
    </row>
    <row r="113">
      <c r="A113" t="inlineStr">
        <is>
          <t>Product</t>
        </is>
      </c>
      <c r="B113" t="inlineStr">
        <is>
          <t>Brian Turner</t>
        </is>
      </c>
      <c r="C113" s="2" t="inlineStr">
        <is>
          <t>21-Oct-2025</t>
        </is>
      </c>
      <c r="D113" t="n">
        <v>35823.63</v>
      </c>
      <c r="E113" t="n">
        <v>36220.23</v>
      </c>
      <c r="F113" t="n">
        <v>-396.6</v>
      </c>
      <c r="G113" t="inlineStr">
        <is>
          <t>Training</t>
        </is>
      </c>
      <c r="H113" t="inlineStr">
        <is>
          <t>Pending</t>
        </is>
      </c>
    </row>
    <row r="114">
      <c r="A114" t="inlineStr">
        <is>
          <t>Product</t>
        </is>
      </c>
      <c r="B114" t="inlineStr">
        <is>
          <t xml:space="preserve"> Elizabeth Anderson  </t>
        </is>
      </c>
      <c r="C114" s="2" t="inlineStr">
        <is>
          <t>11/15/2025</t>
        </is>
      </c>
      <c r="D114" s="2" t="inlineStr">
        <is>
          <t>14684.1</t>
        </is>
      </c>
      <c r="E114" t="n">
        <v>14162.71</v>
      </c>
      <c r="F114" t="n">
        <v>521.39</v>
      </c>
      <c r="G114" t="inlineStr">
        <is>
          <t>Facilities</t>
        </is>
      </c>
      <c r="H114" t="inlineStr">
        <is>
          <t>Complete</t>
        </is>
      </c>
    </row>
    <row r="115">
      <c r="A115" t="inlineStr">
        <is>
          <t>Product</t>
        </is>
      </c>
      <c r="B115" t="inlineStr">
        <is>
          <t>Jessica Phillips</t>
        </is>
      </c>
      <c r="C115" s="2" t="inlineStr">
        <is>
          <t>October 24, 2025</t>
        </is>
      </c>
      <c r="D115" t="n">
        <v>2888.52</v>
      </c>
      <c r="E115" t="n">
        <v>2768.67</v>
      </c>
      <c r="F115" t="n">
        <v>119.85</v>
      </c>
      <c r="G115" t="inlineStr">
        <is>
          <t>Equipment</t>
        </is>
      </c>
      <c r="H115" t="inlineStr">
        <is>
          <t>Flagged</t>
        </is>
      </c>
    </row>
    <row r="116">
      <c r="A116" t="inlineStr">
        <is>
          <t>Product</t>
        </is>
      </c>
      <c r="B116" t="inlineStr">
        <is>
          <t>Thomas Rodriguez</t>
        </is>
      </c>
      <c r="C116" s="2" t="inlineStr">
        <is>
          <t>2025-11-25</t>
        </is>
      </c>
      <c r="D116" s="2" t="inlineStr">
        <is>
          <t>46137.41</t>
        </is>
      </c>
      <c r="E116" t="n">
        <v>50731.4</v>
      </c>
      <c r="F116" t="n">
        <v>-4593.99</v>
      </c>
      <c r="G116" t="inlineStr">
        <is>
          <t>Marketing Spend</t>
        </is>
      </c>
      <c r="H116" t="inlineStr">
        <is>
          <t>Pending</t>
        </is>
      </c>
    </row>
    <row r="117">
      <c r="A117" t="inlineStr">
        <is>
          <t>Product</t>
        </is>
      </c>
      <c r="B117" t="inlineStr">
        <is>
          <t>Christopher Cooper</t>
        </is>
      </c>
      <c r="C117" s="2" t="inlineStr">
        <is>
          <t>12-06-2025</t>
        </is>
      </c>
      <c r="D117" s="2" t="inlineStr">
        <is>
          <t>46360.0</t>
        </is>
      </c>
      <c r="E117" t="n">
        <v>41656.56</v>
      </c>
      <c r="F117" t="n">
        <v>4703.44</v>
      </c>
      <c r="G117" t="inlineStr">
        <is>
          <t>Marketing Spend</t>
        </is>
      </c>
      <c r="H117" t="inlineStr">
        <is>
          <t>Flagged</t>
        </is>
      </c>
    </row>
    <row r="118">
      <c r="A118" t="inlineStr">
        <is>
          <t>Product</t>
        </is>
      </c>
      <c r="B118" t="inlineStr">
        <is>
          <t>Sharon Morris</t>
        </is>
      </c>
      <c r="C118" s="2" t="inlineStr">
        <is>
          <t>11/04/2025</t>
        </is>
      </c>
      <c r="D118" t="n">
        <v>15809.47</v>
      </c>
      <c r="E118" t="n">
        <v>13991.73</v>
      </c>
      <c r="F118" t="n">
        <v>1817.74</v>
      </c>
      <c r="G118" t="inlineStr">
        <is>
          <t>Consulting</t>
        </is>
      </c>
      <c r="H118" t="inlineStr">
        <is>
          <t>Reviewed</t>
        </is>
      </c>
    </row>
    <row r="119">
      <c r="A119" t="inlineStr">
        <is>
          <t>Product</t>
        </is>
      </c>
      <c r="B119" t="inlineStr">
        <is>
          <t>Melissa Parker</t>
        </is>
      </c>
      <c r="C119" s="2" t="inlineStr">
        <is>
          <t>10/12/2025</t>
        </is>
      </c>
      <c r="D119" t="n">
        <v>22825.49</v>
      </c>
      <c r="E119" t="n">
        <v>22245.53</v>
      </c>
      <c r="F119" t="n">
        <v>579.96</v>
      </c>
      <c r="G119" t="inlineStr">
        <is>
          <t>Subscriptions</t>
        </is>
      </c>
      <c r="H119" t="inlineStr">
        <is>
          <t>Approved</t>
        </is>
      </c>
    </row>
    <row r="120">
      <c r="A120" t="inlineStr">
        <is>
          <t>Product</t>
        </is>
      </c>
      <c r="B120" t="inlineStr">
        <is>
          <t>Nicole Howard</t>
        </is>
      </c>
      <c r="C120" s="2" t="inlineStr">
        <is>
          <t>11-22-2025</t>
        </is>
      </c>
      <c r="D120" t="n">
        <v>2573.25</v>
      </c>
      <c r="E120" s="2" t="inlineStr">
        <is>
          <t>2983.91</t>
        </is>
      </c>
      <c r="F120" t="n">
        <v>-410.66</v>
      </c>
      <c r="G120" t="inlineStr">
        <is>
          <t>Facilities</t>
        </is>
      </c>
      <c r="H120" t="inlineStr">
        <is>
          <t>Flagged</t>
        </is>
      </c>
    </row>
    <row r="121">
      <c r="A121" t="inlineStr">
        <is>
          <t>Product</t>
        </is>
      </c>
      <c r="B121" t="inlineStr">
        <is>
          <t>Rachel Cook</t>
        </is>
      </c>
      <c r="C121" s="2" t="inlineStr">
        <is>
          <t>12-31-2025</t>
        </is>
      </c>
      <c r="D121" s="2" t="inlineStr">
        <is>
          <t>42653.34</t>
        </is>
      </c>
      <c r="E121" t="n">
        <v>43436.93</v>
      </c>
      <c r="F121" t="n">
        <v>-783.59</v>
      </c>
      <c r="G121" t="inlineStr">
        <is>
          <t>Software</t>
        </is>
      </c>
      <c r="H121" t="inlineStr">
        <is>
          <t>Complete</t>
        </is>
      </c>
    </row>
    <row r="122">
      <c r="A122" t="inlineStr">
        <is>
          <t>Product</t>
        </is>
      </c>
      <c r="B122" t="inlineStr">
        <is>
          <t>Heather Murphy</t>
        </is>
      </c>
      <c r="C122" s="2" t="inlineStr">
        <is>
          <t>10-24-2025</t>
        </is>
      </c>
      <c r="D122" t="n">
        <v>8574.219999999999</v>
      </c>
      <c r="E122" t="n">
        <v>6803.07</v>
      </c>
      <c r="F122" t="n">
        <v>1771.15</v>
      </c>
      <c r="G122" t="inlineStr">
        <is>
          <t>Facilities</t>
        </is>
      </c>
      <c r="H122" t="inlineStr">
        <is>
          <t>Complete</t>
        </is>
      </c>
    </row>
    <row r="123">
      <c r="A123" t="inlineStr">
        <is>
          <t>Sales</t>
        </is>
      </c>
      <c r="B123" t="inlineStr">
        <is>
          <t>Michael Richardson</t>
        </is>
      </c>
      <c r="C123" s="2" t="inlineStr">
        <is>
          <t>11/05/2025</t>
        </is>
      </c>
      <c r="D123" t="n">
        <v>12132.36</v>
      </c>
      <c r="E123" t="n">
        <v>10030.38</v>
      </c>
      <c r="F123" t="n">
        <v>2101.98</v>
      </c>
      <c r="G123" t="inlineStr">
        <is>
          <t>Consulting</t>
        </is>
      </c>
      <c r="H123" t="inlineStr">
        <is>
          <t>Complete</t>
        </is>
      </c>
    </row>
    <row r="124">
      <c r="A124" t="inlineStr">
        <is>
          <t>Sales</t>
        </is>
      </c>
      <c r="B124" t="inlineStr">
        <is>
          <t>Patrick Roberts</t>
        </is>
      </c>
      <c r="C124" s="2" t="inlineStr">
        <is>
          <t>10-05-2025</t>
        </is>
      </c>
      <c r="D124" s="2" t="inlineStr">
        <is>
          <t>1915.37</t>
        </is>
      </c>
      <c r="E124" t="n">
        <v>1666.85</v>
      </c>
      <c r="F124" t="n">
        <v>248.52</v>
      </c>
      <c r="G124" t="inlineStr">
        <is>
          <t>Software</t>
        </is>
      </c>
      <c r="H124" t="inlineStr">
        <is>
          <t>Complete</t>
        </is>
      </c>
    </row>
    <row r="125">
      <c r="A125" t="inlineStr">
        <is>
          <t>Sales</t>
        </is>
      </c>
      <c r="B125" t="inlineStr">
        <is>
          <t>Rebecca Rodriguez</t>
        </is>
      </c>
      <c r="C125" s="2" t="inlineStr">
        <is>
          <t>11-15-2025</t>
        </is>
      </c>
      <c r="D125" t="n">
        <v>40755.98</v>
      </c>
      <c r="E125" t="n">
        <v>44099.98</v>
      </c>
      <c r="F125" t="n">
        <v>-3344</v>
      </c>
      <c r="G125" t="inlineStr">
        <is>
          <t>Software</t>
        </is>
      </c>
      <c r="H125" t="inlineStr">
        <is>
          <t>Flagged</t>
        </is>
      </c>
    </row>
    <row r="126">
      <c r="A126" t="inlineStr">
        <is>
          <t>Sales</t>
        </is>
      </c>
      <c r="B126" t="inlineStr">
        <is>
          <t>Rebecca Clark</t>
        </is>
      </c>
      <c r="C126" s="2" t="inlineStr">
        <is>
          <t>12/10/2025</t>
        </is>
      </c>
      <c r="D126" t="n">
        <v>14425.97</v>
      </c>
      <c r="E126" t="n">
        <v>15807.28</v>
      </c>
      <c r="F126" t="n">
        <v>-1381.31</v>
      </c>
      <c r="G126" t="inlineStr">
        <is>
          <t>Subscriptions</t>
        </is>
      </c>
      <c r="H126" t="inlineStr">
        <is>
          <t>Complete</t>
        </is>
      </c>
    </row>
    <row r="127">
      <c r="A127" t="inlineStr">
        <is>
          <t>Sales</t>
        </is>
      </c>
      <c r="B127" t="inlineStr">
        <is>
          <t xml:space="preserve">  Rebecca Hill</t>
        </is>
      </c>
      <c r="C127" s="2" t="inlineStr">
        <is>
          <t>2025-11-28</t>
        </is>
      </c>
      <c r="D127" t="n">
        <v>30695.01</v>
      </c>
      <c r="E127" t="n">
        <v>29180.45</v>
      </c>
      <c r="F127" t="n">
        <v>1514.56</v>
      </c>
      <c r="G127" t="inlineStr">
        <is>
          <t>Subscriptions</t>
        </is>
      </c>
      <c r="H127" t="inlineStr">
        <is>
          <t>Reviewed</t>
        </is>
      </c>
    </row>
    <row r="128">
      <c r="A128" t="inlineStr">
        <is>
          <t>Sales</t>
        </is>
      </c>
      <c r="B128" t="inlineStr">
        <is>
          <t>Angela Wright</t>
        </is>
      </c>
      <c r="C128" s="2" t="inlineStr">
        <is>
          <t>November 05, 2025</t>
        </is>
      </c>
      <c r="D128" t="n">
        <v>32276.44</v>
      </c>
      <c r="E128" t="n">
        <v>28010.47</v>
      </c>
      <c r="F128" t="n">
        <v>4265.97</v>
      </c>
      <c r="G128" t="inlineStr">
        <is>
          <t>Travel</t>
        </is>
      </c>
      <c r="H128" t="inlineStr">
        <is>
          <t>Complete</t>
        </is>
      </c>
    </row>
    <row r="129">
      <c r="A129" t="inlineStr">
        <is>
          <t>Sales</t>
        </is>
      </c>
      <c r="B129" t="inlineStr">
        <is>
          <t>David Morgan</t>
        </is>
      </c>
      <c r="C129" s="2" t="inlineStr">
        <is>
          <t>09-Dec-2025</t>
        </is>
      </c>
      <c r="D129" t="n">
        <v>40211.31</v>
      </c>
      <c r="E129" t="n">
        <v>51589.02</v>
      </c>
      <c r="F129" t="n">
        <v>-11377.71</v>
      </c>
      <c r="G129" t="inlineStr">
        <is>
          <t>Equipment</t>
        </is>
      </c>
      <c r="H129" t="inlineStr">
        <is>
          <t>Pending</t>
        </is>
      </c>
    </row>
    <row r="130">
      <c r="A130" t="inlineStr">
        <is>
          <t>Sales</t>
        </is>
      </c>
      <c r="B130" t="inlineStr">
        <is>
          <t>Christopher Robinson</t>
        </is>
      </c>
      <c r="C130" s="2" t="inlineStr">
        <is>
          <t>12/16/2025</t>
        </is>
      </c>
      <c r="D130" t="n">
        <v>3728.14</v>
      </c>
      <c r="E130" t="n">
        <v>4563.25</v>
      </c>
      <c r="F130" t="n">
        <v>-835.11</v>
      </c>
      <c r="G130" t="inlineStr">
        <is>
          <t>Facilities</t>
        </is>
      </c>
      <c r="H130" t="inlineStr">
        <is>
          <t>Approved</t>
        </is>
      </c>
    </row>
    <row r="131">
      <c r="A131" t="inlineStr">
        <is>
          <t>Sales</t>
        </is>
      </c>
      <c r="B131" t="inlineStr">
        <is>
          <t xml:space="preserve">  Rebecca Sanchez</t>
        </is>
      </c>
      <c r="C131" s="2" t="inlineStr">
        <is>
          <t>2025-10-25</t>
        </is>
      </c>
      <c r="D131" t="n">
        <v>12599.32</v>
      </c>
      <c r="E131" t="n">
        <v>14361.11</v>
      </c>
      <c r="F131" t="n">
        <v>-1761.79</v>
      </c>
      <c r="G131" t="inlineStr">
        <is>
          <t>Software</t>
        </is>
      </c>
      <c r="H131" t="inlineStr">
        <is>
          <t>Complete</t>
        </is>
      </c>
    </row>
    <row r="132">
      <c r="A132" t="inlineStr">
        <is>
          <t>Sales</t>
        </is>
      </c>
      <c r="B132" t="inlineStr">
        <is>
          <t>Elizabeth Thompson</t>
        </is>
      </c>
      <c r="C132" s="2" t="inlineStr">
        <is>
          <t>December 09, 2025</t>
        </is>
      </c>
      <c r="D132" t="n">
        <v>2974.07</v>
      </c>
      <c r="E132" t="n">
        <v>3787.64</v>
      </c>
      <c r="F132" t="n">
        <v>-813.5700000000001</v>
      </c>
      <c r="G132" t="inlineStr">
        <is>
          <t>Equipment</t>
        </is>
      </c>
      <c r="H132" t="inlineStr">
        <is>
          <t>Approved</t>
        </is>
      </c>
    </row>
    <row r="133">
      <c r="A133" t="inlineStr">
        <is>
          <t>Sales</t>
        </is>
      </c>
      <c r="B133" t="inlineStr">
        <is>
          <t>Ashley Wright</t>
        </is>
      </c>
      <c r="C133" s="2" t="inlineStr">
        <is>
          <t>October 23, 2025</t>
        </is>
      </c>
      <c r="D133" t="n">
        <v>26719.63</v>
      </c>
      <c r="E133" t="n">
        <v>22340.09</v>
      </c>
      <c r="F133" t="n">
        <v>4379.54</v>
      </c>
      <c r="G133" t="inlineStr">
        <is>
          <t>Facilities</t>
        </is>
      </c>
      <c r="H133" t="inlineStr">
        <is>
          <t>Flagged</t>
        </is>
      </c>
    </row>
    <row r="134">
      <c r="A134" t="inlineStr">
        <is>
          <t>Sales</t>
        </is>
      </c>
      <c r="B134" t="inlineStr">
        <is>
          <t>Eric Scott</t>
        </is>
      </c>
      <c r="C134" s="2" t="inlineStr">
        <is>
          <t>December 05, 2025</t>
        </is>
      </c>
      <c r="D134" t="n">
        <v>34007.05</v>
      </c>
      <c r="E134" t="n">
        <v>33276.57</v>
      </c>
      <c r="F134" t="n">
        <v>730.48</v>
      </c>
      <c r="G134" t="inlineStr">
        <is>
          <t>Marketing Spend</t>
        </is>
      </c>
      <c r="H134" t="inlineStr">
        <is>
          <t>Flagged</t>
        </is>
      </c>
    </row>
    <row r="135">
      <c r="A135" t="inlineStr">
        <is>
          <t>Sales</t>
        </is>
      </c>
      <c r="B135" t="inlineStr">
        <is>
          <t>Jonathan Phillips</t>
        </is>
      </c>
      <c r="C135" s="2" t="inlineStr">
        <is>
          <t>2025-10-02</t>
        </is>
      </c>
      <c r="D135" t="n">
        <v>34816.08</v>
      </c>
      <c r="E135" s="2" t="inlineStr">
        <is>
          <t>33962.68</t>
        </is>
      </c>
      <c r="F135" t="n">
        <v>853.4</v>
      </c>
      <c r="G135" t="inlineStr">
        <is>
          <t>Travel</t>
        </is>
      </c>
      <c r="H135" t="inlineStr">
        <is>
          <t>Approved</t>
        </is>
      </c>
    </row>
    <row r="136">
      <c r="A136" t="inlineStr">
        <is>
          <t>Sales</t>
        </is>
      </c>
      <c r="B136" t="inlineStr">
        <is>
          <t xml:space="preserve">Andrew Cook   </t>
        </is>
      </c>
      <c r="C136" s="2" t="inlineStr">
        <is>
          <t>December 27, 2025</t>
        </is>
      </c>
      <c r="D136" s="2" t="inlineStr">
        <is>
          <t>44244.13</t>
        </is>
      </c>
      <c r="E136" t="n">
        <v>57454.73</v>
      </c>
      <c r="F136" t="n">
        <v>-13210.6</v>
      </c>
      <c r="G136" t="inlineStr">
        <is>
          <t>Consulting</t>
        </is>
      </c>
      <c r="H136" t="inlineStr">
        <is>
          <t>Flagged</t>
        </is>
      </c>
    </row>
    <row r="137">
      <c r="A137" t="inlineStr">
        <is>
          <t>Sales</t>
        </is>
      </c>
      <c r="B137" t="inlineStr">
        <is>
          <t>Pamela Cook</t>
        </is>
      </c>
      <c r="C137" s="2" t="inlineStr">
        <is>
          <t>December 30, 2025</t>
        </is>
      </c>
      <c r="D137" t="n">
        <v>41947.51</v>
      </c>
      <c r="E137" t="n">
        <v>41696.8</v>
      </c>
      <c r="F137" t="n">
        <v>250.71</v>
      </c>
      <c r="G137" t="inlineStr">
        <is>
          <t>Training</t>
        </is>
      </c>
      <c r="H137" t="inlineStr">
        <is>
          <t>Approved</t>
        </is>
      </c>
    </row>
    <row r="139">
      <c r="A139" t="inlineStr">
        <is>
          <t>Total</t>
        </is>
      </c>
      <c r="D139">
        <f>SUM(D2:D137)</f>
        <v/>
      </c>
      <c r="E139">
        <f>SUM(E2:E137)</f>
        <v/>
      </c>
      <c r="F139">
        <f>SUM(F2:F137)</f>
        <v/>
      </c>
    </row>
    <row r="142">
      <c r="A142" t="inlineStr">
        <is>
          <t>Error Examples (for Health Check demo)</t>
        </is>
      </c>
    </row>
    <row r="143">
      <c r="A143" t="inlineStr">
        <is>
          <t>DIV/0 error:</t>
        </is>
      </c>
      <c r="B143">
        <f>1/0</f>
        <v/>
      </c>
    </row>
    <row r="144">
      <c r="A144" t="inlineStr">
        <is>
          <t>N/A error:</t>
        </is>
      </c>
      <c r="B144">
        <f>VLOOKUP("NONEXISTENT",A1:B5,2,FALSE)</f>
        <v/>
      </c>
    </row>
    <row r="146">
      <c r="A146" t="inlineStr">
        <is>
          <t>External Link (for Link Finder demo):</t>
        </is>
      </c>
      <c r="B146">
        <f>'[OtherWorkbook.xlsx]Sheet1'!A1</f>
        <v/>
      </c>
    </row>
  </sheetData>
  <mergeCells count="3">
    <mergeCell ref="A2:A7"/>
    <mergeCell ref="A17:A27"/>
    <mergeCell ref="A8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Notes</t>
        </is>
      </c>
    </row>
    <row r="2">
      <c r="A2" t="inlineStr">
        <is>
          <t>This sheet contains historical notes from Q3 review.</t>
        </is>
      </c>
    </row>
    <row r="3">
      <c r="A3" t="inlineStr">
        <is>
          <t>Q3 variance was driven by one-time consulting spend in Marketing.</t>
        </is>
      </c>
    </row>
    <row r="4">
      <c r="A4" t="inlineStr">
        <is>
          <t>CFO approved the overage on 2025-09-15.</t>
        </is>
      </c>
    </row>
    <row r="5">
      <c r="A5" t="inlineStr">
        <is>
          <t>No action needed for Q4 unless the pattern repeats.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Q2 Total</t>
        </is>
      </c>
      <c r="C1" t="inlineStr">
        <is>
          <t>Q3 Total</t>
        </is>
      </c>
    </row>
    <row r="2">
      <c r="A2" t="inlineStr">
        <is>
          <t>Engineering</t>
        </is>
      </c>
      <c r="B2" t="n">
        <v>245000</v>
      </c>
      <c r="C2" t="n">
        <v>267500</v>
      </c>
    </row>
    <row r="3">
      <c r="A3" t="inlineStr">
        <is>
          <t>Sales</t>
        </is>
      </c>
      <c r="B3" t="n">
        <v>189000</v>
      </c>
      <c r="C3" t="n">
        <v>201000</v>
      </c>
    </row>
    <row r="4">
      <c r="A4" t="inlineStr">
        <is>
          <t>Marketing</t>
        </is>
      </c>
      <c r="B4" t="n">
        <v>312000</v>
      </c>
      <c r="C4" t="n">
        <v>358000</v>
      </c>
    </row>
    <row r="5">
      <c r="A5" t="inlineStr">
        <is>
          <t>Finance</t>
        </is>
      </c>
      <c r="B5" t="n">
        <v>145000</v>
      </c>
      <c r="C5" t="n">
        <v>148500</v>
      </c>
    </row>
    <row r="6">
      <c r="A6" t="inlineStr">
        <is>
          <t>Operations</t>
        </is>
      </c>
      <c r="B6" t="n">
        <v>210000</v>
      </c>
      <c r="C6" t="n">
        <v>225000</v>
      </c>
    </row>
    <row r="7">
      <c r="A7" t="inlineStr">
        <is>
          <t>Customer Success</t>
        </is>
      </c>
      <c r="B7" t="n">
        <v>167000</v>
      </c>
      <c r="C7" t="n">
        <v>172000</v>
      </c>
    </row>
    <row r="8">
      <c r="A8" t="inlineStr">
        <is>
          <t>Product</t>
        </is>
      </c>
      <c r="B8" t="n">
        <v>198000</v>
      </c>
      <c r="C8" t="n">
        <v>215000</v>
      </c>
    </row>
    <row r="9">
      <c r="A9" t="inlineStr">
        <is>
          <t>HR</t>
        </is>
      </c>
      <c r="B9" t="n">
        <v>125000</v>
      </c>
      <c r="C9" t="n">
        <v>131000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 Spend</t>
        </is>
      </c>
      <c r="C1" t="inlineStr">
        <is>
          <t>Total Budget</t>
        </is>
      </c>
      <c r="D1" t="inlineStr">
        <is>
          <t>Variance</t>
        </is>
      </c>
      <c r="E1" t="inlineStr">
        <is>
          <t>% of Budget</t>
        </is>
      </c>
      <c r="F1" t="inlineStr">
        <is>
          <t>Status</t>
        </is>
      </c>
    </row>
    <row r="2">
      <c r="A2" t="inlineStr">
        <is>
          <t>Engineering</t>
        </is>
      </c>
      <c r="B2" t="n">
        <v>156780.5</v>
      </c>
      <c r="C2" t="n">
        <v>162000</v>
      </c>
      <c r="D2" t="n">
        <v>-5219.5</v>
      </c>
      <c r="E2" t="inlineStr">
        <is>
          <t>96.8%</t>
        </is>
      </c>
      <c r="F2" t="inlineStr">
        <is>
          <t>On Track</t>
        </is>
      </c>
    </row>
    <row r="3">
      <c r="A3" t="inlineStr">
        <is>
          <t>Sales</t>
        </is>
      </c>
      <c r="B3" t="n">
        <v>98450.25</v>
      </c>
      <c r="C3" t="n">
        <v>95000</v>
      </c>
      <c r="D3" t="n">
        <v>3450.25</v>
      </c>
      <c r="E3" t="inlineStr">
        <is>
          <t>103.6%</t>
        </is>
      </c>
      <c r="F3" t="inlineStr">
        <is>
          <t>Over Budget</t>
        </is>
      </c>
    </row>
    <row r="4">
      <c r="A4" t="inlineStr">
        <is>
          <t>Marketing</t>
        </is>
      </c>
      <c r="B4" t="n">
        <v>215300</v>
      </c>
      <c r="C4" t="n">
        <v>200000</v>
      </c>
      <c r="D4" t="n">
        <v>15300</v>
      </c>
      <c r="E4" t="inlineStr">
        <is>
          <t>107.7%</t>
        </is>
      </c>
      <c r="F4" t="inlineStr">
        <is>
          <t>Over Budget</t>
        </is>
      </c>
    </row>
    <row r="5">
      <c r="A5" t="inlineStr">
        <is>
          <t>Finance</t>
        </is>
      </c>
      <c r="B5" t="n">
        <v>67890.75</v>
      </c>
      <c r="C5" t="n">
        <v>72000</v>
      </c>
      <c r="D5" t="n">
        <v>-4109.25</v>
      </c>
      <c r="E5" t="inlineStr">
        <is>
          <t>94.3%</t>
        </is>
      </c>
      <c r="F5" t="inlineStr">
        <is>
          <t>On Track</t>
        </is>
      </c>
    </row>
    <row r="6">
      <c r="A6" t="inlineStr">
        <is>
          <t>Operations</t>
        </is>
      </c>
      <c r="B6" t="n">
        <v>134560</v>
      </c>
      <c r="C6" t="n">
        <v>140000</v>
      </c>
      <c r="D6" t="n">
        <v>-5440</v>
      </c>
      <c r="E6" t="inlineStr">
        <is>
          <t>96.1%</t>
        </is>
      </c>
      <c r="F6" t="inlineStr">
        <is>
          <t>On Track</t>
        </is>
      </c>
    </row>
    <row r="7">
      <c r="A7" t="inlineStr">
        <is>
          <t>Customer Success</t>
        </is>
      </c>
      <c r="B7" t="n">
        <v>89200.3</v>
      </c>
      <c r="C7" t="n">
        <v>88000</v>
      </c>
      <c r="D7" t="n">
        <v>1200.3</v>
      </c>
      <c r="E7" t="inlineStr">
        <is>
          <t>101.4%</t>
        </is>
      </c>
      <c r="F7" t="inlineStr">
        <is>
          <t>Monitor</t>
        </is>
      </c>
    </row>
    <row r="8">
      <c r="A8" t="inlineStr">
        <is>
          <t>Product</t>
        </is>
      </c>
      <c r="B8" t="n">
        <v>178900</v>
      </c>
      <c r="C8" t="n">
        <v>175000</v>
      </c>
      <c r="D8" t="n">
        <v>3900</v>
      </c>
      <c r="E8" t="inlineStr">
        <is>
          <t>102.2%</t>
        </is>
      </c>
      <c r="F8" t="inlineStr">
        <is>
          <t>Monitor</t>
        </is>
      </c>
    </row>
    <row r="9">
      <c r="A9" t="inlineStr">
        <is>
          <t>HR</t>
        </is>
      </c>
      <c r="B9" t="n">
        <v>45600.8</v>
      </c>
      <c r="C9" t="n">
        <v>50000</v>
      </c>
      <c r="D9" t="n">
        <v>-4399.2</v>
      </c>
      <c r="E9" t="inlineStr">
        <is>
          <t>91.2%</t>
        </is>
      </c>
      <c r="F9" t="inlineStr">
        <is>
          <t>On Track</t>
        </is>
      </c>
    </row>
    <row r="10">
      <c r="A10" t="inlineStr">
        <is>
          <t>Total</t>
        </is>
      </c>
      <c r="B10">
        <f>SUM(B2:B9)</f>
        <v/>
      </c>
      <c r="C10">
        <f>SUM(C2:C9)</f>
        <v/>
      </c>
      <c r="D10">
        <f>SUM(D2:D9)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2026-03-07T02:51:35Z</dcterms:created>
  <dcterms:modified xsi:type="dcterms:W3CDTF">2026-03-07T02:51:35Z</dcterms:modified>
</cp:coreProperties>
</file>