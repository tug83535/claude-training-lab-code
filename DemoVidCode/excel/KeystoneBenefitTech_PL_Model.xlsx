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1" activeTab="1" autoFilterDateGrouping="1"/>
  </bookViews>
  <sheets>
    <sheet name="CrossfireHiddenWorksheet" sheetId="1" state="hidden" r:id="rId1"/>
    <sheet name="Assumptions" sheetId="2" state="visible" r:id="rId2"/>
    <sheet name="Data Dictionary" sheetId="3" state="visible" r:id="rId3"/>
    <sheet name="AWS Allocation" sheetId="4" state="visible" r:id="rId4"/>
    <sheet name="Report--&gt;" sheetId="5" state="visible" r:id="rId5"/>
    <sheet name="P&amp;L - Monthly Trend" sheetId="6" state="visible" r:id="rId6"/>
    <sheet name="Product Line Summary" sheetId="7" state="visible" r:id="rId7"/>
    <sheet name="Functional P&amp;L - Monthly Trend" sheetId="8" state="visible" r:id="rId8"/>
    <sheet name="Functional P&amp;L Summary - Jan 25" sheetId="9" state="visible" r:id="rId9"/>
    <sheet name="Functional P&amp;L Summary - Feb 25" sheetId="10" state="visible" r:id="rId10"/>
    <sheet name="Functional P&amp;L Summary - Mar 25" sheetId="11" state="visible" r:id="rId11"/>
    <sheet name="US January 2025 Natural P&amp;L" sheetId="12" state="visible" r:id="rId12"/>
    <sheet name="Charts &amp; Visuals" sheetId="13" state="visible" r:id="rId13"/>
    <sheet name="Checks" sheetId="14" state="visible" r:id="rId14"/>
  </sheets>
  <definedNames>
    <definedName name="AWS_Shared_Pct">Assumptions!$B$12</definedName>
    <definedName name="Departments_Table">'Data Dictionary'!$A$14:$C$20</definedName>
    <definedName name="InsureSight_Split">Assumptions!$B$6</definedName>
    <definedName name="Products_Table">'Data Dictionary'!$A$6:$D$9</definedName>
    <definedName name="Revenue_Share_Pct_iGO">Assumptions!$B$8</definedName>
    <definedName name="Vendors_Table">'Data Dictionary'!$A$40:$D$54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\$#,##0.00_);[Red]&quot;($&quot;#,##0.00\)"/>
    <numFmt numFmtId="165" formatCode="yyyy\-mm\-dd\ h:mm:ss"/>
    <numFmt numFmtId="166" formatCode="0.0%"/>
    <numFmt numFmtId="167" formatCode="mm/dd/yyyy"/>
    <numFmt numFmtId="168" formatCode="$#,##0.0&quot;K&quot;"/>
  </numFmts>
  <fonts count="37"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4E79"/>
      <sz val="12"/>
    </font>
    <font>
      <name val="Calibri"/>
      <family val="2"/>
      <b val="1"/>
      <color rgb="FF2F75B5"/>
      <sz val="11"/>
    </font>
    <font>
      <name val="Calibri"/>
      <family val="2"/>
      <b val="1"/>
      <sz val="11"/>
    </font>
    <font>
      <name val="Calibri"/>
      <family val="2"/>
      <b val="1"/>
      <color rgb="FF1F4E79"/>
      <sz val="24"/>
    </font>
    <font>
      <name val="Calibri"/>
      <family val="2"/>
      <color rgb="FF2F75B5"/>
      <sz val="14"/>
    </font>
    <font>
      <name val="Calibri"/>
      <family val="2"/>
      <color rgb="FF0563C1"/>
      <sz val="11"/>
      <u val="single"/>
    </font>
    <font>
      <name val="Calibri"/>
      <family val="2"/>
      <b val="1"/>
      <color rgb="FF1F4E79"/>
      <sz val="11"/>
    </font>
    <font>
      <name val="Arial"/>
      <b val="1"/>
      <color rgb="000B4779"/>
      <sz val="16"/>
    </font>
    <font>
      <name val="Arial"/>
      <b val="1"/>
      <color rgb="000B4779"/>
      <sz val="12"/>
    </font>
    <font>
      <name val="Arial"/>
      <i val="1"/>
      <color rgb="004B9BCB"/>
      <sz val="9"/>
    </font>
    <font>
      <name val="Arial"/>
      <b val="1"/>
      <color rgb="00F9F9F9"/>
      <sz val="11"/>
    </font>
    <font>
      <name val="Arial"/>
      <b val="1"/>
      <color rgb="004B9BCB"/>
      <sz val="11"/>
    </font>
    <font>
      <name val="Arial"/>
      <b val="1"/>
      <color rgb="00F9F9F9"/>
      <sz val="10"/>
    </font>
    <font>
      <name val="Arial"/>
      <color rgb="00161616"/>
      <sz val="10"/>
    </font>
    <font>
      <name val="Arial"/>
      <b val="1"/>
      <color rgb="00F9F9F9"/>
      <sz val="22"/>
    </font>
    <font>
      <name val="Arial"/>
      <b val="1"/>
      <color rgb="00F9F9F9"/>
      <sz val="13"/>
    </font>
    <font>
      <name val="Arial"/>
      <b val="1"/>
      <color rgb="000B4779"/>
      <sz val="13"/>
    </font>
    <font>
      <name val="Arial"/>
      <b val="1"/>
      <color rgb="00F9F9F9"/>
      <sz val="9"/>
    </font>
    <font>
      <name val="Arial"/>
      <b val="1"/>
      <color rgb="00F9F9F9"/>
      <sz val="20"/>
    </font>
    <font>
      <name val="Arial"/>
      <b val="1"/>
      <color rgb="00161616"/>
      <sz val="9"/>
    </font>
    <font>
      <name val="Arial"/>
      <b val="1"/>
      <color rgb="00161616"/>
      <sz val="20"/>
    </font>
    <font>
      <name val="Arial"/>
      <color rgb="004B9BCB"/>
      <sz val="10"/>
      <u val="single"/>
    </font>
    <font>
      <name val="Arial"/>
      <b val="1"/>
      <color rgb="00F9F9F9"/>
      <sz val="14"/>
    </font>
    <font>
      <name val="Arial"/>
      <b val="1"/>
      <color rgb="00161616"/>
      <sz val="10"/>
    </font>
    <font/>
    <font>
      <name val="Arial"/>
      <b val="1"/>
      <color rgb="004B9BCB"/>
      <sz val="13"/>
    </font>
    <font>
      <name val="Arial"/>
      <b val="1"/>
      <color rgb="000B4779"/>
      <sz val="11"/>
    </font>
    <font>
      <name val="Arial"/>
      <b val="1"/>
      <color rgb="00112E51"/>
      <sz val="14"/>
    </font>
    <font>
      <name val="Arial"/>
      <b val="1"/>
      <color rgb="00999999"/>
      <sz val="8"/>
    </font>
    <font>
      <name val="Arial"/>
      <color rgb="00161616"/>
      <sz val="9"/>
    </font>
    <font>
      <name val="Arial"/>
      <b val="1"/>
      <color rgb="00F9F9F9"/>
      <sz val="18"/>
    </font>
    <font>
      <name val="Arial"/>
      <i val="1"/>
      <color rgb="004B9BCB"/>
      <sz val="8"/>
    </font>
    <font>
      <name val="Arial"/>
      <b val="1"/>
      <color rgb="00F9F9F9"/>
      <sz val="12"/>
    </font>
    <font>
      <name val="Arial"/>
      <b val="1"/>
      <color rgb="00112E51"/>
      <sz val="13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DF2F9"/>
        <bgColor rgb="FFF2F2F2"/>
      </patternFill>
    </fill>
    <fill>
      <patternFill patternType="solid">
        <fgColor rgb="FFF2F2F2"/>
        <bgColor rgb="FFEDF2F9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D9D9D9"/>
      </patternFill>
    </fill>
    <fill>
      <patternFill patternType="solid">
        <fgColor rgb="000B4779"/>
        <bgColor rgb="000B4779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112E51"/>
        <bgColor rgb="00112E51"/>
      </patternFill>
    </fill>
    <fill>
      <patternFill patternType="solid">
        <fgColor rgb="00F0F0EE"/>
        <bgColor rgb="00F0F0EE"/>
      </patternFill>
    </fill>
    <fill>
      <patternFill patternType="solid">
        <fgColor rgb="002BCCD3"/>
        <bgColor rgb="002BCCD3"/>
      </patternFill>
    </fill>
    <fill>
      <patternFill patternType="solid">
        <fgColor rgb="00BFF18C"/>
        <bgColor rgb="00BFF18C"/>
      </patternFill>
    </fill>
    <fill>
      <patternFill patternType="solid">
        <fgColor rgb="00E8F4FD"/>
        <bgColor rgb="00E8F4FD"/>
      </patternFill>
    </fill>
  </fills>
  <borders count="2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auto="1"/>
      </top>
      <bottom/>
      <diagonal/>
    </border>
    <border>
      <left style="thin">
        <color rgb="004B9BCB"/>
      </left>
      <right style="thin">
        <color rgb="004B9BCB"/>
      </right>
      <top style="thin">
        <color rgb="004B9BCB"/>
      </top>
      <bottom style="thin">
        <color rgb="004B9BCB"/>
      </bottom>
    </border>
    <border/>
    <border>
      <bottom style="medium">
        <color rgb="004B9BCB"/>
      </bottom>
    </border>
    <border>
      <bottom style="hair">
        <color rgb="004B9BCB"/>
      </bottom>
    </border>
    <border>
      <left style="medium">
        <color rgb="000B4779"/>
      </left>
      <right style="medium">
        <color rgb="000B4779"/>
      </right>
      <top style="medium">
        <color rgb="000B4779"/>
      </top>
      <bottom style="medium">
        <color rgb="000B4779"/>
      </bottom>
    </border>
    <border>
      <right/>
      <bottom/>
    </border>
    <border>
      <left/>
      <right/>
      <top style="medium">
        <color rgb="000B4779"/>
      </top>
      <bottom/>
      <diagonal/>
    </border>
    <border>
      <left/>
      <right style="medium">
        <color rgb="000B4779"/>
      </right>
      <top style="medium">
        <color rgb="000B4779"/>
      </top>
      <bottom/>
      <diagonal/>
    </border>
    <border>
      <left/>
      <right style="medium">
        <color rgb="000B4779"/>
      </right>
      <top style="medium">
        <color rgb="000B4779"/>
      </top>
      <bottom style="medium">
        <color rgb="000B4779"/>
      </bottom>
      <diagonal/>
    </border>
    <border>
      <left/>
      <right/>
      <top/>
      <bottom style="medium">
        <color rgb="004B9BCB"/>
      </bottom>
      <diagonal/>
    </border>
    <border>
      <left/>
      <right style="thin">
        <color rgb="004B9BCB"/>
      </right>
      <top/>
      <bottom style="thin">
        <color rgb="004B9BCB"/>
      </bottom>
      <diagonal/>
    </border>
    <border>
      <left/>
      <right style="thin">
        <color rgb="004B9BCB"/>
      </right>
      <top/>
      <bottom/>
      <diagonal/>
    </border>
    <border>
      <left/>
      <right/>
      <top/>
      <bottom style="thin">
        <color rgb="004B9BCB"/>
      </bottom>
      <diagonal/>
    </border>
    <border>
      <bottom style="medium">
        <color rgb="000B4779"/>
      </bottom>
    </border>
    <border>
      <right/>
      <bottom style="medium">
        <color rgb="004B9BCB"/>
      </bottom>
    </border>
    <border>
      <left style="medium">
        <color rgb="000B4779"/>
      </left>
    </border>
    <border>
      <left style="medium">
        <color rgb="00112E51"/>
      </left>
    </border>
    <border>
      <left style="medium">
        <color rgb="000B4779"/>
      </left>
      <right/>
      <bottom/>
    </border>
    <border>
      <left style="medium">
        <color rgb="00112E51"/>
      </left>
      <right/>
      <bottom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164" fontId="0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0" fillId="3" borderId="0" applyAlignment="1" pivotButton="0" quotePrefix="0" xfId="0">
      <alignment horizontal="left" vertical="top" wrapText="1"/>
    </xf>
    <xf numFmtId="0" fontId="4" fillId="4" borderId="2" pivotButton="0" quotePrefix="0" xfId="0"/>
    <xf numFmtId="166" fontId="4" fillId="4" borderId="2" pivotButton="0" quotePrefix="0" xfId="0"/>
    <xf numFmtId="167" fontId="0" fillId="5" borderId="0" pivotButton="0" quotePrefix="0" xfId="0"/>
    <xf numFmtId="0" fontId="7" fillId="0" borderId="0" pivotButton="0" quotePrefix="0" xfId="0"/>
    <xf numFmtId="0" fontId="2" fillId="6" borderId="0" pivotButton="0" quotePrefix="0" xfId="0"/>
    <xf numFmtId="0" fontId="0" fillId="6" borderId="0" pivotButton="0" quotePrefix="0" xfId="0"/>
    <xf numFmtId="164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8" fillId="6" borderId="0" pivotButton="0" quotePrefix="0" xfId="0"/>
    <xf numFmtId="164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164" fontId="4" fillId="4" borderId="2" pivotButton="0" quotePrefix="0" xfId="0"/>
    <xf numFmtId="0" fontId="0" fillId="0" borderId="0" applyAlignment="1" pivotButton="0" quotePrefix="0" xfId="0">
      <alignment indent="2"/>
    </xf>
    <xf numFmtId="0" fontId="3" fillId="6" borderId="0" pivotButton="0" quotePrefix="0" xfId="0"/>
    <xf numFmtId="0" fontId="0" fillId="0" borderId="0" applyAlignment="1" pivotButton="0" quotePrefix="0" xfId="0">
      <alignment indent="1"/>
    </xf>
    <xf numFmtId="0" fontId="12" fillId="7" borderId="3" applyAlignment="1" pivotButton="0" quotePrefix="0" xfId="0">
      <alignment horizontal="left" vertical="center"/>
    </xf>
    <xf numFmtId="0" fontId="12" fillId="7" borderId="3" applyAlignment="1" pivotButton="0" quotePrefix="0" xfId="0">
      <alignment horizontal="center" vertical="center"/>
    </xf>
    <xf numFmtId="0" fontId="15" fillId="9" borderId="6" applyAlignment="1" pivotButton="0" quotePrefix="0" xfId="0">
      <alignment horizontal="left" vertical="center"/>
    </xf>
    <xf numFmtId="168" fontId="15" fillId="9" borderId="6" applyAlignment="1" pivotButton="0" quotePrefix="0" xfId="0">
      <alignment horizontal="right" vertical="center"/>
    </xf>
    <xf numFmtId="0" fontId="15" fillId="11" borderId="6" applyAlignment="1" pivotButton="0" quotePrefix="0" xfId="0">
      <alignment horizontal="left" vertical="center"/>
    </xf>
    <xf numFmtId="168" fontId="15" fillId="11" borderId="6" applyAlignment="1" pivotButton="0" quotePrefix="0" xfId="0">
      <alignment horizontal="right" vertical="center"/>
    </xf>
    <xf numFmtId="165" fontId="15" fillId="11" borderId="6" applyAlignment="1" pivotButton="0" quotePrefix="0" xfId="0">
      <alignment horizontal="left" vertical="center"/>
    </xf>
    <xf numFmtId="165" fontId="15" fillId="9" borderId="6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3" fillId="9" borderId="5" applyAlignment="1" pivotButton="0" quotePrefix="0" xfId="0">
      <alignment horizontal="left" vertical="center"/>
    </xf>
    <xf numFmtId="0" fontId="15" fillId="9" borderId="6" applyAlignment="1" pivotButton="0" quotePrefix="0" xfId="0">
      <alignment horizontal="right" vertical="center"/>
    </xf>
    <xf numFmtId="166" fontId="15" fillId="11" borderId="6" applyAlignment="1" pivotButton="0" quotePrefix="0" xfId="0">
      <alignment horizontal="right" vertical="center"/>
    </xf>
    <xf numFmtId="0" fontId="15" fillId="11" borderId="6" applyAlignment="1" pivotButton="0" quotePrefix="0" xfId="0">
      <alignment horizontal="right" vertical="center"/>
    </xf>
    <xf numFmtId="166" fontId="15" fillId="9" borderId="6" applyAlignment="1" pivotButton="0" quotePrefix="0" xfId="0">
      <alignment horizontal="right" vertical="center"/>
    </xf>
    <xf numFmtId="164" fontId="15" fillId="11" borderId="6" applyAlignment="1" pivotButton="0" quotePrefix="0" xfId="0">
      <alignment horizontal="right" vertical="center"/>
    </xf>
    <xf numFmtId="0" fontId="0" fillId="8" borderId="4" pivotButton="0" quotePrefix="0" xfId="0"/>
    <xf numFmtId="0" fontId="15" fillId="9" borderId="6" applyAlignment="1" pivotButton="0" quotePrefix="0" xfId="0">
      <alignment horizontal="left" vertical="center" wrapText="1"/>
    </xf>
    <xf numFmtId="0" fontId="15" fillId="11" borderId="6" applyAlignment="1" pivotButton="0" quotePrefix="0" xfId="0">
      <alignment horizontal="left" vertical="center" wrapText="1"/>
    </xf>
    <xf numFmtId="0" fontId="14" fillId="10" borderId="3" applyAlignment="1" pivotButton="0" quotePrefix="0" xfId="0">
      <alignment horizontal="left" vertical="center"/>
    </xf>
    <xf numFmtId="166" fontId="14" fillId="10" borderId="3" applyAlignment="1" pivotButton="0" quotePrefix="0" xfId="0">
      <alignment horizontal="right" vertical="center"/>
    </xf>
    <xf numFmtId="0" fontId="14" fillId="10" borderId="3" applyAlignment="1" pivotButton="0" quotePrefix="0" xfId="0">
      <alignment horizontal="right" vertical="center"/>
    </xf>
    <xf numFmtId="0" fontId="16" fillId="7" borderId="4" applyAlignment="1" pivotButton="0" quotePrefix="0" xfId="0">
      <alignment horizontal="center" vertical="center"/>
    </xf>
    <xf numFmtId="0" fontId="0" fillId="7" borderId="0" pivotButton="0" quotePrefix="0" xfId="0"/>
    <xf numFmtId="0" fontId="15" fillId="8" borderId="4" applyAlignment="1" pivotButton="0" quotePrefix="0" xfId="0">
      <alignment horizontal="left" vertical="center"/>
    </xf>
    <xf numFmtId="0" fontId="17" fillId="7" borderId="4" applyAlignment="1" pivotButton="0" quotePrefix="0" xfId="0">
      <alignment horizontal="center" vertical="center"/>
    </xf>
    <xf numFmtId="0" fontId="11" fillId="7" borderId="4" applyAlignment="1" pivotButton="0" quotePrefix="0" xfId="0">
      <alignment horizontal="right" vertical="center"/>
    </xf>
    <xf numFmtId="0" fontId="18" fillId="8" borderId="5" applyAlignment="1" pivotButton="0" quotePrefix="0" xfId="0">
      <alignment horizontal="left" vertical="center"/>
    </xf>
    <xf numFmtId="167" fontId="15" fillId="8" borderId="4" applyAlignment="1" pivotButton="0" quotePrefix="0" xfId="0">
      <alignment horizontal="left" vertical="center"/>
    </xf>
    <xf numFmtId="0" fontId="19" fillId="12" borderId="7" applyAlignment="1" pivotButton="0" quotePrefix="0" xfId="0">
      <alignment horizontal="center" vertical="bottom"/>
    </xf>
    <xf numFmtId="0" fontId="0" fillId="12" borderId="7" pivotButton="0" quotePrefix="0" xfId="0"/>
    <xf numFmtId="0" fontId="21" fillId="13" borderId="7" applyAlignment="1" pivotButton="0" quotePrefix="0" xfId="0">
      <alignment horizontal="center" vertical="bottom"/>
    </xf>
    <xf numFmtId="0" fontId="0" fillId="13" borderId="7" pivotButton="0" quotePrefix="0" xfId="0"/>
    <xf numFmtId="168" fontId="20" fillId="12" borderId="7" applyAlignment="1" pivotButton="0" quotePrefix="0" xfId="0">
      <alignment horizontal="center" vertical="top"/>
    </xf>
    <xf numFmtId="166" fontId="22" fillId="13" borderId="7" applyAlignment="1" pivotButton="0" quotePrefix="0" xfId="0">
      <alignment horizontal="center" vertical="top"/>
    </xf>
    <xf numFmtId="0" fontId="20" fillId="12" borderId="7" applyAlignment="1" pivotButton="0" quotePrefix="0" xfId="0">
      <alignment horizontal="center" vertical="top"/>
    </xf>
    <xf numFmtId="0" fontId="22" fillId="13" borderId="7" applyAlignment="1" pivotButton="0" quotePrefix="0" xfId="0">
      <alignment horizontal="center" vertical="top"/>
    </xf>
    <xf numFmtId="0" fontId="23" fillId="9" borderId="6" applyAlignment="1" pivotButton="0" quotePrefix="0" xfId="0">
      <alignment horizontal="left" vertical="center"/>
    </xf>
    <xf numFmtId="0" fontId="23" fillId="11" borderId="6" applyAlignment="1" pivotButton="0" quotePrefix="0" xfId="0">
      <alignment horizontal="left" vertical="center"/>
    </xf>
    <xf numFmtId="0" fontId="0" fillId="9" borderId="6" pivotButton="0" quotePrefix="0" xfId="0"/>
    <xf numFmtId="0" fontId="0" fillId="11" borderId="6" pivotButton="0" quotePrefix="0" xfId="0"/>
    <xf numFmtId="168" fontId="14" fillId="10" borderId="3" applyAlignment="1" pivotButton="0" quotePrefix="0" xfId="0">
      <alignment horizontal="right" vertical="center"/>
    </xf>
    <xf numFmtId="0" fontId="24" fillId="10" borderId="0" applyAlignment="1" pivotButton="0" quotePrefix="0" xfId="0">
      <alignment horizontal="center" vertical="center"/>
    </xf>
    <xf numFmtId="0" fontId="0" fillId="10" borderId="3" pivotButton="0" quotePrefix="0" xfId="0"/>
    <xf numFmtId="0" fontId="14" fillId="10" borderId="3" applyAlignment="1" pivotButton="0" quotePrefix="0" xfId="0">
      <alignment horizontal="center" vertical="center"/>
    </xf>
    <xf numFmtId="0" fontId="25" fillId="9" borderId="3" applyAlignment="1" pivotButton="0" quotePrefix="0" xfId="0">
      <alignment horizontal="left" vertical="center"/>
    </xf>
    <xf numFmtId="168" fontId="25" fillId="9" borderId="3" applyAlignment="1" pivotButton="0" quotePrefix="0" xfId="0">
      <alignment horizontal="right" vertical="center"/>
    </xf>
    <xf numFmtId="4" fontId="25" fillId="9" borderId="3" applyAlignment="1" pivotButton="0" quotePrefix="0" xfId="0">
      <alignment horizontal="right" vertical="center"/>
    </xf>
    <xf numFmtId="0" fontId="25" fillId="9" borderId="3" applyAlignment="1" pivotButton="0" quotePrefix="0" xfId="0">
      <alignment horizontal="right" vertical="center"/>
    </xf>
    <xf numFmtId="0" fontId="16" fillId="7" borderId="8" applyAlignment="1" pivotButton="0" quotePrefix="0" xfId="0">
      <alignment horizontal="center" vertical="center"/>
    </xf>
    <xf numFmtId="0" fontId="17" fillId="7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right" vertical="center"/>
    </xf>
    <xf numFmtId="0" fontId="0" fillId="0" borderId="12" pivotButton="0" quotePrefix="0" xfId="0"/>
    <xf numFmtId="0" fontId="0" fillId="0" borderId="11" pivotButton="0" quotePrefix="0" xfId="0"/>
    <xf numFmtId="0" fontId="9" fillId="8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right"/>
    </xf>
    <xf numFmtId="0" fontId="26" fillId="8" borderId="4" pivotButton="0" quotePrefix="0" xfId="0"/>
    <xf numFmtId="0" fontId="26" fillId="0" borderId="4" pivotButton="0" quotePrefix="0" xfId="0"/>
    <xf numFmtId="0" fontId="27" fillId="8" borderId="16" pivotButton="0" quotePrefix="0" xfId="0"/>
    <xf numFmtId="0" fontId="0" fillId="8" borderId="16" pivotButton="0" quotePrefix="0" xfId="0"/>
    <xf numFmtId="0" fontId="0" fillId="8" borderId="0" pivotButton="0" quotePrefix="0" xfId="0"/>
    <xf numFmtId="0" fontId="28" fillId="8" borderId="0" applyAlignment="1" pivotButton="0" quotePrefix="0" xfId="0">
      <alignment vertical="center"/>
    </xf>
    <xf numFmtId="0" fontId="29" fillId="14" borderId="7" applyAlignment="1" pivotButton="0" quotePrefix="0" xfId="0">
      <alignment horizontal="center" vertical="center"/>
    </xf>
    <xf numFmtId="0" fontId="11" fillId="8" borderId="0" applyAlignment="1" pivotButton="0" quotePrefix="0" xfId="0">
      <alignment vertical="center"/>
    </xf>
    <xf numFmtId="0" fontId="18" fillId="8" borderId="16" pivotButton="0" quotePrefix="0" xfId="0"/>
    <xf numFmtId="0" fontId="30" fillId="8" borderId="0" pivotButton="0" quotePrefix="0" xfId="0"/>
    <xf numFmtId="0" fontId="31" fillId="8" borderId="0" pivotButton="0" quotePrefix="0" xfId="0"/>
    <xf numFmtId="0" fontId="31" fillId="0" borderId="0" pivotButton="0" quotePrefix="0" xfId="0"/>
    <xf numFmtId="168" fontId="0" fillId="8" borderId="0" pivotButton="0" quotePrefix="0" xfId="0"/>
    <xf numFmtId="168" fontId="0" fillId="0" borderId="0" pivotButton="0" quotePrefix="0" xfId="0"/>
    <xf numFmtId="166" fontId="0" fillId="8" borderId="0" pivotButton="0" quotePrefix="0" xfId="0"/>
    <xf numFmtId="168" fontId="0" fillId="8" borderId="16" pivotButton="0" quotePrefix="0" xfId="0"/>
    <xf numFmtId="0" fontId="18" fillId="8" borderId="17" applyAlignment="1" pivotButton="0" quotePrefix="0" xfId="0">
      <alignment horizontal="left" vertical="center"/>
    </xf>
    <xf numFmtId="0" fontId="32" fillId="7" borderId="4" applyAlignment="1" pivotButton="0" quotePrefix="0" xfId="0">
      <alignment horizontal="left" vertical="center"/>
    </xf>
    <xf numFmtId="0" fontId="12" fillId="7" borderId="4" applyAlignment="1" pivotButton="0" quotePrefix="0" xfId="0">
      <alignment horizontal="left" vertical="center"/>
    </xf>
    <xf numFmtId="0" fontId="33" fillId="7" borderId="4" applyAlignment="1" pivotButton="0" quotePrefix="0" xfId="0">
      <alignment horizontal="right" vertical="center"/>
    </xf>
    <xf numFmtId="0" fontId="26" fillId="7" borderId="4" pivotButton="0" quotePrefix="0" xfId="0"/>
    <xf numFmtId="0" fontId="26" fillId="12" borderId="4" pivotButton="0" quotePrefix="0" xfId="0"/>
    <xf numFmtId="0" fontId="34" fillId="7" borderId="18" applyAlignment="1" pivotButton="0" quotePrefix="0" xfId="0">
      <alignment horizontal="left" vertical="center"/>
    </xf>
    <xf numFmtId="0" fontId="28" fillId="8" borderId="4" applyAlignment="1" pivotButton="0" quotePrefix="0" xfId="0">
      <alignment horizontal="right" vertical="center"/>
    </xf>
    <xf numFmtId="0" fontId="35" fillId="14" borderId="7" applyAlignment="1" pivotButton="0" quotePrefix="0" xfId="0">
      <alignment horizontal="center" vertical="center"/>
    </xf>
    <xf numFmtId="0" fontId="11" fillId="8" borderId="4" applyAlignment="1" pivotButton="0" quotePrefix="0" xfId="0">
      <alignment vertical="center"/>
    </xf>
    <xf numFmtId="0" fontId="34" fillId="10" borderId="19" applyAlignment="1" pivotButton="0" quotePrefix="0" xfId="0">
      <alignment horizontal="left" vertical="center"/>
    </xf>
    <xf numFmtId="0" fontId="0" fillId="10" borderId="0" pivotButton="0" quotePrefix="0" xfId="0"/>
    <xf numFmtId="0" fontId="36" fillId="8" borderId="4" pivotButton="0" quotePrefix="0" xfId="0"/>
    <xf numFmtId="168" fontId="26" fillId="8" borderId="4" pivotButton="0" quotePrefix="0" xfId="0"/>
    <xf numFmtId="168" fontId="36" fillId="8" borderId="4" pivotButton="0" quotePrefix="0" xfId="0"/>
    <xf numFmtId="166" fontId="26" fillId="8" borderId="4" pivotButton="0" quotePrefix="0" xfId="0"/>
    <xf numFmtId="168" fontId="34" fillId="10" borderId="19" applyAlignment="1" pivotButton="0" quotePrefix="0" xfId="0">
      <alignment horizontal="left" vertical="center"/>
    </xf>
    <xf numFmtId="0" fontId="30" fillId="0" borderId="0" pivotButton="0" quotePrefix="0" xfId="0"/>
    <xf numFmtId="0" fontId="30" fillId="0" borderId="4" pivotButton="0" quotePrefix="0" xfId="0"/>
    <xf numFmtId="0" fontId="31" fillId="0" borderId="4" pivotButton="0" quotePrefix="0" xfId="0"/>
    <xf numFmtId="168" fontId="26" fillId="0" borderId="4" pivotButton="0" quotePrefix="0" xfId="0"/>
    <xf numFmtId="166" fontId="26" fillId="0" borderId="4" pivotButton="0" quotePrefix="0" xfId="0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name val="Arial"/>
        <b val="1"/>
        <color rgb="00161616"/>
        <sz val="10"/>
      </font>
      <fill>
        <patternFill patternType="solid">
          <fgColor rgb="00BFF18C"/>
          <bgColor rgb="00BFF18C"/>
        </patternFill>
      </fill>
    </dxf>
    <dxf>
      <font>
        <name val="Arial"/>
        <b val="1"/>
        <color rgb="00F9F9F9"/>
        <sz val="10"/>
      </font>
      <fill>
        <patternFill patternType="solid">
          <fgColor rgb="00FF4C4C"/>
          <bgColor rgb="00FF4C4C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2F75B5"/>
      <rgbColor rgb="FFC0C0C0"/>
      <rgbColor rgb="FF808080"/>
      <rgbColor rgb="FF9999FF"/>
      <rgbColor rgb="FF993366"/>
      <rgbColor rgb="FFF2F2F2"/>
      <rgbColor rgb="FFEDF2F9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D6E4F0"/>
      <rgbColor rgb="FFC6EFCE"/>
      <rgbColor rgb="FFFFD966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2E8B8B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Revenue vs Cost of Revenue</a:t>
            </a:r>
          </a:p>
        </rich>
      </tx>
      <txPr>
        <a:bodyPr/>
        <a:p>
          <a:pPr>
            <a:defRPr sz="1100" b="1">
              <a:solidFill>
                <a:srgbClr val="0B4779"/>
              </a:solidFill>
              <a:latin typeface="Arial"/>
            </a:defRPr>
          </a:pPr>
          <a:r>
            <a:t/>
          </a:r>
          <a:endParaRPr sz="1100" b="1">
            <a:solidFill>
              <a:srgbClr val="0B4779"/>
            </a:solidFill>
            <a:latin typeface="Arial"/>
          </a:endParaRPr>
        </a:p>
      </txPr>
    </title>
    <plotArea>
      <barChart>
        <barDir val="col"/>
        <grouping val="clustered"/>
        <ser>
          <idx val="0"/>
          <order val="0"/>
          <tx>
            <v>Revenue</v>
          </tx>
          <spPr>
            <a:solidFill>
              <a:srgbClr val="0B4779"/>
            </a:solidFill>
            <a:ln>
              <a:solidFill>
                <a:srgbClr val="0B4779"/>
              </a:solidFill>
              <a:prstDash val="solid"/>
            </a:ln>
          </spPr>
          <cat>
            <numRef>
              <f>'Charts &amp; Visuals'!$B$200:$M$200</f>
            </numRef>
          </cat>
          <val>
            <numRef>
              <f>'Charts &amp; Visuals'!$B$201:$M$201</f>
            </numRef>
          </val>
        </ser>
        <ser>
          <idx val="1"/>
          <order val="1"/>
          <tx>
            <v>Cost of Revenue</v>
          </tx>
          <spPr>
            <a:solidFill>
              <a:srgbClr val="2BCCD3"/>
            </a:solidFill>
            <a:ln>
              <a:solidFill>
                <a:srgbClr val="2BCCD3"/>
              </a:solidFill>
              <a:prstDash val="solid"/>
            </a:ln>
          </spPr>
          <val>
            <numRef>
              <f>'Charts &amp; Visuals'!$B$202:$M$202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800" b="0">
                <a:solidFill>
                  <a:srgbClr val="161616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161616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.0&quot;K&quot;" sourceLinked="0"/>
        <majorTickMark val="none"/>
        <minorTickMark val="none"/>
        <txPr>
          <a:bodyPr/>
          <a:p>
            <a:pPr>
              <a:defRPr sz="800" b="0">
                <a:solidFill>
                  <a:srgbClr val="161616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161616"/>
              </a:solidFill>
              <a:latin typeface="Arial"/>
            </a:endParaRPr>
          </a:p>
        </txPr>
        <crossAx val="10"/>
      </valAx>
    </plotArea>
    <legend>
      <legendPos val="b"/>
      <txPr>
        <a:bodyPr/>
        <a:p>
          <a:pPr>
            <a:defRPr sz="800" b="0">
              <a:solidFill>
                <a:srgbClr val="161616"/>
              </a:solidFill>
              <a:latin typeface="Arial"/>
            </a:defRPr>
          </a:pPr>
          <a:r>
            <a:t/>
          </a:r>
          <a:endParaRPr sz="800" b="0">
            <a:solidFill>
              <a:srgbClr val="161616"/>
            </a:solidFill>
            <a:latin typeface="Arial"/>
          </a:endParaRPr>
        </a:p>
      </txPr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Contribution Margin %</a:t>
            </a:r>
          </a:p>
        </rich>
      </tx>
      <txPr>
        <a:bodyPr/>
        <a:p>
          <a:pPr>
            <a:defRPr sz="1100" b="1">
              <a:solidFill>
                <a:srgbClr val="0B4779"/>
              </a:solidFill>
              <a:latin typeface="Arial"/>
            </a:defRPr>
          </a:pPr>
          <a:r>
            <a:t/>
          </a:r>
          <a:endParaRPr sz="1100" b="1">
            <a:solidFill>
              <a:srgbClr val="0B4779"/>
            </a:solidFill>
            <a:latin typeface="Arial"/>
          </a:endParaRPr>
        </a:p>
      </txPr>
    </title>
    <plotArea>
      <lineChart>
        <grouping val="standard"/>
        <ser>
          <idx val="0"/>
          <order val="0"/>
          <tx>
            <v>Contribution Margin %</v>
          </tx>
          <spPr>
            <a:solidFill>
              <a:srgbClr val="0B4779"/>
            </a:solidFill>
            <a:ln w="28000">
              <a:solidFill>
                <a:srgbClr val="0B47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&amp; Visuals'!$B$200:$M$200</f>
            </numRef>
          </cat>
          <val>
            <numRef>
              <f>'Charts &amp; Visuals'!$B$204:$M$204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800" b="0">
                <a:solidFill>
                  <a:srgbClr val="161616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161616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txPr>
          <a:bodyPr/>
          <a:p>
            <a:pPr>
              <a:defRPr sz="800" b="0">
                <a:solidFill>
                  <a:srgbClr val="161616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161616"/>
              </a:solidFill>
              <a:latin typeface="Arial"/>
            </a:endParaRPr>
          </a:p>
        </txPr>
        <crossAx val="10"/>
      </valAx>
    </plotArea>
    <legend>
      <legendPos val="b"/>
      <txPr>
        <a:bodyPr/>
        <a:p>
          <a:pPr>
            <a:defRPr sz="800" b="0">
              <a:solidFill>
                <a:srgbClr val="161616"/>
              </a:solidFill>
              <a:latin typeface="Arial"/>
            </a:defRPr>
          </a:pPr>
          <a:r>
            <a:t/>
          </a:r>
          <a:endParaRPr sz="800" b="0">
            <a:solidFill>
              <a:srgbClr val="161616"/>
            </a:solidFill>
            <a:latin typeface="Arial"/>
          </a:endParaRPr>
        </a:p>
      </txPr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Expense Breakdown by Department</a:t>
            </a:r>
          </a:p>
        </rich>
      </tx>
      <txPr>
        <a:bodyPr/>
        <a:p>
          <a:pPr>
            <a:defRPr sz="1100" b="1">
              <a:solidFill>
                <a:srgbClr val="0B4779"/>
              </a:solidFill>
              <a:latin typeface="Arial"/>
            </a:defRPr>
          </a:pPr>
          <a:r>
            <a:t/>
          </a:r>
          <a:endParaRPr sz="1100" b="1">
            <a:solidFill>
              <a:srgbClr val="0B4779"/>
            </a:solidFill>
            <a:latin typeface="Arial"/>
          </a:endParaRPr>
        </a:p>
      </txPr>
    </title>
    <plotArea>
      <pieChart>
        <varyColors val="1"/>
        <ser>
          <idx val="0"/>
          <order val="0"/>
          <tx>
            <v>Expense by Department</v>
          </tx>
          <spPr>
            <a:ln>
              <a:prstDash val="solid"/>
            </a:ln>
          </spPr>
          <dPt>
            <idx val="0"/>
            <spPr>
              <a:solidFill>
                <a:srgbClr val="0B4779"/>
              </a:solidFill>
              <a:ln>
                <a:prstDash val="solid"/>
              </a:ln>
            </spPr>
          </dPt>
          <dPt>
            <idx val="1"/>
            <spPr>
              <a:solidFill>
                <a:srgbClr val="2BCCD3"/>
              </a:solidFill>
              <a:ln>
                <a:prstDash val="solid"/>
              </a:ln>
            </spPr>
          </dPt>
          <dPt>
            <idx val="2"/>
            <spPr>
              <a:solidFill>
                <a:srgbClr val="BFF18C"/>
              </a:solidFill>
              <a:ln>
                <a:prstDash val="solid"/>
              </a:ln>
            </spPr>
          </dPt>
          <dPt>
            <idx val="3"/>
            <spPr>
              <a:solidFill>
                <a:srgbClr val="4B9BCB"/>
              </a:solidFill>
              <a:ln>
                <a:prstDash val="solid"/>
              </a:ln>
            </spPr>
          </dPt>
          <dPt>
            <idx val="4"/>
            <spPr>
              <a:solidFill>
                <a:srgbClr val="E8833A"/>
              </a:solidFill>
              <a:ln>
                <a:prstDash val="solid"/>
              </a:ln>
            </spPr>
          </dPt>
          <dPt>
            <idx val="5"/>
            <spPr>
              <a:solidFill>
                <a:srgbClr val="112E51"/>
              </a:solidFill>
              <a:ln>
                <a:prstDash val="solid"/>
              </a:ln>
            </spPr>
          </dPt>
          <dPt>
            <idx val="6"/>
            <spPr>
              <a:solidFill>
                <a:srgbClr val="1A8A8A"/>
              </a:solidFill>
              <a:ln>
                <a:prstDash val="solid"/>
              </a:ln>
            </spPr>
          </dPt>
          <dLbls>
            <numFmt formatCode="0.0%"/>
            <txPr>
              <a:bodyPr/>
              <a:p>
                <a:pPr>
                  <a:defRPr sz="800" b="0">
                    <a:solidFill>
                      <a:srgbClr val="161616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61616"/>
                  </a:solidFill>
                  <a:latin typeface="Arial"/>
                </a:endParaRPr>
              </a:p>
            </txPr>
            <showVal val="0"/>
            <showCatName val="1"/>
            <showPercent val="1"/>
          </dLbls>
          <cat>
            <numRef>
              <f>'Charts &amp; Visuals'!$A$209:$A$215</f>
            </numRef>
          </cat>
          <val>
            <numRef>
              <f>'Charts &amp; Visuals'!$N$209:$N$215</f>
            </numRef>
          </val>
        </ser>
        <firstSliceAng val="0"/>
      </pieChart>
    </plotArea>
    <legend>
      <legendPos val="r"/>
      <txPr>
        <a:bodyPr/>
        <a:p>
          <a:pPr>
            <a:defRPr sz="800" b="0">
              <a:solidFill>
                <a:srgbClr val="161616"/>
              </a:solidFill>
              <a:latin typeface="Arial"/>
            </a:defRPr>
          </a:pPr>
          <a:r>
            <a:t/>
          </a:r>
          <a:endParaRPr sz="800" b="0">
            <a:solidFill>
              <a:srgbClr val="161616"/>
            </a:solidFill>
            <a:latin typeface="Arial"/>
          </a:endParaRPr>
        </a:p>
      </txPr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Revenue by Product</a:t>
            </a:r>
          </a:p>
        </rich>
      </tx>
      <txPr>
        <a:bodyPr/>
        <a:p>
          <a:pPr>
            <a:defRPr sz="1100" b="1">
              <a:solidFill>
                <a:srgbClr val="0B4779"/>
              </a:solidFill>
              <a:latin typeface="Arial"/>
            </a:defRPr>
          </a:pPr>
          <a:r>
            <a:t/>
          </a:r>
          <a:endParaRPr sz="1100" b="1">
            <a:solidFill>
              <a:srgbClr val="0B4779"/>
            </a:solidFill>
            <a:latin typeface="Arial"/>
          </a:endParaRPr>
        </a:p>
      </txPr>
    </title>
    <plotArea>
      <barChart>
        <barDir val="col"/>
        <grouping val="clustered"/>
        <ser>
          <idx val="0"/>
          <order val="0"/>
          <tx>
            <strRef>
              <f>'Charts &amp; Visuals'!B233</f>
            </strRef>
          </tx>
          <spPr>
            <a:solidFill>
              <a:srgbClr val="0B4779"/>
            </a:solidFill>
            <a:ln>
              <a:solidFill>
                <a:srgbClr val="0B4779"/>
              </a:solidFill>
              <a:prstDash val="solid"/>
            </a:ln>
          </spPr>
          <cat>
            <numRef>
              <f>'Charts &amp; Visuals'!$A$234:$A$245</f>
            </numRef>
          </cat>
          <val>
            <numRef>
              <f>'Charts &amp; Visuals'!$B$234:$B$245</f>
            </numRef>
          </val>
        </ser>
        <ser>
          <idx val="1"/>
          <order val="1"/>
          <tx>
            <strRef>
              <f>'Charts &amp; Visuals'!C233</f>
            </strRef>
          </tx>
          <spPr>
            <a:solidFill>
              <a:srgbClr val="2BCCD3"/>
            </a:solidFill>
            <a:ln>
              <a:solidFill>
                <a:srgbClr val="2BCCD3"/>
              </a:solidFill>
              <a:prstDash val="solid"/>
            </a:ln>
          </spPr>
          <cat>
            <numRef>
              <f>'Charts &amp; Visuals'!$A$234:$A$245</f>
            </numRef>
          </cat>
          <val>
            <numRef>
              <f>'Charts &amp; Visuals'!$C$234:$C$245</f>
            </numRef>
          </val>
        </ser>
        <ser>
          <idx val="2"/>
          <order val="2"/>
          <tx>
            <strRef>
              <f>'Charts &amp; Visuals'!D233</f>
            </strRef>
          </tx>
          <spPr>
            <a:solidFill>
              <a:srgbClr val="BFF18C"/>
            </a:solidFill>
            <a:ln>
              <a:solidFill>
                <a:srgbClr val="BFF18C"/>
              </a:solidFill>
              <a:prstDash val="solid"/>
            </a:ln>
          </spPr>
          <cat>
            <numRef>
              <f>'Charts &amp; Visuals'!$A$234:$A$245</f>
            </numRef>
          </cat>
          <val>
            <numRef>
              <f>'Charts &amp; Visuals'!$D$234:$D$245</f>
            </numRef>
          </val>
        </ser>
        <ser>
          <idx val="3"/>
          <order val="3"/>
          <tx>
            <strRef>
              <f>'Charts &amp; Visuals'!E233</f>
            </strRef>
          </tx>
          <spPr>
            <a:solidFill>
              <a:srgbClr val="4B9BCB"/>
            </a:solidFill>
            <a:ln>
              <a:solidFill>
                <a:srgbClr val="4B9BCB"/>
              </a:solidFill>
              <a:prstDash val="solid"/>
            </a:ln>
          </spPr>
          <cat>
            <numRef>
              <f>'Charts &amp; Visuals'!$A$234:$A$245</f>
            </numRef>
          </cat>
          <val>
            <numRef>
              <f>'Charts &amp; Visuals'!$E$234:$E$245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800" b="0">
                <a:solidFill>
                  <a:srgbClr val="161616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161616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.0&quot;K&quot;" sourceLinked="0"/>
        <majorTickMark val="none"/>
        <minorTickMark val="none"/>
        <txPr>
          <a:bodyPr/>
          <a:p>
            <a:pPr>
              <a:defRPr sz="800" b="0">
                <a:solidFill>
                  <a:srgbClr val="161616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161616"/>
              </a:solidFill>
              <a:latin typeface="Arial"/>
            </a:endParaRPr>
          </a:p>
        </txPr>
        <crossAx val="10"/>
      </valAx>
    </plotArea>
    <legend>
      <legendPos val="b"/>
      <txPr>
        <a:bodyPr/>
        <a:p>
          <a:pPr>
            <a:defRPr sz="800" b="0">
              <a:solidFill>
                <a:srgbClr val="161616"/>
              </a:solidFill>
              <a:latin typeface="Arial"/>
            </a:defRPr>
          </a:pPr>
          <a:r>
            <a:t/>
          </a:r>
          <a:endParaRPr sz="800" b="0">
            <a:solidFill>
              <a:srgbClr val="161616"/>
            </a:solidFill>
            <a:latin typeface="Arial"/>
          </a:endParaRPr>
        </a:p>
      </txPr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Contribution Margin % by Product</a:t>
            </a:r>
          </a:p>
        </rich>
      </tx>
      <txPr>
        <a:bodyPr/>
        <a:p>
          <a:pPr>
            <a:defRPr sz="1100" b="1">
              <a:solidFill>
                <a:srgbClr val="0B4779"/>
              </a:solidFill>
              <a:latin typeface="Arial"/>
            </a:defRPr>
          </a:pPr>
          <a:r>
            <a:t/>
          </a:r>
          <a:endParaRPr sz="1100" b="1">
            <a:solidFill>
              <a:srgbClr val="0B4779"/>
            </a:solidFill>
            <a:latin typeface="Arial"/>
          </a:endParaRPr>
        </a:p>
      </txPr>
    </title>
    <plotArea>
      <lineChart>
        <grouping val="standard"/>
        <ser>
          <idx val="0"/>
          <order val="0"/>
          <tx>
            <strRef>
              <f>'Charts &amp; Visuals'!B247</f>
            </strRef>
          </tx>
          <spPr>
            <a:solidFill>
              <a:srgbClr val="0B4779"/>
            </a:solidFill>
            <a:ln w="28000">
              <a:solidFill>
                <a:srgbClr val="0B47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&amp; Visuals'!$A$248:$A$259</f>
            </numRef>
          </cat>
          <val>
            <numRef>
              <f>'Charts &amp; Visuals'!$B$248:$B$259</f>
            </numRef>
          </val>
        </ser>
        <ser>
          <idx val="1"/>
          <order val="1"/>
          <tx>
            <strRef>
              <f>'Charts &amp; Visuals'!C247</f>
            </strRef>
          </tx>
          <spPr>
            <a:solidFill>
              <a:srgbClr val="2BCCD3"/>
            </a:solidFill>
            <a:ln w="28000">
              <a:solidFill>
                <a:srgbClr val="2BCCD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&amp; Visuals'!$A$248:$A$259</f>
            </numRef>
          </cat>
          <val>
            <numRef>
              <f>'Charts &amp; Visuals'!$C$248:$C$259</f>
            </numRef>
          </val>
        </ser>
        <ser>
          <idx val="2"/>
          <order val="2"/>
          <tx>
            <strRef>
              <f>'Charts &amp; Visuals'!D247</f>
            </strRef>
          </tx>
          <spPr>
            <a:solidFill>
              <a:srgbClr val="BFF18C"/>
            </a:solidFill>
            <a:ln w="28000">
              <a:solidFill>
                <a:srgbClr val="BFF18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&amp; Visuals'!$A$248:$A$259</f>
            </numRef>
          </cat>
          <val>
            <numRef>
              <f>'Charts &amp; Visuals'!$D$248:$D$259</f>
            </numRef>
          </val>
        </ser>
        <ser>
          <idx val="3"/>
          <order val="3"/>
          <tx>
            <strRef>
              <f>'Charts &amp; Visuals'!E247</f>
            </strRef>
          </tx>
          <spPr>
            <a:solidFill>
              <a:srgbClr val="4B9BCB"/>
            </a:solidFill>
            <a:ln w="28000">
              <a:solidFill>
                <a:srgbClr val="4B9BC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&amp; Visuals'!$A$248:$A$259</f>
            </numRef>
          </cat>
          <val>
            <numRef>
              <f>'Charts &amp; Visuals'!$E$248:$E$259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800" b="0">
                <a:solidFill>
                  <a:srgbClr val="161616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161616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txPr>
          <a:bodyPr/>
          <a:p>
            <a:pPr>
              <a:defRPr sz="800" b="0">
                <a:solidFill>
                  <a:srgbClr val="161616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161616"/>
              </a:solidFill>
              <a:latin typeface="Arial"/>
            </a:endParaRPr>
          </a:p>
        </txPr>
        <crossAx val="10"/>
      </valAx>
    </plotArea>
    <legend>
      <legendPos val="b"/>
      <txPr>
        <a:bodyPr/>
        <a:p>
          <a:pPr>
            <a:defRPr sz="800" b="0">
              <a:solidFill>
                <a:srgbClr val="161616"/>
              </a:solidFill>
              <a:latin typeface="Arial"/>
            </a:defRPr>
          </a:pPr>
          <a:r>
            <a:t/>
          </a:r>
          <a:endParaRPr sz="800" b="0">
            <a:solidFill>
              <a:srgbClr val="161616"/>
            </a:solidFill>
            <a:latin typeface="Arial"/>
          </a:endParaRPr>
        </a:p>
      </txPr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Full Year Revenue Mix</a:t>
            </a:r>
          </a:p>
        </rich>
      </tx>
      <txPr>
        <a:bodyPr/>
        <a:p>
          <a:pPr>
            <a:defRPr sz="1100" b="1">
              <a:solidFill>
                <a:srgbClr val="0B4779"/>
              </a:solidFill>
              <a:latin typeface="Arial"/>
            </a:defRPr>
          </a:pPr>
          <a:r>
            <a:t/>
          </a:r>
          <a:endParaRPr sz="1100" b="1">
            <a:solidFill>
              <a:srgbClr val="0B4779"/>
            </a:solidFill>
            <a:latin typeface="Arial"/>
          </a:endParaRPr>
        </a:p>
      </txPr>
    </title>
    <plotArea>
      <pieChart>
        <varyColors val="1"/>
        <ser>
          <idx val="0"/>
          <order val="0"/>
          <tx>
            <v>Revenue Share</v>
          </tx>
          <spPr>
            <a:ln>
              <a:prstDash val="solid"/>
            </a:ln>
          </spPr>
          <dPt>
            <idx val="0"/>
            <spPr>
              <a:solidFill>
                <a:srgbClr val="0B4779"/>
              </a:solidFill>
              <a:ln>
                <a:prstDash val="solid"/>
              </a:ln>
            </spPr>
          </dPt>
          <dPt>
            <idx val="1"/>
            <spPr>
              <a:solidFill>
                <a:srgbClr val="2BCCD3"/>
              </a:solidFill>
              <a:ln>
                <a:prstDash val="solid"/>
              </a:ln>
            </spPr>
          </dPt>
          <dPt>
            <idx val="2"/>
            <spPr>
              <a:solidFill>
                <a:srgbClr val="BFF18C"/>
              </a:solidFill>
              <a:ln>
                <a:prstDash val="solid"/>
              </a:ln>
            </spPr>
          </dPt>
          <dPt>
            <idx val="3"/>
            <spPr>
              <a:solidFill>
                <a:srgbClr val="4B9BCB"/>
              </a:solidFill>
              <a:ln>
                <a:prstDash val="solid"/>
              </a:ln>
            </spPr>
          </dPt>
          <dLbls>
            <numFmt formatCode="0.0%"/>
            <txPr>
              <a:bodyPr/>
              <a:p>
                <a:pPr>
                  <a:defRPr sz="900" b="0">
                    <a:solidFill>
                      <a:srgbClr val="161616"/>
                    </a:solidFill>
                    <a:latin typeface="Arial"/>
                  </a:defRPr>
                </a:pPr>
                <a:r>
                  <a:t/>
                </a:r>
                <a:endParaRPr sz="900" b="0">
                  <a:solidFill>
                    <a:srgbClr val="161616"/>
                  </a:solidFill>
                  <a:latin typeface="Arial"/>
                </a:endParaRPr>
              </a:p>
            </txPr>
            <showVal val="0"/>
            <showCatName val="1"/>
            <showPercent val="1"/>
          </dLbls>
          <cat>
            <numRef>
              <f>'Charts &amp; Visuals'!$A$219:$A$222</f>
            </numRef>
          </cat>
          <val>
            <numRef>
              <f>'Charts &amp; Visuals'!$B$219:$B$222</f>
            </numRef>
          </val>
        </ser>
        <firstSliceAng val="0"/>
      </pieChart>
    </plotArea>
    <legend>
      <legendPos val="r"/>
      <txPr>
        <a:bodyPr/>
        <a:p>
          <a:pPr>
            <a:defRPr sz="800" b="0">
              <a:solidFill>
                <a:srgbClr val="161616"/>
              </a:solidFill>
              <a:latin typeface="Arial"/>
            </a:defRPr>
          </a:pPr>
          <a:r>
            <a:t/>
          </a:r>
          <a:endParaRPr sz="800" b="0">
            <a:solidFill>
              <a:srgbClr val="161616"/>
            </a:solidFill>
            <a:latin typeface="Arial"/>
          </a:endParaRPr>
        </a:p>
      </txPr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Revenue / COGS / Margin by Product</a:t>
            </a:r>
          </a:p>
        </rich>
      </tx>
      <txPr>
        <a:bodyPr/>
        <a:p>
          <a:pPr>
            <a:defRPr sz="1100" b="1">
              <a:solidFill>
                <a:srgbClr val="0B4779"/>
              </a:solidFill>
              <a:latin typeface="Arial"/>
            </a:defRPr>
          </a:pPr>
          <a:r>
            <a:t/>
          </a:r>
          <a:endParaRPr sz="1100" b="1">
            <a:solidFill>
              <a:srgbClr val="0B4779"/>
            </a:solidFill>
            <a:latin typeface="Arial"/>
          </a:endParaRPr>
        </a:p>
      </txPr>
    </title>
    <plotArea>
      <barChart>
        <barDir val="col"/>
        <grouping val="clustered"/>
        <ser>
          <idx val="0"/>
          <order val="0"/>
          <tx>
            <strRef>
              <f>'Charts &amp; Visuals'!B261</f>
            </strRef>
          </tx>
          <spPr>
            <a:solidFill>
              <a:srgbClr val="0B4779"/>
            </a:solidFill>
            <a:ln>
              <a:solidFill>
                <a:srgbClr val="0B4779"/>
              </a:solidFill>
              <a:prstDash val="solid"/>
            </a:ln>
          </spPr>
          <cat>
            <numRef>
              <f>'Charts &amp; Visuals'!$A$262:$A$265</f>
            </numRef>
          </cat>
          <val>
            <numRef>
              <f>'Charts &amp; Visuals'!$B$262:$B$265</f>
            </numRef>
          </val>
        </ser>
        <ser>
          <idx val="1"/>
          <order val="1"/>
          <tx>
            <strRef>
              <f>'Charts &amp; Visuals'!C261</f>
            </strRef>
          </tx>
          <spPr>
            <a:solidFill>
              <a:srgbClr val="2BCCD3"/>
            </a:solidFill>
            <a:ln>
              <a:solidFill>
                <a:srgbClr val="2BCCD3"/>
              </a:solidFill>
              <a:prstDash val="solid"/>
            </a:ln>
          </spPr>
          <cat>
            <numRef>
              <f>'Charts &amp; Visuals'!$A$262:$A$265</f>
            </numRef>
          </cat>
          <val>
            <numRef>
              <f>'Charts &amp; Visuals'!$C$262:$C$265</f>
            </numRef>
          </val>
        </ser>
        <ser>
          <idx val="2"/>
          <order val="2"/>
          <tx>
            <strRef>
              <f>'Charts &amp; Visuals'!D261</f>
            </strRef>
          </tx>
          <spPr>
            <a:solidFill>
              <a:srgbClr val="BFF18C"/>
            </a:solidFill>
            <a:ln>
              <a:solidFill>
                <a:srgbClr val="BFF18C"/>
              </a:solidFill>
              <a:prstDash val="solid"/>
            </a:ln>
          </spPr>
          <cat>
            <numRef>
              <f>'Charts &amp; Visuals'!$A$262:$A$265</f>
            </numRef>
          </cat>
          <val>
            <numRef>
              <f>'Charts &amp; Visuals'!$D$262:$D$265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800" b="0">
                <a:solidFill>
                  <a:srgbClr val="161616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161616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.0&quot;K&quot;" sourceLinked="0"/>
        <majorTickMark val="none"/>
        <minorTickMark val="none"/>
        <txPr>
          <a:bodyPr/>
          <a:p>
            <a:pPr>
              <a:defRPr sz="800" b="0">
                <a:solidFill>
                  <a:srgbClr val="161616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161616"/>
              </a:solidFill>
              <a:latin typeface="Arial"/>
            </a:endParaRPr>
          </a:p>
        </txPr>
        <crossAx val="10"/>
      </valAx>
    </plotArea>
    <legend>
      <legendPos val="b"/>
      <txPr>
        <a:bodyPr/>
        <a:p>
          <a:pPr>
            <a:defRPr sz="800" b="0">
              <a:solidFill>
                <a:srgbClr val="161616"/>
              </a:solidFill>
              <a:latin typeface="Arial"/>
            </a:defRPr>
          </a:pPr>
          <a:r>
            <a:t/>
          </a:r>
          <a:endParaRPr sz="800" b="0">
            <a:solidFill>
              <a:srgbClr val="161616"/>
            </a:solidFill>
            <a:latin typeface="Arial"/>
          </a:endParaRPr>
        </a:p>
      </txPr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Dept Cost by Product</a:t>
            </a:r>
          </a:p>
        </rich>
      </tx>
      <txPr>
        <a:bodyPr/>
        <a:p>
          <a:pPr>
            <a:defRPr sz="1100" b="1">
              <a:solidFill>
                <a:srgbClr val="0B4779"/>
              </a:solidFill>
              <a:latin typeface="Arial"/>
            </a:defRPr>
          </a:pPr>
          <a:r>
            <a:t/>
          </a:r>
          <a:endParaRPr sz="1100" b="1">
            <a:solidFill>
              <a:srgbClr val="0B4779"/>
            </a:solidFill>
            <a:latin typeface="Arial"/>
          </a:endParaRPr>
        </a:p>
      </txPr>
    </title>
    <plotArea>
      <barChart>
        <barDir val="col"/>
        <grouping val="stacked"/>
        <ser>
          <idx val="0"/>
          <order val="0"/>
          <tx>
            <strRef>
              <f>'Charts &amp; Visuals'!B224</f>
            </strRef>
          </tx>
          <spPr>
            <a:solidFill>
              <a:srgbClr val="0B4779"/>
            </a:solidFill>
            <a:ln>
              <a:solidFill>
                <a:srgbClr val="0B4779"/>
              </a:solidFill>
              <a:prstDash val="solid"/>
            </a:ln>
          </spPr>
          <cat>
            <numRef>
              <f>'Charts &amp; Visuals'!$A$225:$A$231</f>
            </numRef>
          </cat>
          <val>
            <numRef>
              <f>'Charts &amp; Visuals'!$B$225:$B$231</f>
            </numRef>
          </val>
        </ser>
        <ser>
          <idx val="1"/>
          <order val="1"/>
          <tx>
            <strRef>
              <f>'Charts &amp; Visuals'!C224</f>
            </strRef>
          </tx>
          <spPr>
            <a:solidFill>
              <a:srgbClr val="2BCCD3"/>
            </a:solidFill>
            <a:ln>
              <a:solidFill>
                <a:srgbClr val="2BCCD3"/>
              </a:solidFill>
              <a:prstDash val="solid"/>
            </a:ln>
          </spPr>
          <cat>
            <numRef>
              <f>'Charts &amp; Visuals'!$A$225:$A$231</f>
            </numRef>
          </cat>
          <val>
            <numRef>
              <f>'Charts &amp; Visuals'!$C$225:$C$231</f>
            </numRef>
          </val>
        </ser>
        <ser>
          <idx val="2"/>
          <order val="2"/>
          <tx>
            <strRef>
              <f>'Charts &amp; Visuals'!D224</f>
            </strRef>
          </tx>
          <spPr>
            <a:solidFill>
              <a:srgbClr val="BFF18C"/>
            </a:solidFill>
            <a:ln>
              <a:solidFill>
                <a:srgbClr val="BFF18C"/>
              </a:solidFill>
              <a:prstDash val="solid"/>
            </a:ln>
          </spPr>
          <cat>
            <numRef>
              <f>'Charts &amp; Visuals'!$A$225:$A$231</f>
            </numRef>
          </cat>
          <val>
            <numRef>
              <f>'Charts &amp; Visuals'!$D$225:$D$231</f>
            </numRef>
          </val>
        </ser>
        <ser>
          <idx val="3"/>
          <order val="3"/>
          <tx>
            <strRef>
              <f>'Charts &amp; Visuals'!E224</f>
            </strRef>
          </tx>
          <spPr>
            <a:solidFill>
              <a:srgbClr val="4B9BCB"/>
            </a:solidFill>
            <a:ln>
              <a:solidFill>
                <a:srgbClr val="4B9BCB"/>
              </a:solidFill>
              <a:prstDash val="solid"/>
            </a:ln>
          </spPr>
          <cat>
            <numRef>
              <f>'Charts &amp; Visuals'!$A$225:$A$231</f>
            </numRef>
          </cat>
          <val>
            <numRef>
              <f>'Charts &amp; Visuals'!$E$225:$E$231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800" b="0">
                <a:solidFill>
                  <a:srgbClr val="161616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161616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.0&quot;K&quot;" sourceLinked="0"/>
        <majorTickMark val="none"/>
        <minorTickMark val="none"/>
        <txPr>
          <a:bodyPr/>
          <a:p>
            <a:pPr>
              <a:defRPr sz="800" b="0">
                <a:solidFill>
                  <a:srgbClr val="161616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161616"/>
              </a:solidFill>
              <a:latin typeface="Arial"/>
            </a:endParaRPr>
          </a:p>
        </txPr>
        <crossAx val="10"/>
      </valAx>
    </plotArea>
    <legend>
      <legendPos val="b"/>
      <txPr>
        <a:bodyPr/>
        <a:p>
          <a:pPr>
            <a:defRPr sz="800" b="0">
              <a:solidFill>
                <a:srgbClr val="161616"/>
              </a:solidFill>
              <a:latin typeface="Arial"/>
            </a:defRPr>
          </a:pPr>
          <a:r>
            <a:t/>
          </a:r>
          <a:endParaRPr sz="800" b="0">
            <a:solidFill>
              <a:srgbClr val="161616"/>
            </a:solidFill>
            <a:latin typeface="Arial"/>
          </a:endParaRPr>
        </a:p>
      </txPr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10</row>
      <rowOff>0</rowOff>
    </from>
    <ext cx="46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30</row>
      <rowOff>0</rowOff>
    </from>
    <ext cx="46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52</row>
      <rowOff>0</rowOff>
    </from>
    <ext cx="46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52</row>
      <rowOff>0</rowOff>
    </from>
    <ext cx="46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</col>
      <colOff>0</colOff>
      <row>72</row>
      <rowOff>0</rowOff>
    </from>
    <ext cx="46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94</row>
      <rowOff>0</rowOff>
    </from>
    <ext cx="46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94</row>
      <rowOff>0</rowOff>
    </from>
    <ext cx="468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file:///C:\Users\connor.atlee\Downloads\KeystoneBenefitTech_PL_Model.xlsx" TargetMode="External" Id="rId1" /><Relationship Type="http://schemas.openxmlformats.org/officeDocument/2006/relationships/hyperlink" Target="file:///C:\Users\connor.atlee\Downloads\KeystoneBenefitTech_PL_Model.xlsx" TargetMode="External" Id="rId2" /><Relationship Type="http://schemas.openxmlformats.org/officeDocument/2006/relationships/hyperlink" Target="file:///C:\Users\connor.atlee\Downloads\KeystoneBenefitTech_PL_Model.xlsx" TargetMode="External" Id="rId3" /><Relationship Type="http://schemas.openxmlformats.org/officeDocument/2006/relationships/hyperlink" Target="file:///C:\Users\connor.atlee\Downloads\KeystoneBenefitTech_PL_Model.xlsx" TargetMode="External" Id="rId4" /><Relationship Type="http://schemas.openxmlformats.org/officeDocument/2006/relationships/hyperlink" Target="file:///C:\Users\connor.atlee\Downloads\KeystoneBenefitTech_PL_Model.xlsx" TargetMode="External" Id="rId5" /><Relationship Type="http://schemas.openxmlformats.org/officeDocument/2006/relationships/hyperlink" Target="#Assumptions!A1" TargetMode="External" Id="rId6" /><Relationship Type="http://schemas.openxmlformats.org/officeDocument/2006/relationships/hyperlink" Target="#'Data Dictionary'!A1" TargetMode="External" Id="rId7" /><Relationship Type="http://schemas.openxmlformats.org/officeDocument/2006/relationships/hyperlink" Target="#'AWS Allocation'!A1" TargetMode="External" Id="rId8" /><Relationship Type="http://schemas.openxmlformats.org/officeDocument/2006/relationships/hyperlink" Target="#'P&amp;L - Monthly Trend'!A1" TargetMode="External" Id="rId9" /><Relationship Type="http://schemas.openxmlformats.org/officeDocument/2006/relationships/hyperlink" Target="#'Product Line Summary'!A1" TargetMode="External" Id="rId10" /><Relationship Type="http://schemas.openxmlformats.org/officeDocument/2006/relationships/hyperlink" Target="#'Functional P&amp;L - Monthly Trend'!A1" TargetMode="External" Id="rId11" /><Relationship Type="http://schemas.openxmlformats.org/officeDocument/2006/relationships/hyperlink" Target="#'Functional P&amp;L Summary - Jan 25'!A1" TargetMode="External" Id="rId12" /><Relationship Type="http://schemas.openxmlformats.org/officeDocument/2006/relationships/hyperlink" Target="#'Functional P&amp;L Summary - Feb 25'!A1" TargetMode="External" Id="rId13" /><Relationship Type="http://schemas.openxmlformats.org/officeDocument/2006/relationships/hyperlink" Target="#'Functional P&amp;L Summary - Mar 25'!A1" TargetMode="External" Id="rId14" /><Relationship Type="http://schemas.openxmlformats.org/officeDocument/2006/relationships/hyperlink" Target="#'US January 2025 Natural P&amp;L'!A1" TargetMode="External" Id="rId15" /><Relationship Type="http://schemas.openxmlformats.org/officeDocument/2006/relationships/hyperlink" Target="#'Charts &amp; Visuals'!A1" TargetMode="External" Id="rId16" /><Relationship Type="http://schemas.openxmlformats.org/officeDocument/2006/relationships/hyperlink" Target="#Checks!A1" TargetMode="External" Id="rId17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G511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38" customWidth="1" min="1" max="1"/>
    <col width="14" customWidth="1" min="2" max="2"/>
    <col width="18" customWidth="1" min="3" max="3"/>
    <col width="14" customWidth="1" min="4" max="4"/>
    <col width="40" customWidth="1" min="5" max="5"/>
    <col width="24" customWidth="1" min="6" max="6"/>
    <col width="16" customWidth="1" min="7" max="7"/>
  </cols>
  <sheetData>
    <row r="1">
      <c r="A1" s="34" t="inlineStr">
        <is>
          <t>ID</t>
        </is>
      </c>
      <c r="B1" s="35" t="inlineStr">
        <is>
          <t>Date</t>
        </is>
      </c>
      <c r="C1" s="35" t="inlineStr">
        <is>
          <t>Department</t>
        </is>
      </c>
      <c r="D1" s="35" t="inlineStr">
        <is>
          <t>Product</t>
        </is>
      </c>
      <c r="E1" s="35" t="inlineStr">
        <is>
          <t>Expense Category</t>
        </is>
      </c>
      <c r="F1" s="35" t="inlineStr">
        <is>
          <t>Vendor</t>
        </is>
      </c>
      <c r="G1" s="35" t="inlineStr">
        <is>
          <t>Amount</t>
        </is>
      </c>
    </row>
    <row r="2">
      <c r="A2" s="36" t="inlineStr">
        <is>
          <t>c15c63af-93b1-46c7-8644-3820dad92ebe</t>
        </is>
      </c>
      <c r="B2" s="36" t="inlineStr">
        <is>
          <t>7/13/2025</t>
        </is>
      </c>
      <c r="C2" s="36" t="inlineStr">
        <is>
          <t>R&amp;D</t>
        </is>
      </c>
      <c r="D2" s="36" t="inlineStr">
        <is>
          <t>DocFast</t>
        </is>
      </c>
      <c r="E2" s="36" t="inlineStr">
        <is>
          <t>Connectivity Charges</t>
        </is>
      </c>
      <c r="F2" s="36" t="inlineStr">
        <is>
          <t>Salesforce Inc.</t>
        </is>
      </c>
      <c r="G2" s="37" t="n">
        <v>14607.17</v>
      </c>
    </row>
    <row r="3">
      <c r="A3" s="38" t="inlineStr">
        <is>
          <t>8a85fdcf-6ebb-4953-b8da-7162bdf9a3d5</t>
        </is>
      </c>
      <c r="B3" s="38" t="inlineStr">
        <is>
          <t>08/23/2025</t>
        </is>
      </c>
      <c r="C3" s="38" t="inlineStr">
        <is>
          <t>Partners</t>
        </is>
      </c>
      <c r="D3" s="38" t="inlineStr">
        <is>
          <t>InsureSight</t>
        </is>
      </c>
      <c r="E3" s="38" t="inlineStr">
        <is>
          <t>Overhead Allocation &amp; Chargebacks</t>
        </is>
      </c>
      <c r="F3" s="38" t="inlineStr">
        <is>
          <t>Palo Alto Networks</t>
        </is>
      </c>
      <c r="G3" s="39" t="n">
        <v>12027.16</v>
      </c>
    </row>
    <row r="4">
      <c r="A4" s="36" t="inlineStr">
        <is>
          <t>c8a310f7-0591-4f07-993b-442ed4044da5</t>
        </is>
      </c>
      <c r="B4" s="36" t="inlineStr">
        <is>
          <t>2025-12-14</t>
        </is>
      </c>
      <c r="C4" s="36" t="inlineStr">
        <is>
          <t>NetOps</t>
        </is>
      </c>
      <c r="D4" s="36" t="inlineStr">
        <is>
          <t>DocFast</t>
        </is>
      </c>
      <c r="E4" s="36" t="inlineStr">
        <is>
          <t>Other</t>
        </is>
      </c>
      <c r="F4" s="36" t="inlineStr">
        <is>
          <t>Microsoft Corp.</t>
        </is>
      </c>
      <c r="G4" s="37" t="n">
        <v>2747.82</v>
      </c>
    </row>
    <row r="5">
      <c r="A5" s="38" t="inlineStr">
        <is>
          <t>69e58234-9c0b-4205-8df2-6c9fb98fb403</t>
        </is>
      </c>
      <c r="B5" s="40" t="n">
        <v>45788</v>
      </c>
      <c r="C5" s="38" t="inlineStr">
        <is>
          <t>NetOps</t>
        </is>
      </c>
      <c r="D5" s="38" t="inlineStr">
        <is>
          <t>iGO</t>
        </is>
      </c>
      <c r="E5" s="38" t="inlineStr">
        <is>
          <t>AWS</t>
        </is>
      </c>
      <c r="F5" s="38" t="inlineStr">
        <is>
          <t>Deloitte Consulting</t>
        </is>
      </c>
      <c r="G5" s="39" t="n">
        <v>4469.82</v>
      </c>
    </row>
    <row r="6">
      <c r="A6" s="36" t="inlineStr">
        <is>
          <t>4722607f-0537-44bf-9194-320a67cfcac4</t>
        </is>
      </c>
      <c r="B6" s="41" t="n">
        <v>45889</v>
      </c>
      <c r="C6" s="36" t="inlineStr">
        <is>
          <t>R&amp;D</t>
        </is>
      </c>
      <c r="D6" s="36" t="inlineStr">
        <is>
          <t>DocFast</t>
        </is>
      </c>
      <c r="E6" s="36" t="inlineStr">
        <is>
          <t>Advertising and Promotion Expense</t>
        </is>
      </c>
      <c r="F6" s="36" t="inlineStr">
        <is>
          <t>Iron Mountain</t>
        </is>
      </c>
      <c r="G6" s="37" t="n">
        <v>6686.43</v>
      </c>
    </row>
    <row r="7">
      <c r="A7" s="38" t="inlineStr">
        <is>
          <t>ce278d40-1e9d-4d2e-9373-fa1300bc4c3a</t>
        </is>
      </c>
      <c r="B7" s="40" t="n">
        <v>45871</v>
      </c>
      <c r="C7" s="38" t="inlineStr">
        <is>
          <t>R&amp;D</t>
        </is>
      </c>
      <c r="D7" s="38" t="inlineStr">
        <is>
          <t>InsureSight</t>
        </is>
      </c>
      <c r="E7" s="38" t="inlineStr">
        <is>
          <t>Other</t>
        </is>
      </c>
      <c r="F7" s="38" t="inlineStr">
        <is>
          <t>Zendesk Inc.</t>
        </is>
      </c>
      <c r="G7" s="39" t="n">
        <v>4154.6</v>
      </c>
    </row>
    <row r="8">
      <c r="A8" s="36" t="inlineStr">
        <is>
          <t>967517e0-f2d6-4f2a-84dc-911fa2893d68</t>
        </is>
      </c>
      <c r="B8" s="41" t="n">
        <v>45660</v>
      </c>
      <c r="C8" s="36" t="inlineStr">
        <is>
          <t>R&amp;D</t>
        </is>
      </c>
      <c r="D8" s="36" t="inlineStr">
        <is>
          <t>DocFast</t>
        </is>
      </c>
      <c r="E8" s="36" t="inlineStr">
        <is>
          <t>AWS</t>
        </is>
      </c>
      <c r="F8" s="36" t="inlineStr">
        <is>
          <t>Cognizant Technology</t>
        </is>
      </c>
      <c r="G8" s="37" t="n">
        <v>12026.38</v>
      </c>
    </row>
    <row r="9">
      <c r="A9" s="38" t="inlineStr">
        <is>
          <t>2bd05c39-f827-4f27-9e3e-fc6ad796018b</t>
        </is>
      </c>
      <c r="B9" s="40" t="n">
        <v>45967</v>
      </c>
      <c r="C9" s="38" t="inlineStr">
        <is>
          <t>NetOps</t>
        </is>
      </c>
      <c r="D9" s="38" t="inlineStr">
        <is>
          <t>Affirm</t>
        </is>
      </c>
      <c r="E9" s="38" t="inlineStr">
        <is>
          <t>Other</t>
        </is>
      </c>
      <c r="F9" s="38" t="inlineStr">
        <is>
          <t>Deloitte Consulting</t>
        </is>
      </c>
      <c r="G9" s="39" t="n">
        <v>11730.61</v>
      </c>
    </row>
    <row r="10">
      <c r="A10" s="36" t="inlineStr">
        <is>
          <t>cde97481-ee1b-4ab4-9d65-3621e2ce790a</t>
        </is>
      </c>
      <c r="B10" s="41" t="n">
        <v>45662</v>
      </c>
      <c r="C10" s="36" t="inlineStr">
        <is>
          <t>NetOps</t>
        </is>
      </c>
      <c r="D10" s="36" t="inlineStr">
        <is>
          <t>Affirm</t>
        </is>
      </c>
      <c r="E10" s="36" t="inlineStr">
        <is>
          <t>Reselling Expenses</t>
        </is>
      </c>
      <c r="F10" s="36" t="inlineStr">
        <is>
          <t>Salesforce Inc.</t>
        </is>
      </c>
      <c r="G10" s="37" t="n">
        <v>5464.15</v>
      </c>
    </row>
    <row r="11">
      <c r="A11" s="38" t="inlineStr">
        <is>
          <t>c83d288d-09e6-43dd-b598-4fbc1ab163e7</t>
        </is>
      </c>
      <c r="B11" s="40" t="n">
        <v>45932</v>
      </c>
      <c r="C11" s="38" t="inlineStr">
        <is>
          <t>Content</t>
        </is>
      </c>
      <c r="D11" s="38" t="inlineStr">
        <is>
          <t>Affirm</t>
        </is>
      </c>
      <c r="E11" s="38" t="inlineStr">
        <is>
          <t>Reselling Expenses</t>
        </is>
      </c>
      <c r="F11" s="38" t="inlineStr">
        <is>
          <t>Accenture LLP</t>
        </is>
      </c>
      <c r="G11" s="39" t="n">
        <v>14234.91</v>
      </c>
    </row>
    <row r="12">
      <c r="A12" s="36" t="inlineStr">
        <is>
          <t>c7c3d879-f4ea-42fe-8689-04637efe504b</t>
        </is>
      </c>
      <c r="B12" s="41" t="n">
        <v>45823</v>
      </c>
      <c r="C12" s="36" t="inlineStr">
        <is>
          <t>Product Management</t>
        </is>
      </c>
      <c r="D12" s="36" t="inlineStr">
        <is>
          <t>iGO</t>
        </is>
      </c>
      <c r="E12" s="36" t="inlineStr">
        <is>
          <t>Other</t>
        </is>
      </c>
      <c r="F12" s="36" t="inlineStr">
        <is>
          <t>Datadog Inc.</t>
        </is>
      </c>
      <c r="G12" s="37" t="n">
        <v>7965.43</v>
      </c>
    </row>
    <row r="13">
      <c r="A13" s="38" t="inlineStr">
        <is>
          <t>e36d0d88-4984-4c14-a188-4d0fbb5660b6</t>
        </is>
      </c>
      <c r="B13" s="40" t="n">
        <v>45849</v>
      </c>
      <c r="C13" s="38" t="inlineStr">
        <is>
          <t>R&amp;D</t>
        </is>
      </c>
      <c r="D13" s="38" t="inlineStr">
        <is>
          <t>InsureSight</t>
        </is>
      </c>
      <c r="E13" s="38" t="inlineStr">
        <is>
          <t>Software and Maintenance Expense</t>
        </is>
      </c>
      <c r="F13" s="38" t="inlineStr">
        <is>
          <t>Cloudflare Inc.</t>
        </is>
      </c>
      <c r="G13" s="39" t="n">
        <v>437.4</v>
      </c>
    </row>
    <row r="14">
      <c r="A14" s="36" t="inlineStr">
        <is>
          <t>53eb0a32-96ae-4a39-9676-5bb87485f3fb</t>
        </is>
      </c>
      <c r="B14" s="41" t="n">
        <v>45732</v>
      </c>
      <c r="C14" s="36" t="inlineStr">
        <is>
          <t>Content</t>
        </is>
      </c>
      <c r="D14" s="36" t="inlineStr">
        <is>
          <t>DocFast</t>
        </is>
      </c>
      <c r="E14" s="36" t="inlineStr">
        <is>
          <t>Overhead Allocation &amp; Chargebacks</t>
        </is>
      </c>
      <c r="F14" s="36" t="inlineStr">
        <is>
          <t>Cloudflare Inc.</t>
        </is>
      </c>
      <c r="G14" s="37" t="n">
        <v>3963.56</v>
      </c>
    </row>
    <row r="15">
      <c r="A15" s="38" t="inlineStr">
        <is>
          <t>b694b8c0-ad82-4b3c-b286-f4646bd17732</t>
        </is>
      </c>
      <c r="B15" s="40" t="n">
        <v>45800</v>
      </c>
      <c r="C15" s="38" t="inlineStr">
        <is>
          <t>Partners</t>
        </is>
      </c>
      <c r="D15" s="38" t="inlineStr">
        <is>
          <t>Affirm</t>
        </is>
      </c>
      <c r="E15" s="38" t="inlineStr">
        <is>
          <t>Other</t>
        </is>
      </c>
      <c r="F15" s="38" t="inlineStr">
        <is>
          <t>Palo Alto Networks</t>
        </is>
      </c>
      <c r="G15" s="39" t="n">
        <v>10425.01</v>
      </c>
    </row>
    <row r="16">
      <c r="A16" s="36" t="inlineStr">
        <is>
          <t>7af83a40-5271-4700-a4c8-f992eb7cd1bd</t>
        </is>
      </c>
      <c r="B16" s="41" t="n">
        <v>45876</v>
      </c>
      <c r="C16" s="36" t="inlineStr">
        <is>
          <t>NetOps</t>
        </is>
      </c>
      <c r="D16" s="36" t="inlineStr">
        <is>
          <t>Affirm</t>
        </is>
      </c>
      <c r="E16" s="36" t="inlineStr">
        <is>
          <t>Professional Fees and Outsourcing Expenses</t>
        </is>
      </c>
      <c r="F16" s="36" t="inlineStr">
        <is>
          <t>Accenture LLP</t>
        </is>
      </c>
      <c r="G16" s="37" t="n">
        <v>2631.21</v>
      </c>
    </row>
    <row r="17">
      <c r="A17" s="38" t="inlineStr">
        <is>
          <t>6baa1bd9-199c-46ad-af7e-6929c83052b2</t>
        </is>
      </c>
      <c r="B17" s="40" t="n">
        <v>46006</v>
      </c>
      <c r="C17" s="38" t="inlineStr">
        <is>
          <t>NetOps</t>
        </is>
      </c>
      <c r="D17" s="38" t="inlineStr">
        <is>
          <t>InsureSight</t>
        </is>
      </c>
      <c r="E17" s="38" t="inlineStr">
        <is>
          <t>Reselling Expenses</t>
        </is>
      </c>
      <c r="F17" s="38" t="inlineStr">
        <is>
          <t>Salesforce Inc.</t>
        </is>
      </c>
      <c r="G17" s="39" t="n">
        <v>10657.63</v>
      </c>
    </row>
    <row r="18">
      <c r="A18" s="36" t="inlineStr">
        <is>
          <t>aa728d12-16cd-4078-9151-b2d077d29b62</t>
        </is>
      </c>
      <c r="B18" s="41" t="n">
        <v>45918</v>
      </c>
      <c r="C18" s="36" t="inlineStr">
        <is>
          <t>Support</t>
        </is>
      </c>
      <c r="D18" s="36" t="inlineStr">
        <is>
          <t>InsureSight</t>
        </is>
      </c>
      <c r="E18" s="36" t="inlineStr">
        <is>
          <t>Advertising and Promotion Expense</t>
        </is>
      </c>
      <c r="F18" s="36" t="inlineStr">
        <is>
          <t>Iron Mountain</t>
        </is>
      </c>
      <c r="G18" s="37" t="n">
        <v>10657.98</v>
      </c>
    </row>
    <row r="19">
      <c r="A19" s="38" t="inlineStr">
        <is>
          <t>0c5d5cfa-c37a-4333-ad44-d88c36f7801a</t>
        </is>
      </c>
      <c r="B19" s="40" t="n">
        <v>46012</v>
      </c>
      <c r="C19" s="38" t="inlineStr">
        <is>
          <t>Security</t>
        </is>
      </c>
      <c r="D19" s="38" t="inlineStr">
        <is>
          <t>InsureSight</t>
        </is>
      </c>
      <c r="E19" s="38" t="inlineStr">
        <is>
          <t>Overhead Allocation &amp; Chargebacks</t>
        </is>
      </c>
      <c r="F19" s="38" t="inlineStr">
        <is>
          <t>CrowdStrike Holdings</t>
        </is>
      </c>
      <c r="G19" s="39" t="n">
        <v>1864.37</v>
      </c>
    </row>
    <row r="20">
      <c r="A20" s="36" t="inlineStr">
        <is>
          <t>86235afa-9fb4-4326-b530-6f3d83eddc4e</t>
        </is>
      </c>
      <c r="B20" s="41" t="n">
        <v>45773</v>
      </c>
      <c r="C20" s="36" t="inlineStr">
        <is>
          <t>Security</t>
        </is>
      </c>
      <c r="D20" s="36" t="inlineStr">
        <is>
          <t>Affirm</t>
        </is>
      </c>
      <c r="E20" s="36" t="inlineStr">
        <is>
          <t>Office Expenses &amp; Rent Allocation</t>
        </is>
      </c>
      <c r="F20" s="36" t="inlineStr">
        <is>
          <t>Amazon Web Services</t>
        </is>
      </c>
      <c r="G20" s="37" t="n">
        <v>5445.4</v>
      </c>
    </row>
    <row r="21">
      <c r="A21" s="38" t="inlineStr">
        <is>
          <t>e994d8c2-33ab-4b3b-9b39-ef57617fe44d</t>
        </is>
      </c>
      <c r="B21" s="40" t="n">
        <v>45942</v>
      </c>
      <c r="C21" s="38" t="inlineStr">
        <is>
          <t>Partners</t>
        </is>
      </c>
      <c r="D21" s="38" t="inlineStr">
        <is>
          <t>Affirm</t>
        </is>
      </c>
      <c r="E21" s="38" t="inlineStr">
        <is>
          <t>Other</t>
        </is>
      </c>
      <c r="F21" s="38" t="inlineStr">
        <is>
          <t>Atlassian Inc.</t>
        </is>
      </c>
      <c r="G21" s="39" t="n">
        <v>1338.92</v>
      </c>
    </row>
    <row r="22">
      <c r="A22" s="36" t="inlineStr">
        <is>
          <t>f07c1f24-5aef-40f6-b13a-1a00d3894adf</t>
        </is>
      </c>
      <c r="B22" s="41" t="n">
        <v>45790</v>
      </c>
      <c r="C22" s="36" t="inlineStr">
        <is>
          <t>R&amp;D</t>
        </is>
      </c>
      <c r="D22" s="36" t="inlineStr">
        <is>
          <t>DocFast</t>
        </is>
      </c>
      <c r="E22" s="36" t="inlineStr">
        <is>
          <t>Overhead Allocation &amp; Chargebacks</t>
        </is>
      </c>
      <c r="F22" s="36" t="inlineStr">
        <is>
          <t>Zendesk Inc.</t>
        </is>
      </c>
      <c r="G22" s="37" t="n">
        <v>11549.01</v>
      </c>
    </row>
    <row r="23">
      <c r="A23" s="38" t="inlineStr">
        <is>
          <t>aeee40dd-71a3-40ab-8706-b5565eb06a7b</t>
        </is>
      </c>
      <c r="B23" s="40" t="n">
        <v>45933</v>
      </c>
      <c r="C23" s="38" t="inlineStr">
        <is>
          <t>Security</t>
        </is>
      </c>
      <c r="D23" s="38" t="inlineStr">
        <is>
          <t>InsureSight</t>
        </is>
      </c>
      <c r="E23" s="38" t="inlineStr">
        <is>
          <t>Reselling Expenses</t>
        </is>
      </c>
      <c r="F23" s="38" t="inlineStr">
        <is>
          <t>Cloudflare Inc.</t>
        </is>
      </c>
      <c r="G23" s="39" t="n">
        <v>6777.12</v>
      </c>
    </row>
    <row r="24">
      <c r="A24" s="36" t="inlineStr">
        <is>
          <t>90f4e520-0645-4b16-8546-bb52a9a8f8e1</t>
        </is>
      </c>
      <c r="B24" s="41" t="n">
        <v>45978</v>
      </c>
      <c r="C24" s="36" t="inlineStr">
        <is>
          <t>Support</t>
        </is>
      </c>
      <c r="D24" s="36" t="inlineStr">
        <is>
          <t>Affirm</t>
        </is>
      </c>
      <c r="E24" s="36" t="inlineStr">
        <is>
          <t>Overhead Allocation &amp; Chargebacks</t>
        </is>
      </c>
      <c r="F24" s="36" t="inlineStr">
        <is>
          <t>Deloitte Consulting</t>
        </is>
      </c>
      <c r="G24" s="37" t="n">
        <v>8837.4</v>
      </c>
    </row>
    <row r="25">
      <c r="A25" s="38" t="inlineStr">
        <is>
          <t>0f3f5c16-4a12-4eee-ac76-fe6a6bce92d1</t>
        </is>
      </c>
      <c r="B25" s="40" t="n">
        <v>45730</v>
      </c>
      <c r="C25" s="38" t="inlineStr">
        <is>
          <t>Content</t>
        </is>
      </c>
      <c r="D25" s="38" t="inlineStr">
        <is>
          <t>iGO</t>
        </is>
      </c>
      <c r="E25" s="38" t="inlineStr">
        <is>
          <t>Professional Fees and Outsourcing Expenses</t>
        </is>
      </c>
      <c r="F25" s="38" t="inlineStr">
        <is>
          <t>Cognizant Technology</t>
        </is>
      </c>
      <c r="G25" s="39" t="n">
        <v>2337.58</v>
      </c>
    </row>
    <row r="26">
      <c r="A26" s="36" t="inlineStr">
        <is>
          <t>553f731b-c794-49dd-afcd-7b72584a7e70</t>
        </is>
      </c>
      <c r="B26" s="41" t="n">
        <v>45722</v>
      </c>
      <c r="C26" s="36" t="inlineStr">
        <is>
          <t>Support</t>
        </is>
      </c>
      <c r="D26" s="36" t="inlineStr">
        <is>
          <t>Affirm</t>
        </is>
      </c>
      <c r="E26" s="36" t="inlineStr">
        <is>
          <t>AWS</t>
        </is>
      </c>
      <c r="F26" s="36" t="inlineStr">
        <is>
          <t>Cognizant Technology</t>
        </is>
      </c>
      <c r="G26" s="37" t="n">
        <v>13429.14</v>
      </c>
    </row>
    <row r="27">
      <c r="A27" s="38" t="inlineStr">
        <is>
          <t>5bfcf122-fd2f-4c68-acab-7f8988f35d6a</t>
        </is>
      </c>
      <c r="B27" s="40" t="n">
        <v>45697</v>
      </c>
      <c r="C27" s="38" t="inlineStr">
        <is>
          <t>Security</t>
        </is>
      </c>
      <c r="D27" s="38" t="inlineStr">
        <is>
          <t>InsureSight</t>
        </is>
      </c>
      <c r="E27" s="38" t="inlineStr">
        <is>
          <t>Advertising and Promotion Expense</t>
        </is>
      </c>
      <c r="F27" s="38" t="inlineStr">
        <is>
          <t>Deloitte Consulting</t>
        </is>
      </c>
      <c r="G27" s="39" t="n">
        <v>4577.23</v>
      </c>
    </row>
    <row r="28">
      <c r="A28" s="36" t="inlineStr">
        <is>
          <t>e2e2763a-f833-4fc1-ae0b-05db1144199c</t>
        </is>
      </c>
      <c r="B28" s="41" t="n">
        <v>45903</v>
      </c>
      <c r="C28" s="36" t="inlineStr">
        <is>
          <t>Content</t>
        </is>
      </c>
      <c r="D28" s="36" t="inlineStr">
        <is>
          <t>Affirm</t>
        </is>
      </c>
      <c r="E28" s="36" t="inlineStr">
        <is>
          <t>Other</t>
        </is>
      </c>
      <c r="F28" s="36" t="inlineStr">
        <is>
          <t>WillisTowersWatson</t>
        </is>
      </c>
      <c r="G28" s="37" t="n">
        <v>2355.2</v>
      </c>
    </row>
    <row r="29">
      <c r="A29" s="38" t="inlineStr">
        <is>
          <t>c27d40ee-806b-4525-bacd-05491f40480e</t>
        </is>
      </c>
      <c r="B29" s="40" t="n">
        <v>45981</v>
      </c>
      <c r="C29" s="38" t="inlineStr">
        <is>
          <t>R&amp;D</t>
        </is>
      </c>
      <c r="D29" s="38" t="inlineStr">
        <is>
          <t>InsureSight</t>
        </is>
      </c>
      <c r="E29" s="38" t="inlineStr">
        <is>
          <t>Other</t>
        </is>
      </c>
      <c r="F29" s="38" t="inlineStr">
        <is>
          <t>Amazon Web Services</t>
        </is>
      </c>
      <c r="G29" s="39" t="n">
        <v>12387.28</v>
      </c>
    </row>
    <row r="30">
      <c r="A30" s="36" t="inlineStr">
        <is>
          <t>92c40523-3880-4e2f-bcb6-441745cbcb89</t>
        </is>
      </c>
      <c r="B30" s="41" t="n">
        <v>45660</v>
      </c>
      <c r="C30" s="36" t="inlineStr">
        <is>
          <t>NetOps</t>
        </is>
      </c>
      <c r="D30" s="36" t="inlineStr">
        <is>
          <t>InsureSight</t>
        </is>
      </c>
      <c r="E30" s="36" t="inlineStr">
        <is>
          <t>Reselling Expenses</t>
        </is>
      </c>
      <c r="F30" s="36" t="inlineStr">
        <is>
          <t>CrowdStrike Holdings</t>
        </is>
      </c>
      <c r="G30" s="37" t="n">
        <v>11516.04</v>
      </c>
    </row>
    <row r="31">
      <c r="A31" s="38" t="inlineStr">
        <is>
          <t>6c341504-f8db-4597-a223-ec72a655f6ee</t>
        </is>
      </c>
      <c r="B31" s="40" t="n">
        <v>45858</v>
      </c>
      <c r="C31" s="38" t="inlineStr">
        <is>
          <t>R&amp;D</t>
        </is>
      </c>
      <c r="D31" s="38" t="inlineStr">
        <is>
          <t>iGO</t>
        </is>
      </c>
      <c r="E31" s="38" t="inlineStr">
        <is>
          <t>Office Expenses &amp; Rent Allocation</t>
        </is>
      </c>
      <c r="F31" s="38" t="inlineStr">
        <is>
          <t>Atlassian Inc.</t>
        </is>
      </c>
      <c r="G31" s="39" t="n">
        <v>9426.1</v>
      </c>
    </row>
    <row r="32">
      <c r="A32" s="36" t="inlineStr">
        <is>
          <t>5c98f204-88d8-41c7-b41e-25067ea59c5b</t>
        </is>
      </c>
      <c r="B32" s="41" t="n">
        <v>45798</v>
      </c>
      <c r="C32" s="36" t="inlineStr">
        <is>
          <t>Support</t>
        </is>
      </c>
      <c r="D32" s="36" t="inlineStr">
        <is>
          <t>DocFast</t>
        </is>
      </c>
      <c r="E32" s="36" t="inlineStr">
        <is>
          <t>Software and Maintenance Expense</t>
        </is>
      </c>
      <c r="F32" s="36" t="inlineStr">
        <is>
          <t>Adobe Systems</t>
        </is>
      </c>
      <c r="G32" s="37" t="n">
        <v>12119.87</v>
      </c>
    </row>
    <row r="33">
      <c r="A33" s="38" t="inlineStr">
        <is>
          <t>9bee7df4-47ec-40b1-be98-3f85378a28e2</t>
        </is>
      </c>
      <c r="B33" s="40" t="n">
        <v>45848</v>
      </c>
      <c r="C33" s="38" t="inlineStr">
        <is>
          <t>Partners</t>
        </is>
      </c>
      <c r="D33" s="38" t="inlineStr">
        <is>
          <t>iGO</t>
        </is>
      </c>
      <c r="E33" s="38" t="inlineStr">
        <is>
          <t>Employee Expenses</t>
        </is>
      </c>
      <c r="F33" s="38" t="inlineStr">
        <is>
          <t>Datadog Inc.</t>
        </is>
      </c>
      <c r="G33" s="39" t="n">
        <v>6622.1</v>
      </c>
    </row>
    <row r="34">
      <c r="A34" s="36" t="inlineStr">
        <is>
          <t>03bece6a-3767-492b-9164-9add03ac5227</t>
        </is>
      </c>
      <c r="B34" s="41" t="n">
        <v>45884</v>
      </c>
      <c r="C34" s="36" t="inlineStr">
        <is>
          <t>Security</t>
        </is>
      </c>
      <c r="D34" s="36" t="inlineStr">
        <is>
          <t>InsureSight</t>
        </is>
      </c>
      <c r="E34" s="36" t="inlineStr">
        <is>
          <t>Other</t>
        </is>
      </c>
      <c r="F34" s="36" t="inlineStr">
        <is>
          <t>Datadog Inc.</t>
        </is>
      </c>
      <c r="G34" s="37" t="n">
        <v>4723.11</v>
      </c>
    </row>
    <row r="35">
      <c r="A35" s="38" t="inlineStr">
        <is>
          <t>60d5e21a-2336-4338-bd9f-c504a69424e3</t>
        </is>
      </c>
      <c r="B35" s="40" t="n">
        <v>46002</v>
      </c>
      <c r="C35" s="38" t="inlineStr">
        <is>
          <t>R&amp;D</t>
        </is>
      </c>
      <c r="D35" s="38" t="inlineStr">
        <is>
          <t>InsureSight</t>
        </is>
      </c>
      <c r="E35" s="38" t="inlineStr">
        <is>
          <t>Connectivity Charges</t>
        </is>
      </c>
      <c r="F35" s="38" t="inlineStr">
        <is>
          <t>Datadog Inc.</t>
        </is>
      </c>
      <c r="G35" s="39" t="n">
        <v>11421.94</v>
      </c>
    </row>
    <row r="36">
      <c r="A36" s="36" t="inlineStr">
        <is>
          <t>442eebe1-11a6-42f9-926a-991064f5a588</t>
        </is>
      </c>
      <c r="B36" s="41" t="n">
        <v>45918</v>
      </c>
      <c r="C36" s="36" t="inlineStr">
        <is>
          <t>NetOps</t>
        </is>
      </c>
      <c r="D36" s="36" t="inlineStr">
        <is>
          <t>InsureSight</t>
        </is>
      </c>
      <c r="E36" s="36" t="inlineStr">
        <is>
          <t>Software and Maintenance Expense</t>
        </is>
      </c>
      <c r="F36" s="36" t="inlineStr">
        <is>
          <t>Accenture LLP</t>
        </is>
      </c>
      <c r="G36" s="37" t="n">
        <v>1881.7</v>
      </c>
    </row>
    <row r="37">
      <c r="A37" s="38" t="inlineStr">
        <is>
          <t>a83d0b1f-5cda-4cd2-8953-4fee20f2477d</t>
        </is>
      </c>
      <c r="B37" s="40" t="n">
        <v>45877</v>
      </c>
      <c r="C37" s="38" t="inlineStr">
        <is>
          <t>Security</t>
        </is>
      </c>
      <c r="D37" s="38" t="inlineStr">
        <is>
          <t>iGO</t>
        </is>
      </c>
      <c r="E37" s="38" t="inlineStr">
        <is>
          <t>Employee Expenses</t>
        </is>
      </c>
      <c r="F37" s="38" t="inlineStr">
        <is>
          <t>Palo Alto Networks</t>
        </is>
      </c>
      <c r="G37" s="39" t="n">
        <v>14183.5</v>
      </c>
    </row>
    <row r="38">
      <c r="A38" s="36" t="inlineStr">
        <is>
          <t>6913d5bd-e5e6-46db-9136-a61f56c45eb5</t>
        </is>
      </c>
      <c r="B38" s="41" t="n">
        <v>45944</v>
      </c>
      <c r="C38" s="36" t="inlineStr">
        <is>
          <t>Security</t>
        </is>
      </c>
      <c r="D38" s="36" t="inlineStr">
        <is>
          <t>Affirm</t>
        </is>
      </c>
      <c r="E38" s="36" t="inlineStr">
        <is>
          <t>AWS</t>
        </is>
      </c>
      <c r="F38" s="36" t="inlineStr">
        <is>
          <t>Atlassian Inc.</t>
        </is>
      </c>
      <c r="G38" s="37" t="n">
        <v>8686.42</v>
      </c>
    </row>
    <row r="39">
      <c r="A39" s="38" t="inlineStr">
        <is>
          <t>47cca976-722b-4824-8ba8-f2680f234428</t>
        </is>
      </c>
      <c r="B39" s="40" t="n">
        <v>45815</v>
      </c>
      <c r="C39" s="38" t="inlineStr">
        <is>
          <t>Product Management</t>
        </is>
      </c>
      <c r="D39" s="38" t="inlineStr">
        <is>
          <t>Affirm</t>
        </is>
      </c>
      <c r="E39" s="38" t="inlineStr">
        <is>
          <t>Office Expenses &amp; Rent Allocation</t>
        </is>
      </c>
      <c r="F39" s="38" t="inlineStr">
        <is>
          <t>Cognizant Technology</t>
        </is>
      </c>
      <c r="G39" s="39" t="n">
        <v>7028.89</v>
      </c>
    </row>
    <row r="40">
      <c r="A40" s="36" t="inlineStr">
        <is>
          <t>8632b9c7-1dc6-4983-899c-6900487ea486</t>
        </is>
      </c>
      <c r="B40" s="41" t="n">
        <v>45793</v>
      </c>
      <c r="C40" s="36" t="inlineStr">
        <is>
          <t>NetOps</t>
        </is>
      </c>
      <c r="D40" s="36" t="inlineStr">
        <is>
          <t>iGO</t>
        </is>
      </c>
      <c r="E40" s="36" t="inlineStr">
        <is>
          <t>Connectivity Charges</t>
        </is>
      </c>
      <c r="F40" s="36" t="inlineStr">
        <is>
          <t>Cognizant Technology</t>
        </is>
      </c>
      <c r="G40" s="37" t="n">
        <v>6885.6</v>
      </c>
    </row>
    <row r="41">
      <c r="A41" s="38" t="inlineStr">
        <is>
          <t>c9cc9c0d-d72f-46f1-8990-995fc54fedf0</t>
        </is>
      </c>
      <c r="B41" s="40" t="n">
        <v>45754</v>
      </c>
      <c r="C41" s="38" t="inlineStr">
        <is>
          <t>Content</t>
        </is>
      </c>
      <c r="D41" s="38" t="inlineStr">
        <is>
          <t>InsureSight</t>
        </is>
      </c>
      <c r="E41" s="38" t="inlineStr">
        <is>
          <t>Employee Expenses</t>
        </is>
      </c>
      <c r="F41" s="38" t="inlineStr">
        <is>
          <t>Amazon Web Services</t>
        </is>
      </c>
      <c r="G41" s="39" t="n">
        <v>4256.28</v>
      </c>
    </row>
    <row r="42">
      <c r="A42" s="36" t="inlineStr">
        <is>
          <t>0e0a21e3-2a42-45d4-a5ce-7c59bd69d8b8</t>
        </is>
      </c>
      <c r="B42" s="41" t="n">
        <v>45957</v>
      </c>
      <c r="C42" s="36" t="inlineStr">
        <is>
          <t>R&amp;D</t>
        </is>
      </c>
      <c r="D42" s="36" t="inlineStr">
        <is>
          <t>DocFast</t>
        </is>
      </c>
      <c r="E42" s="36" t="inlineStr">
        <is>
          <t>Data Center Fees</t>
        </is>
      </c>
      <c r="F42" s="36" t="inlineStr">
        <is>
          <t>Cognizant Technology</t>
        </is>
      </c>
      <c r="G42" s="37" t="n">
        <v>172.25</v>
      </c>
    </row>
    <row r="43">
      <c r="A43" s="38" t="inlineStr">
        <is>
          <t>8a0a57d7-96fe-404e-b349-dd0498d412c2</t>
        </is>
      </c>
      <c r="B43" s="40" t="n">
        <v>45702</v>
      </c>
      <c r="C43" s="38" t="inlineStr">
        <is>
          <t>Security</t>
        </is>
      </c>
      <c r="D43" s="38" t="inlineStr">
        <is>
          <t>InsureSight</t>
        </is>
      </c>
      <c r="E43" s="38" t="inlineStr">
        <is>
          <t>AWS</t>
        </is>
      </c>
      <c r="F43" s="38" t="inlineStr">
        <is>
          <t>Adobe Systems</t>
        </is>
      </c>
      <c r="G43" s="39" t="n">
        <v>6078.65</v>
      </c>
    </row>
    <row r="44">
      <c r="A44" s="36" t="inlineStr">
        <is>
          <t>37c9f0a0-1027-4d6c-95f9-4e7dc16b1e2e</t>
        </is>
      </c>
      <c r="B44" s="41" t="n">
        <v>45670</v>
      </c>
      <c r="C44" s="36" t="inlineStr">
        <is>
          <t>NetOps</t>
        </is>
      </c>
      <c r="D44" s="36" t="inlineStr">
        <is>
          <t>Affirm</t>
        </is>
      </c>
      <c r="E44" s="36" t="inlineStr">
        <is>
          <t>AWS</t>
        </is>
      </c>
      <c r="F44" s="36" t="inlineStr">
        <is>
          <t>Cognizant Technology</t>
        </is>
      </c>
      <c r="G44" s="37" t="n">
        <v>4364.6</v>
      </c>
    </row>
    <row r="45">
      <c r="A45" s="38" t="inlineStr">
        <is>
          <t>d2d843c3-281c-4514-bd1a-185004a227d1</t>
        </is>
      </c>
      <c r="B45" s="40" t="n">
        <v>45855</v>
      </c>
      <c r="C45" s="38" t="inlineStr">
        <is>
          <t>Partners</t>
        </is>
      </c>
      <c r="D45" s="38" t="inlineStr">
        <is>
          <t>InsureSight</t>
        </is>
      </c>
      <c r="E45" s="38" t="inlineStr">
        <is>
          <t>Other</t>
        </is>
      </c>
      <c r="F45" s="38" t="inlineStr">
        <is>
          <t>Deloitte Consulting</t>
        </is>
      </c>
      <c r="G45" s="39" t="n">
        <v>9185.09</v>
      </c>
    </row>
    <row r="46">
      <c r="A46" s="36" t="inlineStr">
        <is>
          <t>74cc4b4a-69d5-4983-ac7f-0ca0eaf5fa55</t>
        </is>
      </c>
      <c r="B46" s="41" t="n">
        <v>45720</v>
      </c>
      <c r="C46" s="36" t="inlineStr">
        <is>
          <t>Partners</t>
        </is>
      </c>
      <c r="D46" s="36" t="inlineStr">
        <is>
          <t>InsureSight</t>
        </is>
      </c>
      <c r="E46" s="36" t="inlineStr">
        <is>
          <t>AWS</t>
        </is>
      </c>
      <c r="F46" s="36" t="inlineStr">
        <is>
          <t>Cognizant Technology</t>
        </is>
      </c>
      <c r="G46" s="37" t="n">
        <v>14087.28</v>
      </c>
    </row>
    <row r="47">
      <c r="A47" s="38" t="inlineStr">
        <is>
          <t>918c393a-89f3-4f89-86e7-67ccb789b6c5</t>
        </is>
      </c>
      <c r="B47" s="40" t="n">
        <v>45723</v>
      </c>
      <c r="C47" s="38" t="inlineStr">
        <is>
          <t>Content</t>
        </is>
      </c>
      <c r="D47" s="38" t="inlineStr">
        <is>
          <t>DocFast</t>
        </is>
      </c>
      <c r="E47" s="38" t="inlineStr">
        <is>
          <t>Overhead Allocation &amp; Chargebacks</t>
        </is>
      </c>
      <c r="F47" s="38" t="inlineStr">
        <is>
          <t>Amazon Web Services</t>
        </is>
      </c>
      <c r="G47" s="39" t="n">
        <v>727.29</v>
      </c>
    </row>
    <row r="48">
      <c r="A48" s="36" t="inlineStr">
        <is>
          <t>f357af42-976f-4ab9-94d9-492168deae44</t>
        </is>
      </c>
      <c r="B48" s="41" t="n">
        <v>45739</v>
      </c>
      <c r="C48" s="36" t="inlineStr">
        <is>
          <t>Support</t>
        </is>
      </c>
      <c r="D48" s="36" t="inlineStr">
        <is>
          <t>DocFast</t>
        </is>
      </c>
      <c r="E48" s="36" t="inlineStr">
        <is>
          <t>Overhead Allocation &amp; Chargebacks</t>
        </is>
      </c>
      <c r="F48" s="36" t="inlineStr">
        <is>
          <t>Accenture LLP</t>
        </is>
      </c>
      <c r="G48" s="37" t="n">
        <v>2276.66</v>
      </c>
    </row>
    <row r="49">
      <c r="A49" s="38" t="inlineStr">
        <is>
          <t>f801fc08-ec83-4968-a215-83df9ffed5ed</t>
        </is>
      </c>
      <c r="B49" s="40" t="n">
        <v>45905</v>
      </c>
      <c r="C49" s="38" t="inlineStr">
        <is>
          <t>Support</t>
        </is>
      </c>
      <c r="D49" s="38" t="inlineStr">
        <is>
          <t>InsureSight</t>
        </is>
      </c>
      <c r="E49" s="38" t="inlineStr">
        <is>
          <t>Advertising and Promotion Expense</t>
        </is>
      </c>
      <c r="F49" s="38" t="inlineStr">
        <is>
          <t>Zendesk Inc.</t>
        </is>
      </c>
      <c r="G49" s="39" t="n">
        <v>14859.71</v>
      </c>
    </row>
    <row r="50">
      <c r="A50" s="36" t="inlineStr">
        <is>
          <t>dc3a3f27-1704-417e-abff-f59e6f3b4e14</t>
        </is>
      </c>
      <c r="B50" s="41" t="n">
        <v>46018</v>
      </c>
      <c r="C50" s="36" t="inlineStr">
        <is>
          <t>Support</t>
        </is>
      </c>
      <c r="D50" s="36" t="inlineStr">
        <is>
          <t>InsureSight</t>
        </is>
      </c>
      <c r="E50" s="36" t="inlineStr">
        <is>
          <t>Overhead Allocation &amp; Chargebacks</t>
        </is>
      </c>
      <c r="F50" s="36" t="inlineStr">
        <is>
          <t>Microsoft Corp.</t>
        </is>
      </c>
      <c r="G50" s="37" t="n">
        <v>7670.23</v>
      </c>
    </row>
    <row r="51">
      <c r="A51" s="38" t="inlineStr">
        <is>
          <t>f2c21825-b03a-4d15-995e-415ccde34016</t>
        </is>
      </c>
      <c r="B51" s="40" t="n">
        <v>45892</v>
      </c>
      <c r="C51" s="38" t="inlineStr">
        <is>
          <t>Content</t>
        </is>
      </c>
      <c r="D51" s="38" t="inlineStr">
        <is>
          <t>InsureSight</t>
        </is>
      </c>
      <c r="E51" s="38" t="inlineStr">
        <is>
          <t>Office Expenses &amp; Rent Allocation</t>
        </is>
      </c>
      <c r="F51" s="38" t="inlineStr">
        <is>
          <t>Microsoft Corp.</t>
        </is>
      </c>
      <c r="G51" s="39" t="n">
        <v>298.72</v>
      </c>
    </row>
    <row r="52">
      <c r="A52" s="36" t="inlineStr">
        <is>
          <t>14ef24c0-4fc1-4ef7-90eb-8643d95bf4d9</t>
        </is>
      </c>
      <c r="B52" s="41" t="n">
        <v>45830</v>
      </c>
      <c r="C52" s="36" t="inlineStr">
        <is>
          <t>NetOps</t>
        </is>
      </c>
      <c r="D52" s="36" t="inlineStr">
        <is>
          <t>DocFast</t>
        </is>
      </c>
      <c r="E52" s="36" t="inlineStr">
        <is>
          <t>Other</t>
        </is>
      </c>
      <c r="F52" s="36" t="inlineStr">
        <is>
          <t>Palo Alto Networks</t>
        </is>
      </c>
      <c r="G52" s="37" t="n">
        <v>11961.48</v>
      </c>
    </row>
    <row r="53">
      <c r="A53" s="38" t="inlineStr">
        <is>
          <t>39c3ff61-d7b2-4a89-8ccc-5174409fb4fb</t>
        </is>
      </c>
      <c r="B53" s="40" t="n">
        <v>46019</v>
      </c>
      <c r="C53" s="38" t="inlineStr">
        <is>
          <t>R&amp;D</t>
        </is>
      </c>
      <c r="D53" s="38" t="inlineStr">
        <is>
          <t>iGO</t>
        </is>
      </c>
      <c r="E53" s="38" t="inlineStr">
        <is>
          <t>Other</t>
        </is>
      </c>
      <c r="F53" s="38" t="inlineStr">
        <is>
          <t>Accenture LLP</t>
        </is>
      </c>
      <c r="G53" s="39" t="n">
        <v>4019.68</v>
      </c>
    </row>
    <row r="54">
      <c r="A54" s="36" t="inlineStr">
        <is>
          <t>76343ce6-07b5-4b3f-b07c-fd947bff47ba</t>
        </is>
      </c>
      <c r="B54" s="41" t="n">
        <v>45987</v>
      </c>
      <c r="C54" s="36" t="inlineStr">
        <is>
          <t>Product Management</t>
        </is>
      </c>
      <c r="D54" s="36" t="inlineStr">
        <is>
          <t>Affirm</t>
        </is>
      </c>
      <c r="E54" s="36" t="inlineStr">
        <is>
          <t>Employee Expenses</t>
        </is>
      </c>
      <c r="F54" s="36" t="inlineStr">
        <is>
          <t>WillisTowersWatson</t>
        </is>
      </c>
      <c r="G54" s="37" t="n">
        <v>7232.71</v>
      </c>
    </row>
    <row r="55">
      <c r="A55" s="38" t="inlineStr">
        <is>
          <t>9c403f47-31d7-49ad-ba82-b0344f1a2670</t>
        </is>
      </c>
      <c r="B55" s="40" t="n">
        <v>45921</v>
      </c>
      <c r="C55" s="38" t="inlineStr">
        <is>
          <t>R&amp;D</t>
        </is>
      </c>
      <c r="D55" s="38" t="inlineStr">
        <is>
          <t>DocFast</t>
        </is>
      </c>
      <c r="E55" s="38" t="inlineStr">
        <is>
          <t>Advertising and Promotion Expense</t>
        </is>
      </c>
      <c r="F55" s="38" t="inlineStr">
        <is>
          <t>Microsoft Corp.</t>
        </is>
      </c>
      <c r="G55" s="39" t="n">
        <v>10226.87</v>
      </c>
    </row>
    <row r="56">
      <c r="A56" s="36" t="inlineStr">
        <is>
          <t>2f496460-bc1d-44c3-91bd-aaad1aaa2ba7</t>
        </is>
      </c>
      <c r="B56" s="41" t="n">
        <v>45676</v>
      </c>
      <c r="C56" s="36" t="inlineStr">
        <is>
          <t>R&amp;D</t>
        </is>
      </c>
      <c r="D56" s="36" t="inlineStr">
        <is>
          <t>iGO</t>
        </is>
      </c>
      <c r="E56" s="36" t="inlineStr">
        <is>
          <t>Software and Maintenance Expense</t>
        </is>
      </c>
      <c r="F56" s="36" t="inlineStr">
        <is>
          <t>Amazon Web Services</t>
        </is>
      </c>
      <c r="G56" s="37" t="n">
        <v>6643.53</v>
      </c>
    </row>
    <row r="57">
      <c r="A57" s="38" t="inlineStr">
        <is>
          <t>8fb509a3-3ac7-467e-a3b8-b33124a4e57e</t>
        </is>
      </c>
      <c r="B57" s="40" t="n">
        <v>45843</v>
      </c>
      <c r="C57" s="38" t="inlineStr">
        <is>
          <t>Partners</t>
        </is>
      </c>
      <c r="D57" s="38" t="inlineStr">
        <is>
          <t>Affirm</t>
        </is>
      </c>
      <c r="E57" s="38" t="inlineStr">
        <is>
          <t>Connectivity Charges</t>
        </is>
      </c>
      <c r="F57" s="38" t="inlineStr">
        <is>
          <t>Cognizant Technology</t>
        </is>
      </c>
      <c r="G57" s="39" t="n">
        <v>11635.84</v>
      </c>
    </row>
    <row r="58">
      <c r="A58" s="36" t="inlineStr">
        <is>
          <t>06210729-c9b5-4744-8db4-065c5c6155ec</t>
        </is>
      </c>
      <c r="B58" s="41" t="n">
        <v>45897</v>
      </c>
      <c r="C58" s="36" t="inlineStr">
        <is>
          <t>Product Management</t>
        </is>
      </c>
      <c r="D58" s="36" t="inlineStr">
        <is>
          <t>iGO</t>
        </is>
      </c>
      <c r="E58" s="36" t="inlineStr">
        <is>
          <t>Advertising and Promotion Expense</t>
        </is>
      </c>
      <c r="F58" s="36" t="inlineStr">
        <is>
          <t>Cognizant Technology</t>
        </is>
      </c>
      <c r="G58" s="37" t="n">
        <v>3149.76</v>
      </c>
    </row>
    <row r="59">
      <c r="A59" s="38" t="inlineStr">
        <is>
          <t>4c3a4ddb-4dea-446e-ac42-c59c67ad5a9b</t>
        </is>
      </c>
      <c r="B59" s="40" t="n">
        <v>45830</v>
      </c>
      <c r="C59" s="38" t="inlineStr">
        <is>
          <t>Partners</t>
        </is>
      </c>
      <c r="D59" s="38" t="inlineStr">
        <is>
          <t>DocFast</t>
        </is>
      </c>
      <c r="E59" s="38" t="inlineStr">
        <is>
          <t>AWS</t>
        </is>
      </c>
      <c r="F59" s="38" t="inlineStr">
        <is>
          <t>Datadog Inc.</t>
        </is>
      </c>
      <c r="G59" s="39" t="n">
        <v>6921.97</v>
      </c>
    </row>
    <row r="60">
      <c r="A60" s="36" t="inlineStr">
        <is>
          <t>5a37daa6-732a-4b0a-88c0-fdbcf8bcdf29</t>
        </is>
      </c>
      <c r="B60" s="41" t="n">
        <v>45911</v>
      </c>
      <c r="C60" s="36" t="inlineStr">
        <is>
          <t>Content</t>
        </is>
      </c>
      <c r="D60" s="36" t="inlineStr">
        <is>
          <t>InsureSight</t>
        </is>
      </c>
      <c r="E60" s="36" t="inlineStr">
        <is>
          <t>Reselling Expenses</t>
        </is>
      </c>
      <c r="F60" s="36" t="inlineStr">
        <is>
          <t>Adobe Systems</t>
        </is>
      </c>
      <c r="G60" s="37" t="n">
        <v>13021.43</v>
      </c>
    </row>
    <row r="61">
      <c r="A61" s="38" t="inlineStr">
        <is>
          <t>16e25c89-bcd5-44a7-ae9d-1cfb7e9fd8c7</t>
        </is>
      </c>
      <c r="B61" s="40" t="n">
        <v>45982</v>
      </c>
      <c r="C61" s="38" t="inlineStr">
        <is>
          <t>Product Management</t>
        </is>
      </c>
      <c r="D61" s="38" t="inlineStr">
        <is>
          <t>InsureSight</t>
        </is>
      </c>
      <c r="E61" s="38" t="inlineStr">
        <is>
          <t>Other</t>
        </is>
      </c>
      <c r="F61" s="38" t="inlineStr">
        <is>
          <t>Accenture LLP</t>
        </is>
      </c>
      <c r="G61" s="39" t="n">
        <v>2924.35</v>
      </c>
    </row>
    <row r="62">
      <c r="A62" s="36" t="inlineStr">
        <is>
          <t>267c5cea-9ea6-446e-8a23-cd1e5361375a</t>
        </is>
      </c>
      <c r="B62" s="41" t="n">
        <v>45756</v>
      </c>
      <c r="C62" s="36" t="inlineStr">
        <is>
          <t>Content</t>
        </is>
      </c>
      <c r="D62" s="36" t="inlineStr">
        <is>
          <t>InsureSight</t>
        </is>
      </c>
      <c r="E62" s="36" t="inlineStr">
        <is>
          <t>Software and Maintenance Expense</t>
        </is>
      </c>
      <c r="F62" s="36" t="inlineStr">
        <is>
          <t>Palo Alto Networks</t>
        </is>
      </c>
      <c r="G62" s="37" t="n">
        <v>11579.06</v>
      </c>
    </row>
    <row r="63">
      <c r="A63" s="38" t="inlineStr">
        <is>
          <t>e4153da6-7bd8-42a5-a387-bd87d4a73781</t>
        </is>
      </c>
      <c r="B63" s="40" t="n">
        <v>45998</v>
      </c>
      <c r="C63" s="38" t="inlineStr">
        <is>
          <t>R&amp;D</t>
        </is>
      </c>
      <c r="D63" s="38" t="inlineStr">
        <is>
          <t>DocFast</t>
        </is>
      </c>
      <c r="E63" s="38" t="inlineStr">
        <is>
          <t>AWS</t>
        </is>
      </c>
      <c r="F63" s="38" t="inlineStr">
        <is>
          <t>Accenture LLP</t>
        </is>
      </c>
      <c r="G63" s="39" t="n">
        <v>5264.61</v>
      </c>
    </row>
    <row r="64">
      <c r="A64" s="36" t="inlineStr">
        <is>
          <t>4596d386-69da-454d-9d57-1a3ecc03ac5b</t>
        </is>
      </c>
      <c r="B64" s="41" t="n">
        <v>46000</v>
      </c>
      <c r="C64" s="36" t="inlineStr">
        <is>
          <t>Support</t>
        </is>
      </c>
      <c r="D64" s="36" t="inlineStr">
        <is>
          <t>iGO</t>
        </is>
      </c>
      <c r="E64" s="36" t="inlineStr">
        <is>
          <t>Other</t>
        </is>
      </c>
      <c r="F64" s="36" t="inlineStr">
        <is>
          <t>Deloitte Consulting</t>
        </is>
      </c>
      <c r="G64" s="37" t="n">
        <v>8170.7</v>
      </c>
    </row>
    <row r="65">
      <c r="A65" s="38" t="inlineStr">
        <is>
          <t>ddedef0a-7dd1-4249-835b-5e50f49ff792</t>
        </is>
      </c>
      <c r="B65" s="40" t="n">
        <v>45865</v>
      </c>
      <c r="C65" s="38" t="inlineStr">
        <is>
          <t>Support</t>
        </is>
      </c>
      <c r="D65" s="38" t="inlineStr">
        <is>
          <t>Affirm</t>
        </is>
      </c>
      <c r="E65" s="38" t="inlineStr">
        <is>
          <t>Data Center Fees</t>
        </is>
      </c>
      <c r="F65" s="38" t="inlineStr">
        <is>
          <t>Amazon Web Services</t>
        </is>
      </c>
      <c r="G65" s="39" t="inlineStr">
        <is>
          <t>4350.07</t>
        </is>
      </c>
    </row>
    <row r="66">
      <c r="A66" s="36" t="inlineStr">
        <is>
          <t>203c77e4-22ab-4ba5-8e21-17a361c28a6c</t>
        </is>
      </c>
      <c r="B66" s="41" t="n">
        <v>45994</v>
      </c>
      <c r="C66" s="36" t="inlineStr">
        <is>
          <t>Support</t>
        </is>
      </c>
      <c r="D66" s="36" t="inlineStr">
        <is>
          <t>DocFast</t>
        </is>
      </c>
      <c r="E66" s="36" t="inlineStr">
        <is>
          <t>Reselling Expenses</t>
        </is>
      </c>
      <c r="F66" s="36" t="inlineStr">
        <is>
          <t>Palo Alto Networks</t>
        </is>
      </c>
      <c r="G66" s="37" t="n">
        <v>11222.71</v>
      </c>
    </row>
    <row r="67">
      <c r="A67" s="38" t="inlineStr">
        <is>
          <t>51e8f173-f795-49b0-8e52-d6cfa8bbc774</t>
        </is>
      </c>
      <c r="B67" s="40" t="n">
        <v>45754</v>
      </c>
      <c r="C67" s="38" t="inlineStr">
        <is>
          <t>Product Management</t>
        </is>
      </c>
      <c r="D67" s="38" t="inlineStr">
        <is>
          <t>InsureSight</t>
        </is>
      </c>
      <c r="E67" s="38" t="inlineStr">
        <is>
          <t>Overhead Allocation &amp; Chargebacks</t>
        </is>
      </c>
      <c r="F67" s="38" t="inlineStr">
        <is>
          <t>Iron Mountain</t>
        </is>
      </c>
      <c r="G67" s="39" t="n">
        <v>4110.74</v>
      </c>
    </row>
    <row r="68">
      <c r="A68" s="36" t="inlineStr">
        <is>
          <t>f055e65a-d4ee-424a-8e6a-ccf0a966085e</t>
        </is>
      </c>
      <c r="B68" s="41" t="n">
        <v>45708</v>
      </c>
      <c r="C68" s="36" t="inlineStr">
        <is>
          <t>R&amp;D</t>
        </is>
      </c>
      <c r="D68" s="36" t="inlineStr">
        <is>
          <t>Affirm</t>
        </is>
      </c>
      <c r="E68" s="36" t="inlineStr">
        <is>
          <t>Software and Maintenance Expense</t>
        </is>
      </c>
      <c r="F68" s="36" t="inlineStr">
        <is>
          <t>Amazon Web Services</t>
        </is>
      </c>
      <c r="G68" s="37" t="n">
        <v>10064.02</v>
      </c>
    </row>
    <row r="69">
      <c r="A69" s="38" t="inlineStr">
        <is>
          <t>06ea6433-87ae-43db-8206-bcbb22cf9a89</t>
        </is>
      </c>
      <c r="B69" s="40" t="n">
        <v>45908</v>
      </c>
      <c r="C69" s="38" t="inlineStr">
        <is>
          <t>R&amp;D</t>
        </is>
      </c>
      <c r="D69" s="38" t="inlineStr">
        <is>
          <t>Affirm</t>
        </is>
      </c>
      <c r="E69" s="38" t="inlineStr">
        <is>
          <t>Employee Expenses</t>
        </is>
      </c>
      <c r="F69" s="38" t="inlineStr">
        <is>
          <t>Cloudflare Inc.</t>
        </is>
      </c>
      <c r="G69" s="39" t="n">
        <v>6228.86</v>
      </c>
    </row>
    <row r="70">
      <c r="A70" s="36" t="inlineStr">
        <is>
          <t>5975f85b-0ab3-4fa7-b809-862b6c1c2b22</t>
        </is>
      </c>
      <c r="B70" s="41" t="n">
        <v>46007</v>
      </c>
      <c r="C70" s="36" t="inlineStr">
        <is>
          <t>NetOps</t>
        </is>
      </c>
      <c r="D70" s="36" t="inlineStr">
        <is>
          <t>Affirm</t>
        </is>
      </c>
      <c r="E70" s="36" t="inlineStr">
        <is>
          <t>Employee Expenses</t>
        </is>
      </c>
      <c r="F70" s="36" t="inlineStr">
        <is>
          <t>Cognizant Technology</t>
        </is>
      </c>
      <c r="G70" s="37" t="n">
        <v>14669.77</v>
      </c>
    </row>
    <row r="71">
      <c r="A71" s="38" t="inlineStr">
        <is>
          <t>ad812bfa-99b4-45eb-91bf-e78f1dbf9b21</t>
        </is>
      </c>
      <c r="B71" s="40" t="n">
        <v>45730</v>
      </c>
      <c r="C71" s="38" t="inlineStr">
        <is>
          <t>R&amp;D</t>
        </is>
      </c>
      <c r="D71" s="38" t="inlineStr">
        <is>
          <t>DocFast</t>
        </is>
      </c>
      <c r="E71" s="38" t="inlineStr">
        <is>
          <t>Office Expenses &amp; Rent Allocation</t>
        </is>
      </c>
      <c r="F71" s="38" t="inlineStr">
        <is>
          <t>Deloitte Consulting</t>
        </is>
      </c>
      <c r="G71" s="39" t="n">
        <v>3031.87</v>
      </c>
    </row>
    <row r="72">
      <c r="A72" s="36" t="inlineStr">
        <is>
          <t>5e55d144-0002-4cbe-b42b-5e24286b2fe4</t>
        </is>
      </c>
      <c r="B72" s="41" t="n">
        <v>45788</v>
      </c>
      <c r="C72" s="36" t="inlineStr">
        <is>
          <t>Support</t>
        </is>
      </c>
      <c r="D72" s="36" t="inlineStr">
        <is>
          <t>iGO</t>
        </is>
      </c>
      <c r="E72" s="36" t="inlineStr">
        <is>
          <t>Professional Fees and Outsourcing Expenses</t>
        </is>
      </c>
      <c r="F72" s="36" t="inlineStr">
        <is>
          <t>Deloitte Consulting</t>
        </is>
      </c>
      <c r="G72" s="37" t="n">
        <v>8633.290000000001</v>
      </c>
    </row>
    <row r="73">
      <c r="A73" s="38" t="inlineStr">
        <is>
          <t>8ecfeee2-4b6b-4b55-8c5e-902f8e83b0c2</t>
        </is>
      </c>
      <c r="B73" s="40" t="n">
        <v>45924</v>
      </c>
      <c r="C73" s="38" t="inlineStr">
        <is>
          <t>R&amp;D</t>
        </is>
      </c>
      <c r="D73" s="38" t="inlineStr">
        <is>
          <t>iGO</t>
        </is>
      </c>
      <c r="E73" s="38" t="inlineStr">
        <is>
          <t>Advertising and Promotion Expense</t>
        </is>
      </c>
      <c r="F73" s="38" t="inlineStr">
        <is>
          <t>Zendesk Inc.</t>
        </is>
      </c>
      <c r="G73" s="39" t="n">
        <v>13239.56</v>
      </c>
    </row>
    <row r="74">
      <c r="A74" s="36" t="inlineStr">
        <is>
          <t>8b5b8e4d-82e2-4f4b-b46a-a7832229ec93</t>
        </is>
      </c>
      <c r="B74" s="41" t="n">
        <v>45718</v>
      </c>
      <c r="C74" s="36" t="inlineStr">
        <is>
          <t>Product Management</t>
        </is>
      </c>
      <c r="D74" s="36" t="inlineStr">
        <is>
          <t>DocFast</t>
        </is>
      </c>
      <c r="E74" s="36" t="inlineStr">
        <is>
          <t>Office Expenses &amp; Rent Allocation</t>
        </is>
      </c>
      <c r="F74" s="36" t="inlineStr">
        <is>
          <t>Datadog Inc.</t>
        </is>
      </c>
      <c r="G74" s="37" t="n">
        <v>14052.3</v>
      </c>
    </row>
    <row r="75">
      <c r="A75" s="38" t="inlineStr">
        <is>
          <t>dd2d405d-95fa-48cf-b462-f98775d460ec</t>
        </is>
      </c>
      <c r="B75" s="40" t="n">
        <v>45779</v>
      </c>
      <c r="C75" s="38" t="inlineStr">
        <is>
          <t>NetOps</t>
        </is>
      </c>
      <c r="D75" s="38" t="inlineStr">
        <is>
          <t>InsureSight</t>
        </is>
      </c>
      <c r="E75" s="38" t="inlineStr">
        <is>
          <t>Other</t>
        </is>
      </c>
      <c r="F75" s="38" t="inlineStr">
        <is>
          <t>WillisTowersWatson</t>
        </is>
      </c>
      <c r="G75" s="39" t="n">
        <v>1654.15</v>
      </c>
    </row>
    <row r="76">
      <c r="A76" s="36" t="inlineStr">
        <is>
          <t>170d59d3-aea9-44d6-b3ea-bb3fb3e83e55</t>
        </is>
      </c>
      <c r="B76" s="41" t="n">
        <v>45818</v>
      </c>
      <c r="C76" s="36" t="inlineStr">
        <is>
          <t>Partners</t>
        </is>
      </c>
      <c r="D76" s="36" t="inlineStr">
        <is>
          <t>DocFast</t>
        </is>
      </c>
      <c r="E76" s="36" t="inlineStr">
        <is>
          <t>Advertising and Promotion Expense</t>
        </is>
      </c>
      <c r="F76" s="36" t="inlineStr">
        <is>
          <t>Microsoft Corp.</t>
        </is>
      </c>
      <c r="G76" s="37" t="n">
        <v>7587.98</v>
      </c>
    </row>
    <row r="77">
      <c r="A77" s="38" t="inlineStr">
        <is>
          <t>384c5824-52a4-49c6-bfbe-7887cbfc33e7</t>
        </is>
      </c>
      <c r="B77" s="40" t="n">
        <v>45784</v>
      </c>
      <c r="C77" s="38" t="inlineStr">
        <is>
          <t>Product Management</t>
        </is>
      </c>
      <c r="D77" s="38" t="inlineStr">
        <is>
          <t>iGO</t>
        </is>
      </c>
      <c r="E77" s="38" t="inlineStr">
        <is>
          <t>AWS</t>
        </is>
      </c>
      <c r="F77" s="38" t="inlineStr">
        <is>
          <t>Datadog Inc.</t>
        </is>
      </c>
      <c r="G77" s="39" t="n">
        <v>10980.23</v>
      </c>
    </row>
    <row r="78">
      <c r="A78" s="36" t="inlineStr">
        <is>
          <t>3e6f6ef6-431f-4fd4-ad02-5d2fffa2bffa</t>
        </is>
      </c>
      <c r="B78" s="41" t="n">
        <v>45970</v>
      </c>
      <c r="C78" s="36" t="inlineStr">
        <is>
          <t>R&amp;D</t>
        </is>
      </c>
      <c r="D78" s="36" t="inlineStr">
        <is>
          <t>Affirm</t>
        </is>
      </c>
      <c r="E78" s="36" t="inlineStr">
        <is>
          <t>Employee Expenses</t>
        </is>
      </c>
      <c r="F78" s="36" t="inlineStr">
        <is>
          <t>Iron Mountain</t>
        </is>
      </c>
      <c r="G78" s="37" t="n">
        <v>5089.83</v>
      </c>
    </row>
    <row r="79">
      <c r="A79" s="38" t="inlineStr">
        <is>
          <t>d5997d2e-3e60-472a-b98f-771f0ff71bca</t>
        </is>
      </c>
      <c r="B79" s="40" t="n">
        <v>45796</v>
      </c>
      <c r="C79" s="38" t="inlineStr">
        <is>
          <t>R&amp;D</t>
        </is>
      </c>
      <c r="D79" s="38" t="inlineStr">
        <is>
          <t>Affirm</t>
        </is>
      </c>
      <c r="E79" s="38" t="inlineStr">
        <is>
          <t>Advertising and Promotion Expense</t>
        </is>
      </c>
      <c r="F79" s="38" t="inlineStr">
        <is>
          <t>WillisTowersWatson</t>
        </is>
      </c>
      <c r="G79" s="39" t="n">
        <v>12849.39</v>
      </c>
    </row>
    <row r="80">
      <c r="A80" s="36" t="inlineStr">
        <is>
          <t>28c18185-5762-43a7-8d32-0dd0120062a6</t>
        </is>
      </c>
      <c r="B80" s="41" t="n">
        <v>45865</v>
      </c>
      <c r="C80" s="36" t="inlineStr">
        <is>
          <t>Partners</t>
        </is>
      </c>
      <c r="D80" s="36" t="inlineStr">
        <is>
          <t>InsureSight</t>
        </is>
      </c>
      <c r="E80" s="36" t="inlineStr">
        <is>
          <t>Professional Fees and Outsourcing Expenses</t>
        </is>
      </c>
      <c r="F80" s="36" t="inlineStr">
        <is>
          <t>Zendesk Inc.</t>
        </is>
      </c>
      <c r="G80" s="37" t="n">
        <v>10055.38</v>
      </c>
    </row>
    <row r="81">
      <c r="A81" s="38" t="inlineStr">
        <is>
          <t>e699ee2d-bfc5-43c4-b0cc-fb4977c98830</t>
        </is>
      </c>
      <c r="B81" s="40" t="n">
        <v>45721</v>
      </c>
      <c r="C81" s="38" t="inlineStr">
        <is>
          <t>Partners</t>
        </is>
      </c>
      <c r="D81" s="38" t="inlineStr">
        <is>
          <t>InsureSight</t>
        </is>
      </c>
      <c r="E81" s="38" t="inlineStr">
        <is>
          <t>Software and Maintenance Expense</t>
        </is>
      </c>
      <c r="F81" s="38" t="inlineStr">
        <is>
          <t>Amazon Web Services</t>
        </is>
      </c>
      <c r="G81" s="39" t="n">
        <v>3948.74</v>
      </c>
    </row>
    <row r="82">
      <c r="A82" s="36" t="inlineStr">
        <is>
          <t>940cfaf7-1afd-4540-8a02-1a5921c4bdd0</t>
        </is>
      </c>
      <c r="B82" s="41" t="n">
        <v>45762</v>
      </c>
      <c r="C82" s="36" t="inlineStr">
        <is>
          <t>Product Management</t>
        </is>
      </c>
      <c r="D82" s="36" t="inlineStr">
        <is>
          <t>InsureSight</t>
        </is>
      </c>
      <c r="E82" s="36" t="inlineStr">
        <is>
          <t>AWS</t>
        </is>
      </c>
      <c r="F82" s="36" t="inlineStr">
        <is>
          <t>Palo Alto Networks</t>
        </is>
      </c>
      <c r="G82" s="37" t="n">
        <v>8757.790000000001</v>
      </c>
    </row>
    <row r="83">
      <c r="A83" s="38" t="inlineStr">
        <is>
          <t>cbc65604-e3b5-4ac1-bbbd-5c91aa85f143</t>
        </is>
      </c>
      <c r="B83" s="40" t="n">
        <v>45931</v>
      </c>
      <c r="C83" s="38" t="inlineStr">
        <is>
          <t>Support</t>
        </is>
      </c>
      <c r="D83" s="38" t="inlineStr">
        <is>
          <t>InsureSight</t>
        </is>
      </c>
      <c r="E83" s="38" t="inlineStr">
        <is>
          <t>Software and Maintenance Expense</t>
        </is>
      </c>
      <c r="F83" s="38" t="inlineStr">
        <is>
          <t>Amazon Web Services</t>
        </is>
      </c>
      <c r="G83" s="39" t="n">
        <v>10033.4</v>
      </c>
    </row>
    <row r="84">
      <c r="A84" s="36" t="inlineStr">
        <is>
          <t>d2851bab-9445-4f58-91d6-464d091d643d</t>
        </is>
      </c>
      <c r="B84" s="41" t="n">
        <v>45879</v>
      </c>
      <c r="C84" s="36" t="inlineStr">
        <is>
          <t>Security</t>
        </is>
      </c>
      <c r="D84" s="36" t="inlineStr">
        <is>
          <t>DocFast</t>
        </is>
      </c>
      <c r="E84" s="36" t="inlineStr">
        <is>
          <t>Reselling Expenses</t>
        </is>
      </c>
      <c r="F84" s="36" t="inlineStr">
        <is>
          <t>Cognizant Technology</t>
        </is>
      </c>
      <c r="G84" s="37" t="n">
        <v>13850.43</v>
      </c>
    </row>
    <row r="85">
      <c r="A85" s="38" t="inlineStr">
        <is>
          <t>0ce188a4-1871-4eda-a6cb-1b1c053a6a9b</t>
        </is>
      </c>
      <c r="B85" s="40" t="n">
        <v>46016</v>
      </c>
      <c r="C85" s="38" t="inlineStr">
        <is>
          <t>Support</t>
        </is>
      </c>
      <c r="D85" s="38" t="inlineStr">
        <is>
          <t>iGO</t>
        </is>
      </c>
      <c r="E85" s="38" t="inlineStr">
        <is>
          <t>Reselling Expenses</t>
        </is>
      </c>
      <c r="F85" s="38" t="inlineStr">
        <is>
          <t>Atlassian Inc.</t>
        </is>
      </c>
      <c r="G85" s="39" t="n">
        <v>14112.5</v>
      </c>
    </row>
    <row r="86">
      <c r="A86" s="36" t="inlineStr">
        <is>
          <t>d500404a-0cf4-4cf1-8433-e940ab6a503f</t>
        </is>
      </c>
      <c r="B86" s="41" t="n">
        <v>45828</v>
      </c>
      <c r="C86" s="36" t="inlineStr">
        <is>
          <t>Security</t>
        </is>
      </c>
      <c r="D86" s="36" t="inlineStr">
        <is>
          <t>Affirm</t>
        </is>
      </c>
      <c r="E86" s="36" t="inlineStr">
        <is>
          <t>Advertising and Promotion Expense</t>
        </is>
      </c>
      <c r="F86" s="36" t="inlineStr">
        <is>
          <t>Accenture LLP</t>
        </is>
      </c>
      <c r="G86" s="37" t="n">
        <v>2340.12</v>
      </c>
    </row>
    <row r="87">
      <c r="A87" s="38" t="inlineStr">
        <is>
          <t>2e95c1ad-04dc-4a96-8c9a-94298925018d</t>
        </is>
      </c>
      <c r="B87" s="40" t="n">
        <v>46011</v>
      </c>
      <c r="C87" s="38" t="inlineStr">
        <is>
          <t>Support</t>
        </is>
      </c>
      <c r="D87" s="38" t="inlineStr">
        <is>
          <t>DocFast</t>
        </is>
      </c>
      <c r="E87" s="38" t="inlineStr">
        <is>
          <t>Overhead Allocation &amp; Chargebacks</t>
        </is>
      </c>
      <c r="F87" s="38" t="inlineStr">
        <is>
          <t>Atlassian Inc.</t>
        </is>
      </c>
      <c r="G87" s="39" t="n">
        <v>7088.88</v>
      </c>
    </row>
    <row r="88">
      <c r="A88" s="36" t="inlineStr">
        <is>
          <t>a1059082-a8a7-4e3f-b47d-3259114bda44</t>
        </is>
      </c>
      <c r="B88" s="41" t="n">
        <v>45926</v>
      </c>
      <c r="C88" s="36" t="inlineStr">
        <is>
          <t>R&amp;D</t>
        </is>
      </c>
      <c r="D88" s="36" t="inlineStr">
        <is>
          <t>Affirm</t>
        </is>
      </c>
      <c r="E88" s="36" t="inlineStr">
        <is>
          <t>Software and Maintenance Expense</t>
        </is>
      </c>
      <c r="F88" s="36" t="inlineStr">
        <is>
          <t>Deloitte Consulting</t>
        </is>
      </c>
      <c r="G88" s="37" t="n">
        <v>11333.36</v>
      </c>
    </row>
    <row r="89">
      <c r="A89" s="38" t="inlineStr">
        <is>
          <t>0d6fdce7-ad15-4da1-91ff-55fb24c1ec15</t>
        </is>
      </c>
      <c r="B89" s="40" t="n">
        <v>45705</v>
      </c>
      <c r="C89" s="38" t="inlineStr">
        <is>
          <t>Partners</t>
        </is>
      </c>
      <c r="D89" s="38" t="inlineStr">
        <is>
          <t>InsureSight</t>
        </is>
      </c>
      <c r="E89" s="38" t="inlineStr">
        <is>
          <t>Professional Fees and Outsourcing Expenses</t>
        </is>
      </c>
      <c r="F89" s="38" t="inlineStr">
        <is>
          <t>Atlassian Inc.</t>
        </is>
      </c>
      <c r="G89" s="39" t="n">
        <v>8484.32</v>
      </c>
    </row>
    <row r="90">
      <c r="A90" s="36" t="inlineStr">
        <is>
          <t>02935ef9-ff32-41c5-b775-729154a70bd2</t>
        </is>
      </c>
      <c r="B90" s="41" t="n">
        <v>45684</v>
      </c>
      <c r="C90" s="36" t="inlineStr">
        <is>
          <t>Content</t>
        </is>
      </c>
      <c r="D90" s="36" t="inlineStr">
        <is>
          <t>Affirm</t>
        </is>
      </c>
      <c r="E90" s="36" t="inlineStr">
        <is>
          <t>Other</t>
        </is>
      </c>
      <c r="F90" s="36" t="inlineStr">
        <is>
          <t>Cognizant Technology</t>
        </is>
      </c>
      <c r="G90" s="37" t="n">
        <v>2290.29</v>
      </c>
    </row>
    <row r="91">
      <c r="A91" s="38" t="inlineStr">
        <is>
          <t>1fc7329d-e0c7-40bf-bc9b-75cb8db1c829</t>
        </is>
      </c>
      <c r="B91" s="40" t="n">
        <v>45836</v>
      </c>
      <c r="C91" s="38" t="inlineStr">
        <is>
          <t>Content</t>
        </is>
      </c>
      <c r="D91" s="38" t="inlineStr">
        <is>
          <t>DocFast</t>
        </is>
      </c>
      <c r="E91" s="38" t="inlineStr">
        <is>
          <t>Professional Fees and Outsourcing Expenses</t>
        </is>
      </c>
      <c r="F91" s="38" t="inlineStr">
        <is>
          <t>Deloitte Consulting</t>
        </is>
      </c>
      <c r="G91" s="39" t="n">
        <v>3120.75</v>
      </c>
    </row>
    <row r="92">
      <c r="A92" s="36" t="inlineStr">
        <is>
          <t>8865739c-f3c2-46f6-b218-7e62b1f85eb9</t>
        </is>
      </c>
      <c r="B92" s="41" t="n">
        <v>45946</v>
      </c>
      <c r="C92" s="36" t="inlineStr">
        <is>
          <t>NetOps</t>
        </is>
      </c>
      <c r="D92" s="36" t="inlineStr">
        <is>
          <t>DocFast</t>
        </is>
      </c>
      <c r="E92" s="36" t="inlineStr">
        <is>
          <t>Employee Expenses</t>
        </is>
      </c>
      <c r="F92" s="36" t="inlineStr">
        <is>
          <t>Accenture LLP</t>
        </is>
      </c>
      <c r="G92" s="37" t="n">
        <v>2022.57</v>
      </c>
    </row>
    <row r="93">
      <c r="A93" s="38" t="inlineStr">
        <is>
          <t>ddef5e78-884e-4302-92c4-48572a378920</t>
        </is>
      </c>
      <c r="B93" s="40" t="n">
        <v>45853</v>
      </c>
      <c r="C93" s="38" t="inlineStr">
        <is>
          <t>Content</t>
        </is>
      </c>
      <c r="D93" s="38" t="inlineStr">
        <is>
          <t>iGO</t>
        </is>
      </c>
      <c r="E93" s="38" t="inlineStr">
        <is>
          <t>Overhead Allocation &amp; Chargebacks</t>
        </is>
      </c>
      <c r="F93" s="38" t="inlineStr">
        <is>
          <t>Accenture LLP</t>
        </is>
      </c>
      <c r="G93" s="39" t="n">
        <v>10107.88</v>
      </c>
    </row>
    <row r="94">
      <c r="A94" s="36" t="inlineStr">
        <is>
          <t>fa6902f6-3f9c-44ee-bccc-ff2f99efd97b</t>
        </is>
      </c>
      <c r="B94" s="41" t="n">
        <v>45801</v>
      </c>
      <c r="C94" s="36" t="inlineStr">
        <is>
          <t>NetOps</t>
        </is>
      </c>
      <c r="D94" s="36" t="inlineStr">
        <is>
          <t>DocFast</t>
        </is>
      </c>
      <c r="E94" s="36" t="inlineStr">
        <is>
          <t>Data Center Fees</t>
        </is>
      </c>
      <c r="F94" s="36" t="inlineStr">
        <is>
          <t>Microsoft Corp.</t>
        </is>
      </c>
      <c r="G94" s="37" t="n">
        <v>95.08</v>
      </c>
    </row>
    <row r="95">
      <c r="A95" s="38" t="inlineStr">
        <is>
          <t>9c779d09-2b9f-411b-9014-64c2a26caaf5</t>
        </is>
      </c>
      <c r="B95" s="40" t="n">
        <v>45766</v>
      </c>
      <c r="C95" s="38" t="inlineStr">
        <is>
          <t>NetOps</t>
        </is>
      </c>
      <c r="D95" s="38" t="inlineStr">
        <is>
          <t>iGO</t>
        </is>
      </c>
      <c r="E95" s="38" t="inlineStr">
        <is>
          <t>Connectivity Charges</t>
        </is>
      </c>
      <c r="F95" s="38" t="inlineStr">
        <is>
          <t>Salesforce Inc.</t>
        </is>
      </c>
      <c r="G95" s="39" t="n">
        <v>10520.75</v>
      </c>
    </row>
    <row r="96">
      <c r="A96" s="36" t="inlineStr">
        <is>
          <t>7d707178-b944-47b7-9d31-0957d0c438d4</t>
        </is>
      </c>
      <c r="B96" s="41" t="n">
        <v>45902</v>
      </c>
      <c r="C96" s="36" t="inlineStr">
        <is>
          <t>NetOps</t>
        </is>
      </c>
      <c r="D96" s="36" t="inlineStr">
        <is>
          <t>DocFast</t>
        </is>
      </c>
      <c r="E96" s="36" t="inlineStr">
        <is>
          <t>Employee Expenses</t>
        </is>
      </c>
      <c r="F96" s="36" t="inlineStr">
        <is>
          <t>Palo Alto Networks</t>
        </is>
      </c>
      <c r="G96" s="37" t="n">
        <v>6162.56</v>
      </c>
    </row>
    <row r="97">
      <c r="A97" s="38" t="inlineStr">
        <is>
          <t>547569ef-50dd-4020-8194-3bec54dcf70e</t>
        </is>
      </c>
      <c r="B97" s="40" t="n">
        <v>45741</v>
      </c>
      <c r="C97" s="38" t="inlineStr">
        <is>
          <t>R&amp;D</t>
        </is>
      </c>
      <c r="D97" s="38" t="inlineStr">
        <is>
          <t>DocFast</t>
        </is>
      </c>
      <c r="E97" s="38" t="inlineStr">
        <is>
          <t>AWS</t>
        </is>
      </c>
      <c r="F97" s="38" t="inlineStr">
        <is>
          <t>Atlassian Inc.</t>
        </is>
      </c>
      <c r="G97" s="39" t="n">
        <v>5768.07</v>
      </c>
    </row>
    <row r="98">
      <c r="A98" s="36" t="inlineStr">
        <is>
          <t>ba4039b0-d1e7-42ed-ba02-84c6dcf0e7b0</t>
        </is>
      </c>
      <c r="B98" s="41" t="n">
        <v>45851</v>
      </c>
      <c r="C98" s="36" t="inlineStr">
        <is>
          <t>NetOps</t>
        </is>
      </c>
      <c r="D98" s="36" t="inlineStr">
        <is>
          <t>Affirm</t>
        </is>
      </c>
      <c r="E98" s="36" t="inlineStr">
        <is>
          <t>Reselling Expenses</t>
        </is>
      </c>
      <c r="F98" s="36" t="inlineStr">
        <is>
          <t>Microsoft Corp.</t>
        </is>
      </c>
      <c r="G98" s="37" t="n">
        <v>5249.16</v>
      </c>
    </row>
    <row r="99">
      <c r="A99" s="38" t="inlineStr">
        <is>
          <t>dc566e52-a2c1-4aea-9bda-644a786d1023</t>
        </is>
      </c>
      <c r="B99" s="40" t="n">
        <v>45734</v>
      </c>
      <c r="C99" s="38" t="inlineStr">
        <is>
          <t>Partners</t>
        </is>
      </c>
      <c r="D99" s="38" t="inlineStr">
        <is>
          <t>Affirm</t>
        </is>
      </c>
      <c r="E99" s="38" t="inlineStr">
        <is>
          <t>Software and Maintenance Expense</t>
        </is>
      </c>
      <c r="F99" s="38" t="inlineStr">
        <is>
          <t>Microsoft Corp.</t>
        </is>
      </c>
      <c r="G99" s="39" t="n">
        <v>101.93</v>
      </c>
    </row>
    <row r="100">
      <c r="A100" s="36" t="inlineStr">
        <is>
          <t>4c60085e-90ac-49b3-8858-d90eec13267a</t>
        </is>
      </c>
      <c r="B100" s="41" t="n">
        <v>45667</v>
      </c>
      <c r="C100" s="36" t="inlineStr">
        <is>
          <t>Partners</t>
        </is>
      </c>
      <c r="D100" s="36" t="inlineStr">
        <is>
          <t>DocFast</t>
        </is>
      </c>
      <c r="E100" s="36" t="inlineStr">
        <is>
          <t>Overhead Allocation &amp; Chargebacks</t>
        </is>
      </c>
      <c r="F100" s="36" t="inlineStr">
        <is>
          <t>Zendesk Inc.</t>
        </is>
      </c>
      <c r="G100" s="37" t="n">
        <v>12359.24</v>
      </c>
    </row>
    <row r="101">
      <c r="A101" s="38" t="inlineStr">
        <is>
          <t>9dc47200-2826-4207-a927-3815ab0d3dbe</t>
        </is>
      </c>
      <c r="B101" s="40" t="n">
        <v>45762</v>
      </c>
      <c r="C101" s="38" t="inlineStr">
        <is>
          <t>Support</t>
        </is>
      </c>
      <c r="D101" s="38" t="inlineStr">
        <is>
          <t>Affirm</t>
        </is>
      </c>
      <c r="E101" s="38" t="inlineStr">
        <is>
          <t>Data Center Fees</t>
        </is>
      </c>
      <c r="F101" s="38" t="inlineStr">
        <is>
          <t>CrowdStrike Holdings</t>
        </is>
      </c>
      <c r="G101" s="39" t="n">
        <v>14064.28</v>
      </c>
    </row>
    <row r="102">
      <c r="A102" s="36" t="inlineStr">
        <is>
          <t>1b3e0fa9-1417-4f7e-acdf-2d61e8e4e42b</t>
        </is>
      </c>
      <c r="B102" s="41" t="n">
        <v>46016</v>
      </c>
      <c r="C102" s="36" t="inlineStr">
        <is>
          <t>NetOps</t>
        </is>
      </c>
      <c r="D102" s="36" t="inlineStr">
        <is>
          <t>iGO</t>
        </is>
      </c>
      <c r="E102" s="36" t="inlineStr">
        <is>
          <t>Reselling Expenses</t>
        </is>
      </c>
      <c r="F102" s="36" t="inlineStr">
        <is>
          <t>Zendesk Inc.</t>
        </is>
      </c>
      <c r="G102" s="37" t="n">
        <v>9243.1</v>
      </c>
    </row>
    <row r="103">
      <c r="A103" s="38" t="inlineStr">
        <is>
          <t>1ac125a2-afbe-4ec5-b3f9-6d82548484c7</t>
        </is>
      </c>
      <c r="B103" s="40" t="n">
        <v>45665</v>
      </c>
      <c r="C103" s="38" t="inlineStr">
        <is>
          <t>Security</t>
        </is>
      </c>
      <c r="D103" s="38" t="inlineStr">
        <is>
          <t>iGO</t>
        </is>
      </c>
      <c r="E103" s="38" t="inlineStr">
        <is>
          <t>Professional Fees and Outsourcing Expenses</t>
        </is>
      </c>
      <c r="F103" s="38" t="inlineStr">
        <is>
          <t>WillisTowersWatson</t>
        </is>
      </c>
      <c r="G103" s="39" t="n">
        <v>551.97</v>
      </c>
    </row>
    <row r="104">
      <c r="A104" s="36" t="inlineStr">
        <is>
          <t>f681c869-67a3-442b-bb9f-a6c385d5e430</t>
        </is>
      </c>
      <c r="B104" s="41" t="n">
        <v>45952</v>
      </c>
      <c r="C104" s="36" t="inlineStr">
        <is>
          <t>R&amp;D</t>
        </is>
      </c>
      <c r="D104" s="36" t="inlineStr">
        <is>
          <t>iGO</t>
        </is>
      </c>
      <c r="E104" s="36" t="inlineStr">
        <is>
          <t>Software and Maintenance Expense</t>
        </is>
      </c>
      <c r="F104" s="36" t="inlineStr">
        <is>
          <t>Iron Mountain</t>
        </is>
      </c>
      <c r="G104" s="37" t="n">
        <v>711.34</v>
      </c>
    </row>
    <row r="105">
      <c r="A105" s="38" t="inlineStr">
        <is>
          <t>a597523c-547b-44c1-9afd-f1830a2eaca2</t>
        </is>
      </c>
      <c r="B105" s="40" t="n">
        <v>45877</v>
      </c>
      <c r="C105" s="38" t="inlineStr">
        <is>
          <t>Content</t>
        </is>
      </c>
      <c r="D105" s="38" t="inlineStr">
        <is>
          <t>Affirm</t>
        </is>
      </c>
      <c r="E105" s="38" t="inlineStr">
        <is>
          <t>Employee Expenses</t>
        </is>
      </c>
      <c r="F105" s="38" t="inlineStr">
        <is>
          <t>Datadog Inc.</t>
        </is>
      </c>
      <c r="G105" s="39" t="n">
        <v>7583.24</v>
      </c>
    </row>
    <row r="106">
      <c r="A106" s="36" t="inlineStr">
        <is>
          <t>fcc2da6b-78d6-41ab-b107-e719ea51993c</t>
        </is>
      </c>
      <c r="B106" s="41" t="n">
        <v>45785</v>
      </c>
      <c r="C106" s="36" t="inlineStr">
        <is>
          <t>Product Management</t>
        </is>
      </c>
      <c r="D106" s="36" t="inlineStr">
        <is>
          <t>InsureSight</t>
        </is>
      </c>
      <c r="E106" s="36" t="inlineStr">
        <is>
          <t>Other</t>
        </is>
      </c>
      <c r="F106" s="36" t="inlineStr">
        <is>
          <t>WillisTowersWatson</t>
        </is>
      </c>
      <c r="G106" s="37" t="n">
        <v>11599.45</v>
      </c>
    </row>
    <row r="107">
      <c r="A107" s="38" t="inlineStr">
        <is>
          <t>69683c5f-d3fa-49d0-a13e-de6e9a5d5462</t>
        </is>
      </c>
      <c r="B107" s="40" t="n">
        <v>45816</v>
      </c>
      <c r="C107" s="38" t="inlineStr">
        <is>
          <t>Support</t>
        </is>
      </c>
      <c r="D107" s="38" t="inlineStr">
        <is>
          <t>Affirm</t>
        </is>
      </c>
      <c r="E107" s="38" t="inlineStr">
        <is>
          <t>Reselling Expenses</t>
        </is>
      </c>
      <c r="F107" s="38" t="inlineStr">
        <is>
          <t>Cognizant Technology</t>
        </is>
      </c>
      <c r="G107" s="39" t="n">
        <v>3354.59</v>
      </c>
    </row>
    <row r="108">
      <c r="A108" s="36" t="inlineStr">
        <is>
          <t>74181b15-d9d6-42f4-bfdb-72df71a69946</t>
        </is>
      </c>
      <c r="B108" s="41" t="n">
        <v>45786</v>
      </c>
      <c r="C108" s="36" t="inlineStr">
        <is>
          <t>NetOps</t>
        </is>
      </c>
      <c r="D108" s="36" t="inlineStr">
        <is>
          <t>Affirm</t>
        </is>
      </c>
      <c r="E108" s="36" t="inlineStr">
        <is>
          <t>Reselling Expenses</t>
        </is>
      </c>
      <c r="F108" s="36" t="inlineStr">
        <is>
          <t>Deloitte Consulting</t>
        </is>
      </c>
      <c r="G108" s="37" t="n">
        <v>6436.65</v>
      </c>
    </row>
    <row r="109">
      <c r="A109" s="38" t="inlineStr">
        <is>
          <t>458a6961-0385-42c2-9e7c-f439d69553e0</t>
        </is>
      </c>
      <c r="B109" s="40" t="n">
        <v>45871</v>
      </c>
      <c r="C109" s="38" t="inlineStr">
        <is>
          <t>Support</t>
        </is>
      </c>
      <c r="D109" s="38" t="inlineStr">
        <is>
          <t>DocFast</t>
        </is>
      </c>
      <c r="E109" s="38" t="inlineStr">
        <is>
          <t>Overhead Allocation &amp; Chargebacks</t>
        </is>
      </c>
      <c r="F109" s="38" t="inlineStr">
        <is>
          <t>Salesforce Inc.</t>
        </is>
      </c>
      <c r="G109" s="39" t="n">
        <v>10459.81</v>
      </c>
    </row>
    <row r="110">
      <c r="A110" s="36" t="inlineStr">
        <is>
          <t>dd441595-bc09-47be-8f30-2daa594a1635</t>
        </is>
      </c>
      <c r="B110" s="41" t="n">
        <v>45843</v>
      </c>
      <c r="C110" s="36" t="inlineStr">
        <is>
          <t>Support</t>
        </is>
      </c>
      <c r="D110" s="36" t="inlineStr">
        <is>
          <t>DocFast</t>
        </is>
      </c>
      <c r="E110" s="36" t="inlineStr">
        <is>
          <t>Advertising and Promotion Expense</t>
        </is>
      </c>
      <c r="F110" s="36" t="inlineStr">
        <is>
          <t>Adobe Systems</t>
        </is>
      </c>
      <c r="G110" s="37" t="n">
        <v>8092.03</v>
      </c>
    </row>
    <row r="111">
      <c r="A111" s="38" t="inlineStr">
        <is>
          <t>88cfa0bf-b886-448e-869b-bfb562190732</t>
        </is>
      </c>
      <c r="B111" s="40" t="n">
        <v>45775</v>
      </c>
      <c r="C111" s="38" t="inlineStr">
        <is>
          <t>Security</t>
        </is>
      </c>
      <c r="D111" s="38" t="inlineStr">
        <is>
          <t>InsureSight</t>
        </is>
      </c>
      <c r="E111" s="38" t="inlineStr">
        <is>
          <t>Advertising and Promotion Expense</t>
        </is>
      </c>
      <c r="F111" s="38" t="inlineStr">
        <is>
          <t>Adobe Systems</t>
        </is>
      </c>
      <c r="G111" s="39" t="n">
        <v>6972.23</v>
      </c>
    </row>
    <row r="112">
      <c r="A112" s="36" t="inlineStr">
        <is>
          <t>22bf65a3-ca7e-4156-95c7-45766319deb9</t>
        </is>
      </c>
      <c r="B112" s="41" t="n">
        <v>45675</v>
      </c>
      <c r="C112" s="36" t="inlineStr">
        <is>
          <t>Partners</t>
        </is>
      </c>
      <c r="D112" s="36" t="inlineStr">
        <is>
          <t>DocFast</t>
        </is>
      </c>
      <c r="E112" s="36" t="inlineStr">
        <is>
          <t>Overhead Allocation &amp; Chargebacks</t>
        </is>
      </c>
      <c r="F112" s="36" t="inlineStr">
        <is>
          <t>Cognizant Technology</t>
        </is>
      </c>
      <c r="G112" s="37" t="n">
        <v>2054.69</v>
      </c>
    </row>
    <row r="113">
      <c r="A113" s="38" t="inlineStr">
        <is>
          <t>8a11c49a-ebb3-4c2d-841b-3dd5c263d467</t>
        </is>
      </c>
      <c r="B113" s="40" t="n">
        <v>45756</v>
      </c>
      <c r="C113" s="38" t="inlineStr">
        <is>
          <t>Security</t>
        </is>
      </c>
      <c r="D113" s="38" t="inlineStr">
        <is>
          <t>InsureSight</t>
        </is>
      </c>
      <c r="E113" s="38" t="inlineStr">
        <is>
          <t>Reselling Expenses</t>
        </is>
      </c>
      <c r="F113" s="38" t="inlineStr">
        <is>
          <t>Cloudflare Inc.</t>
        </is>
      </c>
      <c r="G113" s="39" t="n">
        <v>13837.28</v>
      </c>
    </row>
    <row r="114">
      <c r="A114" s="36" t="inlineStr">
        <is>
          <t>c1aa8fb2-b506-4116-b87e-af7d1f8d002d</t>
        </is>
      </c>
      <c r="B114" s="41" t="n">
        <v>45811</v>
      </c>
      <c r="C114" s="36" t="inlineStr">
        <is>
          <t>Content</t>
        </is>
      </c>
      <c r="D114" s="36" t="inlineStr">
        <is>
          <t>Affirm</t>
        </is>
      </c>
      <c r="E114" s="36" t="inlineStr">
        <is>
          <t>Employee Expenses</t>
        </is>
      </c>
      <c r="F114" s="36" t="inlineStr">
        <is>
          <t>Palo Alto Networks</t>
        </is>
      </c>
      <c r="G114" s="37" t="n">
        <v>5688.66</v>
      </c>
    </row>
    <row r="115">
      <c r="A115" s="38" t="inlineStr">
        <is>
          <t>16b2e1a7-f332-4604-809f-b2a1b8371bad</t>
        </is>
      </c>
      <c r="B115" s="40" t="n">
        <v>45950</v>
      </c>
      <c r="C115" s="38" t="inlineStr">
        <is>
          <t>NetOps</t>
        </is>
      </c>
      <c r="D115" s="38" t="inlineStr">
        <is>
          <t>iGO</t>
        </is>
      </c>
      <c r="E115" s="38" t="inlineStr">
        <is>
          <t>Software and Maintenance Expense</t>
        </is>
      </c>
      <c r="F115" s="38" t="inlineStr">
        <is>
          <t>Adobe Systems</t>
        </is>
      </c>
      <c r="G115" s="39" t="n">
        <v>11437.36</v>
      </c>
    </row>
    <row r="116">
      <c r="A116" s="36" t="inlineStr">
        <is>
          <t>92515c8c-c222-4782-af57-1bbcafead53d</t>
        </is>
      </c>
      <c r="B116" s="41" t="n">
        <v>46013</v>
      </c>
      <c r="C116" s="36" t="inlineStr">
        <is>
          <t>Content</t>
        </is>
      </c>
      <c r="D116" s="36" t="inlineStr">
        <is>
          <t>Affirm</t>
        </is>
      </c>
      <c r="E116" s="36" t="inlineStr">
        <is>
          <t>Office Expenses &amp; Rent Allocation</t>
        </is>
      </c>
      <c r="F116" s="36" t="inlineStr">
        <is>
          <t>CrowdStrike Holdings</t>
        </is>
      </c>
      <c r="G116" s="37" t="n">
        <v>13048.63</v>
      </c>
    </row>
    <row r="117">
      <c r="A117" s="38" t="inlineStr">
        <is>
          <t>adcf8a69-8c95-4814-a4bc-635bce2a7074</t>
        </is>
      </c>
      <c r="B117" s="40" t="n">
        <v>45818</v>
      </c>
      <c r="C117" s="38" t="inlineStr">
        <is>
          <t>NetOps</t>
        </is>
      </c>
      <c r="D117" s="38" t="inlineStr">
        <is>
          <t>Affirm</t>
        </is>
      </c>
      <c r="E117" s="38" t="inlineStr">
        <is>
          <t>Software and Maintenance Expense</t>
        </is>
      </c>
      <c r="F117" s="38" t="inlineStr">
        <is>
          <t>Iron Mountain</t>
        </is>
      </c>
      <c r="G117" s="39" t="n">
        <v>1803.88</v>
      </c>
    </row>
    <row r="118">
      <c r="A118" s="36" t="inlineStr">
        <is>
          <t>d19075e8-4b40-4761-bb23-4b27e9e0188e</t>
        </is>
      </c>
      <c r="B118" s="41" t="n">
        <v>45877</v>
      </c>
      <c r="C118" s="36" t="inlineStr">
        <is>
          <t>R&amp;D</t>
        </is>
      </c>
      <c r="D118" s="36" t="inlineStr">
        <is>
          <t>Affirm</t>
        </is>
      </c>
      <c r="E118" s="36" t="inlineStr">
        <is>
          <t>Connectivity Charges</t>
        </is>
      </c>
      <c r="F118" s="36" t="inlineStr">
        <is>
          <t>Atlassian Inc.</t>
        </is>
      </c>
      <c r="G118" s="37" t="n">
        <v>3628</v>
      </c>
    </row>
    <row r="119">
      <c r="A119" s="38" t="inlineStr">
        <is>
          <t>61725dd5-f93e-4faf-9364-96973e9b9f9d</t>
        </is>
      </c>
      <c r="B119" s="40" t="n">
        <v>45833</v>
      </c>
      <c r="C119" s="38" t="inlineStr">
        <is>
          <t>Support</t>
        </is>
      </c>
      <c r="D119" s="38" t="inlineStr">
        <is>
          <t>DocFast</t>
        </is>
      </c>
      <c r="E119" s="38" t="inlineStr">
        <is>
          <t>Office Expenses &amp; Rent Allocation</t>
        </is>
      </c>
      <c r="F119" s="38" t="inlineStr">
        <is>
          <t>Cognizant Technology</t>
        </is>
      </c>
      <c r="G119" s="39" t="n">
        <v>9748.379999999999</v>
      </c>
    </row>
    <row r="120">
      <c r="A120" s="36" t="inlineStr">
        <is>
          <t>19b45e96-0625-4968-b31b-a0d5ea88283f</t>
        </is>
      </c>
      <c r="B120" s="41" t="n">
        <v>45786</v>
      </c>
      <c r="C120" s="36" t="inlineStr">
        <is>
          <t>Support</t>
        </is>
      </c>
      <c r="D120" s="36" t="inlineStr">
        <is>
          <t>DocFast</t>
        </is>
      </c>
      <c r="E120" s="36" t="inlineStr">
        <is>
          <t>Office Expenses &amp; Rent Allocation</t>
        </is>
      </c>
      <c r="F120" s="36" t="inlineStr">
        <is>
          <t>Cloudflare Inc.</t>
        </is>
      </c>
      <c r="G120" s="37" t="n">
        <v>12052.11</v>
      </c>
    </row>
    <row r="121">
      <c r="A121" s="38" t="inlineStr">
        <is>
          <t>a1743884-938b-4865-8a80-4ee4b48295ad</t>
        </is>
      </c>
      <c r="B121" s="40" t="n">
        <v>46007</v>
      </c>
      <c r="C121" s="38" t="inlineStr">
        <is>
          <t>Product Management</t>
        </is>
      </c>
      <c r="D121" s="38" t="inlineStr">
        <is>
          <t>InsureSight</t>
        </is>
      </c>
      <c r="E121" s="38" t="inlineStr">
        <is>
          <t>Software and Maintenance Expense</t>
        </is>
      </c>
      <c r="F121" s="38" t="inlineStr">
        <is>
          <t>Salesforce Inc.</t>
        </is>
      </c>
      <c r="G121" s="39" t="n">
        <v>4728.18</v>
      </c>
    </row>
    <row r="122">
      <c r="A122" s="36" t="inlineStr">
        <is>
          <t>43e66386-b41b-4024-aebd-46ac5c523a16</t>
        </is>
      </c>
      <c r="B122" s="41" t="n">
        <v>45676</v>
      </c>
      <c r="C122" s="36" t="inlineStr">
        <is>
          <t>Product Management</t>
        </is>
      </c>
      <c r="D122" s="36" t="inlineStr">
        <is>
          <t>Affirm</t>
        </is>
      </c>
      <c r="E122" s="36" t="inlineStr">
        <is>
          <t>Advertising and Promotion Expense</t>
        </is>
      </c>
      <c r="F122" s="36" t="inlineStr">
        <is>
          <t>Amazon Web Services</t>
        </is>
      </c>
      <c r="G122" s="37" t="n">
        <v>3948.57</v>
      </c>
    </row>
    <row r="123">
      <c r="A123" s="38" t="inlineStr">
        <is>
          <t>e0f735be-7cf9-46f6-a5e6-52ce9dcd5c5b</t>
        </is>
      </c>
      <c r="B123" s="40" t="n">
        <v>45949</v>
      </c>
      <c r="C123" s="38" t="inlineStr">
        <is>
          <t>R&amp;D</t>
        </is>
      </c>
      <c r="D123" s="38" t="inlineStr">
        <is>
          <t>DocFast</t>
        </is>
      </c>
      <c r="E123" s="38" t="inlineStr">
        <is>
          <t>Data Center Fees</t>
        </is>
      </c>
      <c r="F123" s="38" t="inlineStr">
        <is>
          <t>Datadog Inc.</t>
        </is>
      </c>
      <c r="G123" s="39" t="n">
        <v>2983.07</v>
      </c>
    </row>
    <row r="124">
      <c r="A124" s="36" t="inlineStr">
        <is>
          <t>2894716d-872b-40be-8609-94a0c5525f24</t>
        </is>
      </c>
      <c r="B124" s="41" t="n">
        <v>45760</v>
      </c>
      <c r="C124" s="36" t="inlineStr">
        <is>
          <t>Content</t>
        </is>
      </c>
      <c r="D124" s="36" t="inlineStr">
        <is>
          <t>Affirm</t>
        </is>
      </c>
      <c r="E124" s="36" t="inlineStr">
        <is>
          <t>Office Expenses &amp; Rent Allocation</t>
        </is>
      </c>
      <c r="F124" s="36" t="inlineStr">
        <is>
          <t>Cognizant Technology</t>
        </is>
      </c>
      <c r="G124" s="37" t="n">
        <v>9836.389999999999</v>
      </c>
    </row>
    <row r="125">
      <c r="A125" s="38" t="inlineStr">
        <is>
          <t>818b9472-0853-4ba3-bd56-294915a6175b</t>
        </is>
      </c>
      <c r="B125" s="40" t="n">
        <v>45972</v>
      </c>
      <c r="C125" s="38" t="inlineStr">
        <is>
          <t>Support</t>
        </is>
      </c>
      <c r="D125" s="38" t="inlineStr">
        <is>
          <t>DocFast</t>
        </is>
      </c>
      <c r="E125" s="38" t="inlineStr">
        <is>
          <t>Reselling Expenses</t>
        </is>
      </c>
      <c r="F125" s="38" t="inlineStr">
        <is>
          <t>Iron Mountain</t>
        </is>
      </c>
      <c r="G125" s="39" t="n">
        <v>7384.4</v>
      </c>
    </row>
    <row r="126">
      <c r="A126" s="36" t="inlineStr">
        <is>
          <t>e5bccdee-dc99-4868-848b-a3d5a807fb98</t>
        </is>
      </c>
      <c r="B126" s="41" t="n">
        <v>45740</v>
      </c>
      <c r="C126" s="36" t="inlineStr">
        <is>
          <t>Product Management</t>
        </is>
      </c>
      <c r="D126" s="36" t="inlineStr">
        <is>
          <t>InsureSight</t>
        </is>
      </c>
      <c r="E126" s="36" t="inlineStr">
        <is>
          <t>Advertising and Promotion Expense</t>
        </is>
      </c>
      <c r="F126" s="36" t="inlineStr">
        <is>
          <t>Datadog Inc.</t>
        </is>
      </c>
      <c r="G126" s="37" t="n">
        <v>10818.69</v>
      </c>
    </row>
    <row r="127">
      <c r="A127" s="38" t="inlineStr">
        <is>
          <t>817e4e9c-2ecd-47c4-90a4-e01e6295b405</t>
        </is>
      </c>
      <c r="B127" s="40" t="n">
        <v>45875</v>
      </c>
      <c r="C127" s="38" t="inlineStr">
        <is>
          <t>Content</t>
        </is>
      </c>
      <c r="D127" s="38" t="inlineStr">
        <is>
          <t>iGO</t>
        </is>
      </c>
      <c r="E127" s="38" t="inlineStr">
        <is>
          <t>Overhead Allocation &amp; Chargebacks</t>
        </is>
      </c>
      <c r="F127" s="38" t="inlineStr">
        <is>
          <t>Amazon Web Services</t>
        </is>
      </c>
      <c r="G127" s="39" t="n">
        <v>12594.07</v>
      </c>
    </row>
    <row r="128">
      <c r="A128" s="36" t="inlineStr">
        <is>
          <t>f5bd3162-80fe-4cd2-8040-e5107c4c7791</t>
        </is>
      </c>
      <c r="B128" s="41" t="n">
        <v>45715</v>
      </c>
      <c r="C128" s="36" t="inlineStr">
        <is>
          <t>R&amp;D</t>
        </is>
      </c>
      <c r="D128" s="36" t="inlineStr">
        <is>
          <t>iGO</t>
        </is>
      </c>
      <c r="E128" s="36" t="inlineStr">
        <is>
          <t>Employee Expenses</t>
        </is>
      </c>
      <c r="F128" s="36" t="inlineStr">
        <is>
          <t>Zendesk Inc.</t>
        </is>
      </c>
      <c r="G128" s="37" t="n">
        <v>2105.5</v>
      </c>
    </row>
    <row r="129">
      <c r="A129" s="38" t="inlineStr">
        <is>
          <t>d47c6d7c-b972-4a46-8747-de1e84db9efd</t>
        </is>
      </c>
      <c r="B129" s="40" t="n">
        <v>45969</v>
      </c>
      <c r="C129" s="38" t="inlineStr">
        <is>
          <t>NetOps</t>
        </is>
      </c>
      <c r="D129" s="38" t="inlineStr">
        <is>
          <t>Affirm</t>
        </is>
      </c>
      <c r="E129" s="38" t="inlineStr">
        <is>
          <t>Employee Expenses</t>
        </is>
      </c>
      <c r="F129" s="38" t="inlineStr">
        <is>
          <t>CrowdStrike Holdings</t>
        </is>
      </c>
      <c r="G129" s="39" t="n">
        <v>7610.71</v>
      </c>
    </row>
    <row r="130">
      <c r="A130" s="36" t="inlineStr">
        <is>
          <t>e830b9ed-e90d-467d-9114-69eb3823f4c3</t>
        </is>
      </c>
      <c r="B130" s="41" t="n">
        <v>45810</v>
      </c>
      <c r="C130" s="36" t="inlineStr">
        <is>
          <t>Content</t>
        </is>
      </c>
      <c r="D130" s="36" t="inlineStr">
        <is>
          <t>DocFast</t>
        </is>
      </c>
      <c r="E130" s="36" t="inlineStr">
        <is>
          <t>Reselling Expenses</t>
        </is>
      </c>
      <c r="F130" s="36" t="inlineStr">
        <is>
          <t>Accenture LLP</t>
        </is>
      </c>
      <c r="G130" s="37" t="n">
        <v>285.19</v>
      </c>
    </row>
    <row r="131">
      <c r="A131" s="38" t="inlineStr">
        <is>
          <t>54646a60-53b0-492d-8902-9268674e59f7</t>
        </is>
      </c>
      <c r="B131" s="40" t="n">
        <v>45918</v>
      </c>
      <c r="C131" s="38" t="inlineStr">
        <is>
          <t>Partners</t>
        </is>
      </c>
      <c r="D131" s="38" t="inlineStr">
        <is>
          <t>iGO</t>
        </is>
      </c>
      <c r="E131" s="38" t="inlineStr">
        <is>
          <t>Employee Expenses</t>
        </is>
      </c>
      <c r="F131" s="38" t="inlineStr">
        <is>
          <t>Cognizant Technology</t>
        </is>
      </c>
      <c r="G131" s="39" t="n">
        <v>10846.78</v>
      </c>
    </row>
    <row r="132">
      <c r="A132" s="36" t="inlineStr">
        <is>
          <t>79f30bb5-993c-47c0-91ca-ac506443f62d</t>
        </is>
      </c>
      <c r="B132" s="41" t="n">
        <v>45910</v>
      </c>
      <c r="C132" s="36" t="inlineStr">
        <is>
          <t>NetOps</t>
        </is>
      </c>
      <c r="D132" s="36" t="inlineStr">
        <is>
          <t>DocFast</t>
        </is>
      </c>
      <c r="E132" s="36" t="inlineStr">
        <is>
          <t>Advertising and Promotion Expense</t>
        </is>
      </c>
      <c r="F132" s="36" t="inlineStr">
        <is>
          <t>Cloudflare Inc.</t>
        </is>
      </c>
      <c r="G132" s="37" t="n">
        <v>13774.83</v>
      </c>
    </row>
    <row r="133">
      <c r="A133" s="38" t="inlineStr">
        <is>
          <t>ccbf2e16-010a-47a6-8f81-07d7fbf7cb82</t>
        </is>
      </c>
      <c r="B133" s="40" t="n">
        <v>45905</v>
      </c>
      <c r="C133" s="38" t="inlineStr">
        <is>
          <t>Security</t>
        </is>
      </c>
      <c r="D133" s="38" t="inlineStr">
        <is>
          <t>Affirm</t>
        </is>
      </c>
      <c r="E133" s="38" t="inlineStr">
        <is>
          <t>Other</t>
        </is>
      </c>
      <c r="F133" s="38" t="inlineStr">
        <is>
          <t>Cognizant Technology</t>
        </is>
      </c>
      <c r="G133" s="39" t="n">
        <v>3823.65</v>
      </c>
    </row>
    <row r="134">
      <c r="A134" s="36" t="inlineStr">
        <is>
          <t>a9ed6912-6307-4b7b-b86d-de00cb9b90c5</t>
        </is>
      </c>
      <c r="B134" s="41" t="n">
        <v>45817</v>
      </c>
      <c r="C134" s="36" t="inlineStr">
        <is>
          <t>Product Management</t>
        </is>
      </c>
      <c r="D134" s="36" t="inlineStr">
        <is>
          <t>DocFast</t>
        </is>
      </c>
      <c r="E134" s="36" t="inlineStr">
        <is>
          <t>Professional Fees and Outsourcing Expenses</t>
        </is>
      </c>
      <c r="F134" s="36" t="inlineStr">
        <is>
          <t>Salesforce Inc.</t>
        </is>
      </c>
      <c r="G134" s="37" t="n">
        <v>14391.5</v>
      </c>
    </row>
    <row r="135">
      <c r="A135" s="38" t="inlineStr">
        <is>
          <t>d3f63d16-363e-48a2-abe9-af348b962305</t>
        </is>
      </c>
      <c r="B135" s="40" t="n">
        <v>45888</v>
      </c>
      <c r="C135" s="38" t="inlineStr">
        <is>
          <t>Security</t>
        </is>
      </c>
      <c r="D135" s="38" t="inlineStr">
        <is>
          <t>Affirm</t>
        </is>
      </c>
      <c r="E135" s="38" t="inlineStr">
        <is>
          <t>Data Center Fees</t>
        </is>
      </c>
      <c r="F135" s="38" t="inlineStr">
        <is>
          <t>Deloitte Consulting</t>
        </is>
      </c>
      <c r="G135" s="39" t="n">
        <v>12429.53</v>
      </c>
    </row>
    <row r="136">
      <c r="A136" s="36" t="inlineStr">
        <is>
          <t>db39b1a0-2500-4d0f-89d6-c11c2165568f</t>
        </is>
      </c>
      <c r="B136" s="41" t="n">
        <v>45709</v>
      </c>
      <c r="C136" s="36" t="inlineStr">
        <is>
          <t>Product Management</t>
        </is>
      </c>
      <c r="D136" s="36" t="inlineStr">
        <is>
          <t>iGO</t>
        </is>
      </c>
      <c r="E136" s="36" t="inlineStr">
        <is>
          <t>Professional Fees and Outsourcing Expenses</t>
        </is>
      </c>
      <c r="F136" s="36" t="inlineStr">
        <is>
          <t>Zendesk Inc.</t>
        </is>
      </c>
      <c r="G136" s="37" t="n">
        <v>5720</v>
      </c>
    </row>
    <row r="137">
      <c r="A137" s="38" t="inlineStr">
        <is>
          <t>24f67a95-9466-4967-8f13-290c3fb0cd20</t>
        </is>
      </c>
      <c r="B137" s="40" t="n">
        <v>45916</v>
      </c>
      <c r="C137" s="38" t="inlineStr">
        <is>
          <t>NetOps</t>
        </is>
      </c>
      <c r="D137" s="38" t="inlineStr">
        <is>
          <t>iGO</t>
        </is>
      </c>
      <c r="E137" s="38" t="inlineStr">
        <is>
          <t>Advertising and Promotion Expense</t>
        </is>
      </c>
      <c r="F137" s="38" t="inlineStr">
        <is>
          <t>Cloudflare Inc.</t>
        </is>
      </c>
      <c r="G137" s="39" t="n">
        <v>7522.88</v>
      </c>
    </row>
    <row r="138">
      <c r="A138" s="36" t="inlineStr">
        <is>
          <t>e5ac5271-b2ff-4f01-99f0-c6928d21f773</t>
        </is>
      </c>
      <c r="B138" s="41" t="n">
        <v>45859</v>
      </c>
      <c r="C138" s="36" t="inlineStr">
        <is>
          <t>Product Management</t>
        </is>
      </c>
      <c r="D138" s="36" t="inlineStr">
        <is>
          <t>InsureSight</t>
        </is>
      </c>
      <c r="E138" s="36" t="inlineStr">
        <is>
          <t>Other</t>
        </is>
      </c>
      <c r="F138" s="36" t="inlineStr">
        <is>
          <t>Microsoft Corp.</t>
        </is>
      </c>
      <c r="G138" s="37" t="n">
        <v>14608.9</v>
      </c>
    </row>
    <row r="139">
      <c r="A139" s="38" t="inlineStr">
        <is>
          <t>cb3e162e-c36d-46e2-b722-cadf4be95cd7</t>
        </is>
      </c>
      <c r="B139" s="40" t="n">
        <v>45902</v>
      </c>
      <c r="C139" s="38" t="inlineStr">
        <is>
          <t>Security</t>
        </is>
      </c>
      <c r="D139" s="38" t="inlineStr">
        <is>
          <t>Affirm</t>
        </is>
      </c>
      <c r="E139" s="38" t="inlineStr">
        <is>
          <t>Other</t>
        </is>
      </c>
      <c r="F139" s="38" t="inlineStr">
        <is>
          <t>Accenture LLP</t>
        </is>
      </c>
      <c r="G139" s="39" t="n">
        <v>4102.87</v>
      </c>
    </row>
    <row r="140">
      <c r="A140" s="36" t="inlineStr">
        <is>
          <t>f7b7696f-78c1-4ed9-822e-3a6ca0d7bbd0</t>
        </is>
      </c>
      <c r="B140" s="41" t="n">
        <v>45710</v>
      </c>
      <c r="C140" s="36" t="inlineStr">
        <is>
          <t>Support</t>
        </is>
      </c>
      <c r="D140" s="36" t="inlineStr">
        <is>
          <t>iGO</t>
        </is>
      </c>
      <c r="E140" s="36" t="inlineStr">
        <is>
          <t>Advertising and Promotion Expense</t>
        </is>
      </c>
      <c r="F140" s="36" t="inlineStr">
        <is>
          <t>Atlassian Inc.</t>
        </is>
      </c>
      <c r="G140" s="37" t="n">
        <v>12763.89</v>
      </c>
    </row>
    <row r="141">
      <c r="A141" s="38" t="inlineStr">
        <is>
          <t>5dff82f5-122c-474b-b28d-dfb0916fc44e</t>
        </is>
      </c>
      <c r="B141" s="40" t="n">
        <v>45664</v>
      </c>
      <c r="C141" s="38" t="inlineStr">
        <is>
          <t>Content</t>
        </is>
      </c>
      <c r="D141" s="38" t="inlineStr">
        <is>
          <t>Affirm</t>
        </is>
      </c>
      <c r="E141" s="38" t="inlineStr">
        <is>
          <t>Connectivity Charges</t>
        </is>
      </c>
      <c r="F141" s="38" t="inlineStr">
        <is>
          <t>Atlassian Inc.</t>
        </is>
      </c>
      <c r="G141" s="39" t="inlineStr">
        <is>
          <t>1200.22</t>
        </is>
      </c>
    </row>
    <row r="142">
      <c r="A142" s="36" t="inlineStr">
        <is>
          <t>0681f2d0-e922-44b1-84fb-25a72ad5a95f</t>
        </is>
      </c>
      <c r="B142" s="41" t="n">
        <v>45735</v>
      </c>
      <c r="C142" s="36" t="inlineStr">
        <is>
          <t>Security</t>
        </is>
      </c>
      <c r="D142" s="36" t="inlineStr">
        <is>
          <t>DocFast</t>
        </is>
      </c>
      <c r="E142" s="36" t="inlineStr">
        <is>
          <t>Reselling Expenses</t>
        </is>
      </c>
      <c r="F142" s="36" t="inlineStr">
        <is>
          <t>Atlassian Inc.</t>
        </is>
      </c>
      <c r="G142" s="37" t="n">
        <v>8131.41</v>
      </c>
    </row>
    <row r="143">
      <c r="A143" s="38" t="inlineStr">
        <is>
          <t>978542e6-fdb4-42b9-9198-446cf0b56b06</t>
        </is>
      </c>
      <c r="B143" s="40" t="n">
        <v>45863</v>
      </c>
      <c r="C143" s="38" t="inlineStr">
        <is>
          <t>R&amp;D</t>
        </is>
      </c>
      <c r="D143" s="38" t="inlineStr">
        <is>
          <t>Affirm</t>
        </is>
      </c>
      <c r="E143" s="38" t="inlineStr">
        <is>
          <t>Professional Fees and Outsourcing Expenses</t>
        </is>
      </c>
      <c r="F143" s="38" t="inlineStr">
        <is>
          <t>Cognizant Technology</t>
        </is>
      </c>
      <c r="G143" s="39" t="n">
        <v>11194.58</v>
      </c>
    </row>
    <row r="144">
      <c r="A144" s="36" t="inlineStr">
        <is>
          <t>23a4c0d1-e0cd-4769-bc09-08ea55184622</t>
        </is>
      </c>
      <c r="B144" s="41" t="n">
        <v>45810</v>
      </c>
      <c r="C144" s="36" t="inlineStr">
        <is>
          <t>NetOps</t>
        </is>
      </c>
      <c r="D144" s="36" t="inlineStr">
        <is>
          <t>DocFast</t>
        </is>
      </c>
      <c r="E144" s="36" t="inlineStr">
        <is>
          <t>Software and Maintenance Expense</t>
        </is>
      </c>
      <c r="F144" s="36" t="inlineStr">
        <is>
          <t>Microsoft Corp.</t>
        </is>
      </c>
      <c r="G144" s="37" t="n">
        <v>1186.47</v>
      </c>
    </row>
    <row r="145">
      <c r="A145" s="38" t="inlineStr">
        <is>
          <t>bb616d7e-3da6-4c64-adc5-24f38fb8dabf</t>
        </is>
      </c>
      <c r="B145" s="40" t="n">
        <v>45955</v>
      </c>
      <c r="C145" s="38" t="inlineStr">
        <is>
          <t>Content</t>
        </is>
      </c>
      <c r="D145" s="38" t="inlineStr">
        <is>
          <t>DocFast</t>
        </is>
      </c>
      <c r="E145" s="38" t="inlineStr">
        <is>
          <t>AWS</t>
        </is>
      </c>
      <c r="F145" s="38" t="inlineStr">
        <is>
          <t>Amazon Web Services</t>
        </is>
      </c>
      <c r="G145" s="39" t="n">
        <v>9530.139999999999</v>
      </c>
    </row>
    <row r="146">
      <c r="A146" s="36" t="inlineStr">
        <is>
          <t>f59ee2e0-f6dc-4964-8a8b-7581d5c7eef9</t>
        </is>
      </c>
      <c r="B146" s="41" t="n">
        <v>45885</v>
      </c>
      <c r="C146" s="36" t="inlineStr">
        <is>
          <t>Security</t>
        </is>
      </c>
      <c r="D146" s="36" t="inlineStr">
        <is>
          <t>InsureSight</t>
        </is>
      </c>
      <c r="E146" s="36" t="inlineStr">
        <is>
          <t>Overhead Allocation &amp; Chargebacks</t>
        </is>
      </c>
      <c r="F146" s="36" t="inlineStr">
        <is>
          <t>Zendesk Inc.</t>
        </is>
      </c>
      <c r="G146" s="37" t="n">
        <v>6506.13</v>
      </c>
    </row>
    <row r="147">
      <c r="A147" s="38" t="inlineStr">
        <is>
          <t>9fdd55d6-212c-42ba-9e8a-c671bfe322a1</t>
        </is>
      </c>
      <c r="B147" s="40" t="n">
        <v>45980</v>
      </c>
      <c r="C147" s="38" t="inlineStr">
        <is>
          <t>R&amp;D</t>
        </is>
      </c>
      <c r="D147" s="38" t="inlineStr">
        <is>
          <t>DocFast</t>
        </is>
      </c>
      <c r="E147" s="38" t="inlineStr">
        <is>
          <t>Professional Fees and Outsourcing Expenses</t>
        </is>
      </c>
      <c r="F147" s="38" t="inlineStr">
        <is>
          <t>Adobe Systems</t>
        </is>
      </c>
      <c r="G147" s="39" t="n">
        <v>9298.309999999999</v>
      </c>
    </row>
    <row r="148">
      <c r="A148" s="36" t="inlineStr">
        <is>
          <t>72866fa6-69d2-4950-a9d8-35f076cb197c</t>
        </is>
      </c>
      <c r="B148" s="41" t="n">
        <v>45770</v>
      </c>
      <c r="C148" s="36" t="inlineStr">
        <is>
          <t>NetOps</t>
        </is>
      </c>
      <c r="D148" s="36" t="inlineStr">
        <is>
          <t>iGO</t>
        </is>
      </c>
      <c r="E148" s="36" t="inlineStr">
        <is>
          <t>Data Center Fees</t>
        </is>
      </c>
      <c r="F148" s="36" t="inlineStr">
        <is>
          <t>Datadog Inc.</t>
        </is>
      </c>
      <c r="G148" s="37" t="n">
        <v>5731</v>
      </c>
    </row>
    <row r="149">
      <c r="A149" s="38" t="inlineStr">
        <is>
          <t>bb6e0962-387a-4751-b9b5-5065412c5f26</t>
        </is>
      </c>
      <c r="B149" s="40" t="n">
        <v>45966</v>
      </c>
      <c r="C149" s="38" t="inlineStr">
        <is>
          <t>R&amp;D</t>
        </is>
      </c>
      <c r="D149" s="38" t="inlineStr">
        <is>
          <t>DocFast</t>
        </is>
      </c>
      <c r="E149" s="38" t="inlineStr">
        <is>
          <t>AWS</t>
        </is>
      </c>
      <c r="F149" s="38" t="inlineStr">
        <is>
          <t>Salesforce Inc.</t>
        </is>
      </c>
      <c r="G149" s="39" t="n">
        <v>1642.94</v>
      </c>
    </row>
    <row r="150">
      <c r="A150" s="36" t="inlineStr">
        <is>
          <t>40e3680e-586d-4a1f-94ab-07f1e73d73e8</t>
        </is>
      </c>
      <c r="B150" s="41" t="n">
        <v>45667</v>
      </c>
      <c r="C150" s="36" t="inlineStr">
        <is>
          <t>Partners</t>
        </is>
      </c>
      <c r="D150" s="36" t="inlineStr">
        <is>
          <t>InsureSight</t>
        </is>
      </c>
      <c r="E150" s="36" t="inlineStr">
        <is>
          <t>Data Center Fees</t>
        </is>
      </c>
      <c r="F150" s="36" t="inlineStr">
        <is>
          <t>Cloudflare Inc.</t>
        </is>
      </c>
      <c r="G150" s="37" t="n">
        <v>2030.98</v>
      </c>
    </row>
    <row r="151">
      <c r="A151" s="38" t="inlineStr">
        <is>
          <t>c957b30c-a824-4046-911a-ad6242206c99</t>
        </is>
      </c>
      <c r="B151" s="40" t="n">
        <v>45730</v>
      </c>
      <c r="C151" s="38" t="inlineStr">
        <is>
          <t>Partners</t>
        </is>
      </c>
      <c r="D151" s="38" t="inlineStr">
        <is>
          <t>DocFast</t>
        </is>
      </c>
      <c r="E151" s="38" t="inlineStr">
        <is>
          <t>Professional Fees and Outsourcing Expenses</t>
        </is>
      </c>
      <c r="F151" s="38" t="inlineStr">
        <is>
          <t>Amazon Web Services</t>
        </is>
      </c>
      <c r="G151" s="39" t="n">
        <v>1389.8</v>
      </c>
    </row>
    <row r="152">
      <c r="A152" s="36" t="inlineStr">
        <is>
          <t>4ed92bb4-638e-4bcf-b9ab-3d5fa7a9467d</t>
        </is>
      </c>
      <c r="B152" s="41" t="n">
        <v>45903</v>
      </c>
      <c r="C152" s="36" t="inlineStr">
        <is>
          <t>Content</t>
        </is>
      </c>
      <c r="D152" s="36" t="inlineStr">
        <is>
          <t>InsureSight</t>
        </is>
      </c>
      <c r="E152" s="36" t="inlineStr">
        <is>
          <t>Connectivity Charges</t>
        </is>
      </c>
      <c r="F152" s="36" t="inlineStr">
        <is>
          <t>Amazon Web Services</t>
        </is>
      </c>
      <c r="G152" s="37" t="n">
        <v>4413.12</v>
      </c>
    </row>
    <row r="153">
      <c r="A153" s="38" t="inlineStr">
        <is>
          <t>2d3c0bfe-7c8a-44b9-b303-d7c8c3d3afb0</t>
        </is>
      </c>
      <c r="B153" s="40" t="n">
        <v>45863</v>
      </c>
      <c r="C153" s="38" t="inlineStr">
        <is>
          <t>NetOps</t>
        </is>
      </c>
      <c r="D153" s="38" t="inlineStr">
        <is>
          <t>Affirm</t>
        </is>
      </c>
      <c r="E153" s="38" t="inlineStr">
        <is>
          <t>Other</t>
        </is>
      </c>
      <c r="F153" s="38" t="inlineStr">
        <is>
          <t>Cognizant Technology</t>
        </is>
      </c>
      <c r="G153" s="39" t="n">
        <v>2585.26</v>
      </c>
    </row>
    <row r="154">
      <c r="A154" s="36" t="inlineStr">
        <is>
          <t>f12cf219-ba2e-42e3-9e8f-f690b06c0505</t>
        </is>
      </c>
      <c r="B154" s="41" t="n">
        <v>45844</v>
      </c>
      <c r="C154" s="36" t="inlineStr">
        <is>
          <t>Security</t>
        </is>
      </c>
      <c r="D154" s="36" t="inlineStr">
        <is>
          <t>InsureSight</t>
        </is>
      </c>
      <c r="E154" s="36" t="inlineStr">
        <is>
          <t>Data Center Fees</t>
        </is>
      </c>
      <c r="F154" s="36" t="inlineStr">
        <is>
          <t>Palo Alto Networks</t>
        </is>
      </c>
      <c r="G154" s="37" t="n">
        <v>7422.2</v>
      </c>
    </row>
    <row r="155">
      <c r="A155" s="38" t="inlineStr">
        <is>
          <t>0e628fe5-cf4d-4559-989a-380f43f3edc0</t>
        </is>
      </c>
      <c r="B155" s="40" t="n">
        <v>45694</v>
      </c>
      <c r="C155" s="38" t="inlineStr">
        <is>
          <t>Partners</t>
        </is>
      </c>
      <c r="D155" s="38" t="inlineStr">
        <is>
          <t>InsureSight</t>
        </is>
      </c>
      <c r="E155" s="38" t="inlineStr">
        <is>
          <t>Connectivity Charges</t>
        </is>
      </c>
      <c r="F155" s="38" t="inlineStr">
        <is>
          <t>Palo Alto Networks</t>
        </is>
      </c>
      <c r="G155" s="39" t="n">
        <v>7289.26</v>
      </c>
    </row>
    <row r="156">
      <c r="A156" s="36" t="inlineStr">
        <is>
          <t>16f911f3-e263-46f7-be35-d639e21a0d57</t>
        </is>
      </c>
      <c r="B156" s="41" t="n">
        <v>45700</v>
      </c>
      <c r="C156" s="36" t="inlineStr">
        <is>
          <t>Support</t>
        </is>
      </c>
      <c r="D156" s="36" t="inlineStr">
        <is>
          <t>Affirm</t>
        </is>
      </c>
      <c r="E156" s="36" t="inlineStr">
        <is>
          <t>Reselling Expenses</t>
        </is>
      </c>
      <c r="F156" s="36" t="inlineStr">
        <is>
          <t>Accenture LLP</t>
        </is>
      </c>
      <c r="G156" s="37" t="n">
        <v>8927.41</v>
      </c>
    </row>
    <row r="157">
      <c r="A157" s="38" t="inlineStr">
        <is>
          <t>61c85675-5e29-4802-bb9e-b50f3d237e56</t>
        </is>
      </c>
      <c r="B157" s="40" t="n">
        <v>45762</v>
      </c>
      <c r="C157" s="38" t="inlineStr">
        <is>
          <t>NetOps</t>
        </is>
      </c>
      <c r="D157" s="38" t="inlineStr">
        <is>
          <t>Affirm</t>
        </is>
      </c>
      <c r="E157" s="38" t="inlineStr">
        <is>
          <t>Data Center Fees</t>
        </is>
      </c>
      <c r="F157" s="38" t="inlineStr">
        <is>
          <t>Amazon Web Services</t>
        </is>
      </c>
      <c r="G157" s="39" t="n">
        <v>14234.91</v>
      </c>
    </row>
    <row r="158">
      <c r="A158" s="36" t="inlineStr">
        <is>
          <t>249d3e23-38e6-454f-b754-b7a515b306a9</t>
        </is>
      </c>
      <c r="B158" s="41" t="n">
        <v>45835</v>
      </c>
      <c r="C158" s="36" t="inlineStr">
        <is>
          <t>Content</t>
        </is>
      </c>
      <c r="D158" s="36" t="inlineStr">
        <is>
          <t>DocFast</t>
        </is>
      </c>
      <c r="E158" s="36" t="inlineStr">
        <is>
          <t>AWS</t>
        </is>
      </c>
      <c r="F158" s="36" t="inlineStr">
        <is>
          <t>Accenture LLP</t>
        </is>
      </c>
      <c r="G158" s="37" t="n">
        <v>5054.31</v>
      </c>
    </row>
    <row r="159">
      <c r="A159" s="38" t="inlineStr">
        <is>
          <t>ffd7b39b-9893-477c-826b-66d24dc0d79c</t>
        </is>
      </c>
      <c r="B159" s="40" t="n">
        <v>45981</v>
      </c>
      <c r="C159" s="38" t="inlineStr">
        <is>
          <t>Security</t>
        </is>
      </c>
      <c r="D159" s="38" t="inlineStr">
        <is>
          <t>InsureSight</t>
        </is>
      </c>
      <c r="E159" s="38" t="inlineStr">
        <is>
          <t>AWS</t>
        </is>
      </c>
      <c r="F159" s="38" t="inlineStr">
        <is>
          <t>WillisTowersWatson</t>
        </is>
      </c>
      <c r="G159" s="39" t="n">
        <v>14211.82</v>
      </c>
    </row>
    <row r="160">
      <c r="A160" s="36" t="inlineStr">
        <is>
          <t>ae640d96-22de-4135-bd18-cc264d8ed3e5</t>
        </is>
      </c>
      <c r="B160" s="41" t="n">
        <v>45763</v>
      </c>
      <c r="C160" s="36" t="inlineStr">
        <is>
          <t>Support</t>
        </is>
      </c>
      <c r="D160" s="36" t="inlineStr">
        <is>
          <t>Affirm</t>
        </is>
      </c>
      <c r="E160" s="36" t="inlineStr">
        <is>
          <t>Connectivity Charges</t>
        </is>
      </c>
      <c r="F160" s="36" t="inlineStr">
        <is>
          <t>Salesforce Inc.</t>
        </is>
      </c>
      <c r="G160" s="37" t="n">
        <v>4407.15</v>
      </c>
    </row>
    <row r="161">
      <c r="A161" s="38" t="inlineStr">
        <is>
          <t>cbffee5f-b7ac-484e-b309-69e292c4d203</t>
        </is>
      </c>
      <c r="B161" s="40" t="n">
        <v>46012</v>
      </c>
      <c r="C161" s="38" t="inlineStr">
        <is>
          <t>Partners</t>
        </is>
      </c>
      <c r="D161" s="38" t="inlineStr">
        <is>
          <t>Affirm</t>
        </is>
      </c>
      <c r="E161" s="38" t="inlineStr">
        <is>
          <t>AWS</t>
        </is>
      </c>
      <c r="F161" s="38" t="inlineStr">
        <is>
          <t>Zendesk Inc.</t>
        </is>
      </c>
      <c r="G161" s="39" t="n">
        <v>4240.49</v>
      </c>
    </row>
    <row r="162">
      <c r="A162" s="36" t="inlineStr">
        <is>
          <t>efdd078a-bc2f-4e9a-8ab2-ed32faf3575f</t>
        </is>
      </c>
      <c r="B162" s="41" t="n">
        <v>45850</v>
      </c>
      <c r="C162" s="36" t="inlineStr">
        <is>
          <t>NetOps</t>
        </is>
      </c>
      <c r="D162" s="36" t="inlineStr">
        <is>
          <t>Affirm</t>
        </is>
      </c>
      <c r="E162" s="36" t="inlineStr">
        <is>
          <t>Other</t>
        </is>
      </c>
      <c r="F162" s="36" t="inlineStr">
        <is>
          <t>Cognizant Technology</t>
        </is>
      </c>
      <c r="G162" s="37" t="n">
        <v>2739.91</v>
      </c>
    </row>
    <row r="163">
      <c r="A163" s="38" t="inlineStr">
        <is>
          <t>7eeb2524-d9d9-470b-9ab0-2852bbe6b226</t>
        </is>
      </c>
      <c r="B163" s="40" t="n">
        <v>45901</v>
      </c>
      <c r="C163" s="38" t="inlineStr">
        <is>
          <t>R&amp;D</t>
        </is>
      </c>
      <c r="D163" s="38" t="inlineStr">
        <is>
          <t>DocFast</t>
        </is>
      </c>
      <c r="E163" s="38" t="inlineStr">
        <is>
          <t>Software and Maintenance Expense</t>
        </is>
      </c>
      <c r="F163" s="38" t="inlineStr">
        <is>
          <t>Accenture LLP</t>
        </is>
      </c>
      <c r="G163" s="39" t="n">
        <v>11975.4</v>
      </c>
    </row>
    <row r="164">
      <c r="A164" s="36" t="inlineStr">
        <is>
          <t>1e5ccdab-70c6-4bc7-ae24-36e1a8a0f628</t>
        </is>
      </c>
      <c r="B164" s="41" t="n">
        <v>45994</v>
      </c>
      <c r="C164" s="36" t="inlineStr">
        <is>
          <t>Product Management</t>
        </is>
      </c>
      <c r="D164" s="36" t="inlineStr">
        <is>
          <t>DocFast</t>
        </is>
      </c>
      <c r="E164" s="36" t="inlineStr">
        <is>
          <t>Reselling Expenses</t>
        </is>
      </c>
      <c r="F164" s="36" t="inlineStr">
        <is>
          <t>Accenture LLP</t>
        </is>
      </c>
      <c r="G164" s="37" t="n">
        <v>2130.73</v>
      </c>
    </row>
    <row r="165">
      <c r="A165" s="38" t="inlineStr">
        <is>
          <t>df4e62bc-f9e7-40a2-a810-fb84b34d061d</t>
        </is>
      </c>
      <c r="B165" s="40" t="n">
        <v>45785</v>
      </c>
      <c r="C165" s="38" t="inlineStr">
        <is>
          <t>Support</t>
        </is>
      </c>
      <c r="D165" s="38" t="inlineStr">
        <is>
          <t>Affirm</t>
        </is>
      </c>
      <c r="E165" s="38" t="inlineStr">
        <is>
          <t>Connectivity Charges</t>
        </is>
      </c>
      <c r="F165" s="38" t="inlineStr">
        <is>
          <t>Adobe Systems</t>
        </is>
      </c>
      <c r="G165" s="39" t="n">
        <v>5686.01</v>
      </c>
    </row>
    <row r="166">
      <c r="A166" s="36" t="inlineStr">
        <is>
          <t>c65d8653-002f-48a5-b695-f72b9362e30f</t>
        </is>
      </c>
      <c r="B166" s="41" t="n">
        <v>45889</v>
      </c>
      <c r="C166" s="36" t="inlineStr">
        <is>
          <t>Partners</t>
        </is>
      </c>
      <c r="D166" s="36" t="inlineStr">
        <is>
          <t>DocFast</t>
        </is>
      </c>
      <c r="E166" s="36" t="inlineStr">
        <is>
          <t>Overhead Allocation &amp; Chargebacks</t>
        </is>
      </c>
      <c r="F166" s="36" t="inlineStr">
        <is>
          <t>Cognizant Technology</t>
        </is>
      </c>
      <c r="G166" s="37" t="n">
        <v>13856.26</v>
      </c>
    </row>
    <row r="167">
      <c r="A167" s="38" t="inlineStr">
        <is>
          <t>9e949846-6ae4-473b-b355-af670c92edac</t>
        </is>
      </c>
      <c r="B167" s="40" t="n">
        <v>46005</v>
      </c>
      <c r="C167" s="38" t="inlineStr">
        <is>
          <t>Content</t>
        </is>
      </c>
      <c r="D167" s="38" t="inlineStr">
        <is>
          <t>iGO</t>
        </is>
      </c>
      <c r="E167" s="38" t="inlineStr">
        <is>
          <t>AWS</t>
        </is>
      </c>
      <c r="F167" s="38" t="inlineStr">
        <is>
          <t>Iron Mountain</t>
        </is>
      </c>
      <c r="G167" s="39" t="n">
        <v>13437.75</v>
      </c>
    </row>
    <row r="168">
      <c r="A168" s="36" t="inlineStr">
        <is>
          <t>08f9bfbc-17a4-477a-8934-fa78658055a2</t>
        </is>
      </c>
      <c r="B168" s="41" t="n">
        <v>45920</v>
      </c>
      <c r="C168" s="36" t="inlineStr">
        <is>
          <t>R&amp;D</t>
        </is>
      </c>
      <c r="D168" s="36" t="inlineStr">
        <is>
          <t>iGO</t>
        </is>
      </c>
      <c r="E168" s="36" t="inlineStr">
        <is>
          <t>Professional Fees and Outsourcing Expenses</t>
        </is>
      </c>
      <c r="F168" s="36" t="inlineStr">
        <is>
          <t>Adobe Systems</t>
        </is>
      </c>
      <c r="G168" s="37" t="n">
        <v>3761.05</v>
      </c>
    </row>
    <row r="169">
      <c r="A169" s="38" t="inlineStr">
        <is>
          <t>7b1c84df-11e5-4674-b131-4597b7c355b8</t>
        </is>
      </c>
      <c r="B169" s="40" t="n">
        <v>45973</v>
      </c>
      <c r="C169" s="38" t="inlineStr">
        <is>
          <t>Security</t>
        </is>
      </c>
      <c r="D169" s="38" t="inlineStr">
        <is>
          <t>iGO</t>
        </is>
      </c>
      <c r="E169" s="38" t="inlineStr">
        <is>
          <t>Other</t>
        </is>
      </c>
      <c r="F169" s="38" t="inlineStr">
        <is>
          <t>Deloitte Consulting</t>
        </is>
      </c>
      <c r="G169" s="39" t="n">
        <v>10178.2</v>
      </c>
    </row>
    <row r="170">
      <c r="A170" s="36" t="inlineStr">
        <is>
          <t>3c8d5e7d-54c3-4e3f-bcde-6ea49ba03c50</t>
        </is>
      </c>
      <c r="B170" s="41" t="n">
        <v>45863</v>
      </c>
      <c r="C170" s="36" t="inlineStr">
        <is>
          <t>Support</t>
        </is>
      </c>
      <c r="D170" s="36" t="inlineStr">
        <is>
          <t>DocFast</t>
        </is>
      </c>
      <c r="E170" s="36" t="inlineStr">
        <is>
          <t>Professional Fees and Outsourcing Expenses</t>
        </is>
      </c>
      <c r="F170" s="36" t="inlineStr">
        <is>
          <t>Amazon Web Services</t>
        </is>
      </c>
      <c r="G170" s="37" t="n">
        <v>1524.17</v>
      </c>
    </row>
    <row r="171">
      <c r="A171" s="38" t="inlineStr">
        <is>
          <t>355798f3-6cd6-4a66-af29-6b94edcf3390</t>
        </is>
      </c>
      <c r="B171" s="40" t="n">
        <v>45764</v>
      </c>
      <c r="C171" s="38" t="inlineStr">
        <is>
          <t>R&amp;D</t>
        </is>
      </c>
      <c r="D171" s="38" t="inlineStr">
        <is>
          <t>Affirm</t>
        </is>
      </c>
      <c r="E171" s="38" t="inlineStr">
        <is>
          <t>Office Expenses &amp; Rent Allocation</t>
        </is>
      </c>
      <c r="F171" s="38" t="inlineStr">
        <is>
          <t>Salesforce Inc.</t>
        </is>
      </c>
      <c r="G171" s="39" t="inlineStr">
        <is>
          <t>5897.46</t>
        </is>
      </c>
    </row>
    <row r="172">
      <c r="A172" s="36" t="inlineStr">
        <is>
          <t>579afa9d-0e02-4034-9add-569dbb431443</t>
        </is>
      </c>
      <c r="B172" s="41" t="n">
        <v>45980</v>
      </c>
      <c r="C172" s="36" t="inlineStr">
        <is>
          <t>R&amp;D</t>
        </is>
      </c>
      <c r="D172" s="36" t="inlineStr">
        <is>
          <t>Affirm</t>
        </is>
      </c>
      <c r="E172" s="36" t="inlineStr">
        <is>
          <t>AWS</t>
        </is>
      </c>
      <c r="F172" s="36" t="inlineStr">
        <is>
          <t>Amazon Web Services</t>
        </is>
      </c>
      <c r="G172" s="37" t="n">
        <v>7267.43</v>
      </c>
    </row>
    <row r="173">
      <c r="A173" s="38" t="inlineStr">
        <is>
          <t>651ec152-b163-4320-9229-803f9318c9df</t>
        </is>
      </c>
      <c r="B173" s="40" t="n">
        <v>45791</v>
      </c>
      <c r="C173" s="38" t="inlineStr">
        <is>
          <t>NetOps</t>
        </is>
      </c>
      <c r="D173" s="38" t="inlineStr">
        <is>
          <t>iGO</t>
        </is>
      </c>
      <c r="E173" s="38" t="inlineStr">
        <is>
          <t>Advertising and Promotion Expense</t>
        </is>
      </c>
      <c r="F173" s="38" t="inlineStr">
        <is>
          <t>Salesforce Inc.</t>
        </is>
      </c>
      <c r="G173" s="39" t="n">
        <v>4712.76</v>
      </c>
    </row>
    <row r="174">
      <c r="A174" s="36" t="inlineStr">
        <is>
          <t>10dd86b7-c798-4202-a87f-0ac91c18f5f9</t>
        </is>
      </c>
      <c r="B174" s="41" t="n">
        <v>45895</v>
      </c>
      <c r="C174" s="36" t="inlineStr">
        <is>
          <t>Security</t>
        </is>
      </c>
      <c r="D174" s="36" t="inlineStr">
        <is>
          <t>DocFast</t>
        </is>
      </c>
      <c r="E174" s="36" t="inlineStr">
        <is>
          <t>AWS</t>
        </is>
      </c>
      <c r="F174" s="36" t="inlineStr">
        <is>
          <t>Accenture LLP</t>
        </is>
      </c>
      <c r="G174" s="37" t="n">
        <v>1509.46</v>
      </c>
    </row>
    <row r="175">
      <c r="A175" s="38" t="inlineStr">
        <is>
          <t>bccff6a0-9cca-4fcf-af1b-be3eb6bb94aa</t>
        </is>
      </c>
      <c r="B175" s="40" t="n">
        <v>46014</v>
      </c>
      <c r="C175" s="38" t="inlineStr">
        <is>
          <t>Partners</t>
        </is>
      </c>
      <c r="D175" s="38" t="inlineStr">
        <is>
          <t>InsureSight</t>
        </is>
      </c>
      <c r="E175" s="38" t="inlineStr">
        <is>
          <t>Professional Fees and Outsourcing Expenses</t>
        </is>
      </c>
      <c r="F175" s="38" t="inlineStr">
        <is>
          <t>Palo Alto Networks</t>
        </is>
      </c>
      <c r="G175" s="39" t="n">
        <v>718.01</v>
      </c>
    </row>
    <row r="176">
      <c r="A176" s="36" t="inlineStr">
        <is>
          <t>40162953-6c84-421a-a9ab-1d0136df5f90</t>
        </is>
      </c>
      <c r="B176" s="41" t="n">
        <v>45995</v>
      </c>
      <c r="C176" s="36" t="inlineStr">
        <is>
          <t>NetOps</t>
        </is>
      </c>
      <c r="D176" s="36" t="inlineStr">
        <is>
          <t>InsureSight</t>
        </is>
      </c>
      <c r="E176" s="36" t="inlineStr">
        <is>
          <t>Reselling Expenses</t>
        </is>
      </c>
      <c r="F176" s="36" t="inlineStr">
        <is>
          <t>Cloudflare Inc.</t>
        </is>
      </c>
      <c r="G176" s="37" t="n">
        <v>10173.23</v>
      </c>
    </row>
    <row r="177">
      <c r="A177" s="38" t="inlineStr">
        <is>
          <t>affc2f03-b0e1-478e-a768-b5e3fb81d390</t>
        </is>
      </c>
      <c r="B177" s="40" t="n">
        <v>45740</v>
      </c>
      <c r="C177" s="38" t="inlineStr">
        <is>
          <t>Security</t>
        </is>
      </c>
      <c r="D177" s="38" t="inlineStr">
        <is>
          <t>Affirm</t>
        </is>
      </c>
      <c r="E177" s="38" t="inlineStr">
        <is>
          <t>Overhead Allocation &amp; Chargebacks</t>
        </is>
      </c>
      <c r="F177" s="38" t="inlineStr">
        <is>
          <t>Datadog Inc.</t>
        </is>
      </c>
      <c r="G177" s="39" t="n">
        <v>4998.3</v>
      </c>
    </row>
    <row r="178">
      <c r="A178" s="36" t="inlineStr">
        <is>
          <t>2ec4ead6-bbc2-41bc-be5b-55da0fe6a889</t>
        </is>
      </c>
      <c r="B178" s="41" t="n">
        <v>45853</v>
      </c>
      <c r="C178" s="36" t="inlineStr">
        <is>
          <t>Security</t>
        </is>
      </c>
      <c r="D178" s="36" t="inlineStr">
        <is>
          <t>DocFast</t>
        </is>
      </c>
      <c r="E178" s="36" t="inlineStr">
        <is>
          <t>Reselling Expenses</t>
        </is>
      </c>
      <c r="F178" s="36" t="inlineStr">
        <is>
          <t>Datadog Inc.</t>
        </is>
      </c>
      <c r="G178" s="37" t="n">
        <v>2836.48</v>
      </c>
    </row>
    <row r="179">
      <c r="A179" s="38" t="inlineStr">
        <is>
          <t>b7b60a43-b943-4357-aaff-e4301cb5b563</t>
        </is>
      </c>
      <c r="B179" s="40" t="n">
        <v>45975</v>
      </c>
      <c r="C179" s="38" t="inlineStr">
        <is>
          <t>Partners</t>
        </is>
      </c>
      <c r="D179" s="38" t="inlineStr">
        <is>
          <t>iGO</t>
        </is>
      </c>
      <c r="E179" s="38" t="inlineStr">
        <is>
          <t>Other</t>
        </is>
      </c>
      <c r="F179" s="38" t="inlineStr">
        <is>
          <t>Atlassian Inc.</t>
        </is>
      </c>
      <c r="G179" s="39" t="n">
        <v>3000</v>
      </c>
    </row>
    <row r="180">
      <c r="A180" s="36" t="inlineStr">
        <is>
          <t>8c10b78e-bc1d-4425-a975-c6d9d6baa48d</t>
        </is>
      </c>
      <c r="B180" s="41" t="n">
        <v>45944</v>
      </c>
      <c r="C180" s="36" t="inlineStr">
        <is>
          <t>Partners</t>
        </is>
      </c>
      <c r="D180" s="36" t="inlineStr">
        <is>
          <t>iGO</t>
        </is>
      </c>
      <c r="E180" s="36" t="inlineStr">
        <is>
          <t>Software and Maintenance Expense</t>
        </is>
      </c>
      <c r="F180" s="36" t="inlineStr">
        <is>
          <t>CrowdStrike Holdings</t>
        </is>
      </c>
      <c r="G180" s="37" t="n">
        <v>4211.26</v>
      </c>
    </row>
    <row r="181">
      <c r="A181" s="38" t="inlineStr">
        <is>
          <t>4f789472-0570-49b2-8711-207eb865e6ea</t>
        </is>
      </c>
      <c r="B181" s="40" t="n">
        <v>46017</v>
      </c>
      <c r="C181" s="38" t="inlineStr">
        <is>
          <t>Product Management</t>
        </is>
      </c>
      <c r="D181" s="38" t="inlineStr">
        <is>
          <t>iGO</t>
        </is>
      </c>
      <c r="E181" s="38" t="inlineStr">
        <is>
          <t>Other</t>
        </is>
      </c>
      <c r="F181" s="38" t="inlineStr">
        <is>
          <t>Cloudflare Inc.</t>
        </is>
      </c>
      <c r="G181" s="39" t="n">
        <v>12002.56</v>
      </c>
    </row>
    <row r="182">
      <c r="A182" s="36" t="inlineStr">
        <is>
          <t>f705db10-0b39-40b4-b0a5-a703c4b11b39</t>
        </is>
      </c>
      <c r="B182" s="41" t="n">
        <v>45906</v>
      </c>
      <c r="C182" s="36" t="inlineStr">
        <is>
          <t>Support</t>
        </is>
      </c>
      <c r="D182" s="36" t="inlineStr">
        <is>
          <t>InsureSight</t>
        </is>
      </c>
      <c r="E182" s="36" t="inlineStr">
        <is>
          <t>Software and Maintenance Expense</t>
        </is>
      </c>
      <c r="F182" s="36" t="inlineStr">
        <is>
          <t>Accenture LLP</t>
        </is>
      </c>
      <c r="G182" s="37" t="n">
        <v>1753.63</v>
      </c>
    </row>
    <row r="183">
      <c r="A183" s="38" t="inlineStr">
        <is>
          <t>128e819c-53f2-4465-81c5-521e21e99e9f</t>
        </is>
      </c>
      <c r="B183" s="40" t="n">
        <v>45989</v>
      </c>
      <c r="C183" s="38" t="inlineStr">
        <is>
          <t>Partners</t>
        </is>
      </c>
      <c r="D183" s="38" t="inlineStr">
        <is>
          <t>InsureSight</t>
        </is>
      </c>
      <c r="E183" s="38" t="inlineStr">
        <is>
          <t>Other</t>
        </is>
      </c>
      <c r="F183" s="38" t="inlineStr">
        <is>
          <t>Zendesk Inc.</t>
        </is>
      </c>
      <c r="G183" s="39" t="n">
        <v>9189.059999999999</v>
      </c>
    </row>
    <row r="184">
      <c r="A184" s="36" t="inlineStr">
        <is>
          <t>110ddc4d-126a-4f47-8200-567f40b99a03</t>
        </is>
      </c>
      <c r="B184" s="41" t="n">
        <v>45934</v>
      </c>
      <c r="C184" s="36" t="inlineStr">
        <is>
          <t>Support</t>
        </is>
      </c>
      <c r="D184" s="36" t="inlineStr">
        <is>
          <t>InsureSight</t>
        </is>
      </c>
      <c r="E184" s="36" t="inlineStr">
        <is>
          <t>Office Expenses &amp; Rent Allocation</t>
        </is>
      </c>
      <c r="F184" s="36" t="inlineStr">
        <is>
          <t>WillisTowersWatson</t>
        </is>
      </c>
      <c r="G184" s="37" t="n">
        <v>2629.29</v>
      </c>
    </row>
    <row r="185">
      <c r="A185" s="38" t="inlineStr">
        <is>
          <t>096e4f81-49c4-4c00-ab9d-8abf48ef69ff</t>
        </is>
      </c>
      <c r="B185" s="40" t="n">
        <v>45984</v>
      </c>
      <c r="C185" s="38" t="inlineStr">
        <is>
          <t>Product Management</t>
        </is>
      </c>
      <c r="D185" s="38" t="inlineStr">
        <is>
          <t>InsureSight</t>
        </is>
      </c>
      <c r="E185" s="38" t="inlineStr">
        <is>
          <t>Other</t>
        </is>
      </c>
      <c r="F185" s="38" t="inlineStr">
        <is>
          <t>WillisTowersWatson</t>
        </is>
      </c>
      <c r="G185" s="39" t="n">
        <v>1317.04</v>
      </c>
    </row>
    <row r="186">
      <c r="A186" s="36" t="inlineStr">
        <is>
          <t>d346a751-0681-4604-b469-d554370c8cf2</t>
        </is>
      </c>
      <c r="B186" s="41" t="n">
        <v>45727</v>
      </c>
      <c r="C186" s="36" t="inlineStr">
        <is>
          <t>NetOps</t>
        </is>
      </c>
      <c r="D186" s="36" t="inlineStr">
        <is>
          <t>Affirm</t>
        </is>
      </c>
      <c r="E186" s="36" t="inlineStr">
        <is>
          <t>Data Center Fees</t>
        </is>
      </c>
      <c r="F186" s="36" t="inlineStr">
        <is>
          <t>Cloudflare Inc.</t>
        </is>
      </c>
      <c r="G186" s="37" t="n">
        <v>2786.52</v>
      </c>
    </row>
    <row r="187">
      <c r="A187" s="38" t="inlineStr">
        <is>
          <t>3fbc97a4-5234-4607-8303-2c1c8d520e9c</t>
        </is>
      </c>
      <c r="B187" s="40" t="n">
        <v>45996</v>
      </c>
      <c r="C187" s="38" t="inlineStr">
        <is>
          <t>Content</t>
        </is>
      </c>
      <c r="D187" s="38" t="inlineStr">
        <is>
          <t>DocFast</t>
        </is>
      </c>
      <c r="E187" s="38" t="inlineStr">
        <is>
          <t>Connectivity Charges</t>
        </is>
      </c>
      <c r="F187" s="38" t="inlineStr">
        <is>
          <t>WillisTowersWatson</t>
        </is>
      </c>
      <c r="G187" s="39" t="n">
        <v>2111.12</v>
      </c>
    </row>
    <row r="188">
      <c r="A188" s="36" t="inlineStr">
        <is>
          <t>1eb4732d-ecc0-40a2-aaa7-2d2410d0a063</t>
        </is>
      </c>
      <c r="B188" s="41" t="n">
        <v>45852</v>
      </c>
      <c r="C188" s="36" t="inlineStr">
        <is>
          <t>Security</t>
        </is>
      </c>
      <c r="D188" s="36" t="inlineStr">
        <is>
          <t>DocFast</t>
        </is>
      </c>
      <c r="E188" s="36" t="inlineStr">
        <is>
          <t>Reselling Expenses</t>
        </is>
      </c>
      <c r="F188" s="36" t="inlineStr">
        <is>
          <t>Cognizant Technology</t>
        </is>
      </c>
      <c r="G188" s="37" t="n">
        <v>10416.82</v>
      </c>
    </row>
    <row r="189">
      <c r="A189" s="38" t="inlineStr">
        <is>
          <t>0a66c308-e330-46cc-952b-c484376a284d</t>
        </is>
      </c>
      <c r="B189" s="40" t="n">
        <v>45967</v>
      </c>
      <c r="C189" s="38" t="inlineStr">
        <is>
          <t>Content</t>
        </is>
      </c>
      <c r="D189" s="38" t="inlineStr">
        <is>
          <t>Affirm</t>
        </is>
      </c>
      <c r="E189" s="38" t="inlineStr">
        <is>
          <t>Office Expenses &amp; Rent Allocation</t>
        </is>
      </c>
      <c r="F189" s="38" t="inlineStr">
        <is>
          <t>Palo Alto Networks</t>
        </is>
      </c>
      <c r="G189" s="39" t="n">
        <v>2147.43</v>
      </c>
    </row>
    <row r="190">
      <c r="A190" s="36" t="inlineStr">
        <is>
          <t>519b461b-3d97-4769-a2ed-2ad33c2483c8</t>
        </is>
      </c>
      <c r="B190" s="41" t="n">
        <v>45835</v>
      </c>
      <c r="C190" s="36" t="inlineStr">
        <is>
          <t>Partners</t>
        </is>
      </c>
      <c r="D190" s="36" t="inlineStr">
        <is>
          <t>iGO</t>
        </is>
      </c>
      <c r="E190" s="36" t="inlineStr">
        <is>
          <t>AWS</t>
        </is>
      </c>
      <c r="F190" s="36" t="inlineStr">
        <is>
          <t>Amazon Web Services</t>
        </is>
      </c>
      <c r="G190" s="37" t="inlineStr">
        <is>
          <t>7294.9</t>
        </is>
      </c>
    </row>
    <row r="191">
      <c r="A191" s="38" t="inlineStr">
        <is>
          <t>64b579d8-0e86-4bd8-af2d-8dd425dd8ea7</t>
        </is>
      </c>
      <c r="B191" s="40" t="n">
        <v>45774</v>
      </c>
      <c r="C191" s="38" t="inlineStr">
        <is>
          <t>Partners</t>
        </is>
      </c>
      <c r="D191" s="38" t="inlineStr">
        <is>
          <t>DocFast</t>
        </is>
      </c>
      <c r="E191" s="38" t="inlineStr">
        <is>
          <t>Connectivity Charges</t>
        </is>
      </c>
      <c r="F191" s="38" t="inlineStr">
        <is>
          <t>Deloitte Consulting</t>
        </is>
      </c>
      <c r="G191" s="39" t="n">
        <v>7401.3</v>
      </c>
    </row>
    <row r="192">
      <c r="A192" s="36" t="inlineStr">
        <is>
          <t>72c91da2-1a4b-407f-98e5-36d8a810aed3</t>
        </is>
      </c>
      <c r="B192" s="41" t="n">
        <v>46018</v>
      </c>
      <c r="C192" s="36" t="inlineStr">
        <is>
          <t>Partners</t>
        </is>
      </c>
      <c r="D192" s="36" t="inlineStr">
        <is>
          <t>DocFast</t>
        </is>
      </c>
      <c r="E192" s="36" t="inlineStr">
        <is>
          <t>Advertising and Promotion Expense</t>
        </is>
      </c>
      <c r="F192" s="36" t="inlineStr">
        <is>
          <t>Cloudflare Inc.</t>
        </is>
      </c>
      <c r="G192" s="37" t="n">
        <v>8502.700000000001</v>
      </c>
    </row>
    <row r="193">
      <c r="A193" s="38" t="inlineStr">
        <is>
          <t>9a73e01c-5f1b-4e87-8acb-cd6c1de9abb9</t>
        </is>
      </c>
      <c r="B193" s="40" t="n">
        <v>45757</v>
      </c>
      <c r="C193" s="38" t="inlineStr">
        <is>
          <t>NetOps</t>
        </is>
      </c>
      <c r="D193" s="38" t="inlineStr">
        <is>
          <t>InsureSight</t>
        </is>
      </c>
      <c r="E193" s="38" t="inlineStr">
        <is>
          <t>Software and Maintenance Expense</t>
        </is>
      </c>
      <c r="F193" s="38" t="inlineStr">
        <is>
          <t>Cognizant Technology</t>
        </is>
      </c>
      <c r="G193" s="39" t="n">
        <v>4365.62</v>
      </c>
    </row>
    <row r="194">
      <c r="A194" s="36" t="inlineStr">
        <is>
          <t>d326af71-2457-4b1b-b8c5-1a73650e09de</t>
        </is>
      </c>
      <c r="B194" s="41" t="n">
        <v>45888</v>
      </c>
      <c r="C194" s="36" t="inlineStr">
        <is>
          <t>R&amp;D</t>
        </is>
      </c>
      <c r="D194" s="36" t="inlineStr">
        <is>
          <t>DocFast</t>
        </is>
      </c>
      <c r="E194" s="36" t="inlineStr">
        <is>
          <t>Overhead Allocation &amp; Chargebacks</t>
        </is>
      </c>
      <c r="F194" s="36" t="inlineStr">
        <is>
          <t>Cognizant Technology</t>
        </is>
      </c>
      <c r="G194" s="37" t="n">
        <v>1742.5</v>
      </c>
    </row>
    <row r="195">
      <c r="A195" s="38" t="inlineStr">
        <is>
          <t>a892459e-a1e2-41a8-b676-0c809f441731</t>
        </is>
      </c>
      <c r="B195" s="40" t="n">
        <v>45697</v>
      </c>
      <c r="C195" s="38" t="inlineStr">
        <is>
          <t>Product Management</t>
        </is>
      </c>
      <c r="D195" s="38" t="inlineStr">
        <is>
          <t>InsureSight</t>
        </is>
      </c>
      <c r="E195" s="38" t="inlineStr">
        <is>
          <t>Overhead Allocation &amp; Chargebacks</t>
        </is>
      </c>
      <c r="F195" s="38" t="inlineStr">
        <is>
          <t>Microsoft Corp.</t>
        </is>
      </c>
      <c r="G195" s="39" t="n">
        <v>11363.95</v>
      </c>
    </row>
    <row r="196">
      <c r="A196" s="36" t="inlineStr">
        <is>
          <t>e5fefd70-c093-4ae8-8a14-212c18d00500</t>
        </is>
      </c>
      <c r="B196" s="41" t="n">
        <v>46006</v>
      </c>
      <c r="C196" s="36" t="inlineStr">
        <is>
          <t>Content</t>
        </is>
      </c>
      <c r="D196" s="36" t="inlineStr">
        <is>
          <t>Affirm</t>
        </is>
      </c>
      <c r="E196" s="36" t="inlineStr">
        <is>
          <t>Connectivity Charges</t>
        </is>
      </c>
      <c r="F196" s="36" t="inlineStr">
        <is>
          <t>Cloudflare Inc.</t>
        </is>
      </c>
      <c r="G196" s="37" t="n">
        <v>11053.03</v>
      </c>
    </row>
    <row r="197">
      <c r="A197" s="38" t="inlineStr">
        <is>
          <t>9b1cf0a9-30c1-42d7-b35d-51be1e314a10</t>
        </is>
      </c>
      <c r="B197" s="40" t="n">
        <v>45986</v>
      </c>
      <c r="C197" s="38" t="inlineStr">
        <is>
          <t>Security</t>
        </is>
      </c>
      <c r="D197" s="38" t="inlineStr">
        <is>
          <t>InsureSight</t>
        </is>
      </c>
      <c r="E197" s="38" t="inlineStr">
        <is>
          <t>Employee Expenses</t>
        </is>
      </c>
      <c r="F197" s="38" t="inlineStr">
        <is>
          <t>Accenture LLP</t>
        </is>
      </c>
      <c r="G197" s="39" t="n">
        <v>3979.09</v>
      </c>
    </row>
    <row r="198">
      <c r="A198" s="36" t="inlineStr">
        <is>
          <t>26fb2d81-f175-4445-b120-ad88c63931a7</t>
        </is>
      </c>
      <c r="B198" s="41" t="n">
        <v>45703</v>
      </c>
      <c r="C198" s="36" t="inlineStr">
        <is>
          <t>Product Management</t>
        </is>
      </c>
      <c r="D198" s="36" t="inlineStr">
        <is>
          <t>iGO</t>
        </is>
      </c>
      <c r="E198" s="36" t="inlineStr">
        <is>
          <t>Software and Maintenance Expense</t>
        </is>
      </c>
      <c r="F198" s="36" t="inlineStr">
        <is>
          <t>CrowdStrike Holdings</t>
        </is>
      </c>
      <c r="G198" s="37" t="n">
        <v>12170.01</v>
      </c>
    </row>
    <row r="199">
      <c r="A199" s="38" t="inlineStr">
        <is>
          <t>447f5d6f-48ce-4357-a4a8-e664de482db0</t>
        </is>
      </c>
      <c r="B199" s="40" t="n">
        <v>45953</v>
      </c>
      <c r="C199" s="38" t="inlineStr">
        <is>
          <t>Support</t>
        </is>
      </c>
      <c r="D199" s="38" t="inlineStr">
        <is>
          <t>DocFast</t>
        </is>
      </c>
      <c r="E199" s="38" t="inlineStr">
        <is>
          <t>Advertising and Promotion Expense</t>
        </is>
      </c>
      <c r="F199" s="38" t="inlineStr">
        <is>
          <t>WillisTowersWatson</t>
        </is>
      </c>
      <c r="G199" s="39" t="n">
        <v>2131.56</v>
      </c>
    </row>
    <row r="200">
      <c r="A200" s="36" t="inlineStr">
        <is>
          <t>310cc424-859d-4f55-a4c4-7f48e2ca28ce</t>
        </is>
      </c>
      <c r="B200" s="41" t="n">
        <v>45774</v>
      </c>
      <c r="C200" s="36" t="inlineStr">
        <is>
          <t>Security</t>
        </is>
      </c>
      <c r="D200" s="36" t="inlineStr">
        <is>
          <t>iGO</t>
        </is>
      </c>
      <c r="E200" s="36" t="inlineStr">
        <is>
          <t>Other</t>
        </is>
      </c>
      <c r="F200" s="36" t="inlineStr">
        <is>
          <t>Salesforce Inc.</t>
        </is>
      </c>
      <c r="G200" s="37" t="n">
        <v>8007.6</v>
      </c>
    </row>
    <row r="201">
      <c r="A201" s="38" t="inlineStr">
        <is>
          <t>898fbca3-4086-476e-b2eb-e33082cb088c</t>
        </is>
      </c>
      <c r="B201" s="40" t="n">
        <v>45948</v>
      </c>
      <c r="C201" s="38" t="inlineStr">
        <is>
          <t>Security</t>
        </is>
      </c>
      <c r="D201" s="38" t="inlineStr">
        <is>
          <t>InsureSight</t>
        </is>
      </c>
      <c r="E201" s="38" t="inlineStr">
        <is>
          <t>Data Center Fees</t>
        </is>
      </c>
      <c r="F201" s="38" t="inlineStr">
        <is>
          <t>Palo Alto Networks</t>
        </is>
      </c>
      <c r="G201" s="39" t="n">
        <v>8612.4</v>
      </c>
    </row>
    <row r="202">
      <c r="A202" s="36" t="inlineStr">
        <is>
          <t>9041af7f-48de-4098-965b-4d9662e20ddf</t>
        </is>
      </c>
      <c r="B202" s="41" t="n">
        <v>45922</v>
      </c>
      <c r="C202" s="36" t="inlineStr">
        <is>
          <t>Product Management</t>
        </is>
      </c>
      <c r="D202" s="36" t="inlineStr">
        <is>
          <t>iGO</t>
        </is>
      </c>
      <c r="E202" s="36" t="inlineStr">
        <is>
          <t>Advertising and Promotion Expense</t>
        </is>
      </c>
      <c r="F202" s="36" t="inlineStr">
        <is>
          <t>Adobe Systems</t>
        </is>
      </c>
      <c r="G202" s="37" t="n">
        <v>11796.08</v>
      </c>
    </row>
    <row r="203">
      <c r="A203" s="38" t="inlineStr">
        <is>
          <t>0d2d57dd-62df-4451-9748-6441f5f029ce</t>
        </is>
      </c>
      <c r="B203" s="40" t="n">
        <v>45666</v>
      </c>
      <c r="C203" s="38" t="inlineStr">
        <is>
          <t>Product Management</t>
        </is>
      </c>
      <c r="D203" s="38" t="inlineStr">
        <is>
          <t>Affirm</t>
        </is>
      </c>
      <c r="E203" s="38" t="inlineStr">
        <is>
          <t>Advertising and Promotion Expense</t>
        </is>
      </c>
      <c r="F203" s="38" t="inlineStr">
        <is>
          <t>CrowdStrike Holdings</t>
        </is>
      </c>
      <c r="G203" s="39" t="n">
        <v>2236.34</v>
      </c>
    </row>
    <row r="204">
      <c r="A204" s="36" t="inlineStr">
        <is>
          <t>ecbbd872-cbab-4753-a4bd-7c0936d8b431</t>
        </is>
      </c>
      <c r="B204" s="41" t="n">
        <v>45835</v>
      </c>
      <c r="C204" s="36" t="inlineStr">
        <is>
          <t>Security</t>
        </is>
      </c>
      <c r="D204" s="36" t="inlineStr">
        <is>
          <t>DocFast</t>
        </is>
      </c>
      <c r="E204" s="36" t="inlineStr">
        <is>
          <t>Office Expenses &amp; Rent Allocation</t>
        </is>
      </c>
      <c r="F204" s="36" t="inlineStr">
        <is>
          <t>Datadog Inc.</t>
        </is>
      </c>
      <c r="G204" s="37" t="n">
        <v>8682.51</v>
      </c>
    </row>
    <row r="205">
      <c r="A205" s="38" t="inlineStr">
        <is>
          <t>dc3f4018-cb4d-4c97-9281-00970f1827cf</t>
        </is>
      </c>
      <c r="B205" s="40" t="n">
        <v>45798</v>
      </c>
      <c r="C205" s="38" t="inlineStr">
        <is>
          <t>Partners</t>
        </is>
      </c>
      <c r="D205" s="38" t="inlineStr">
        <is>
          <t>DocFast</t>
        </is>
      </c>
      <c r="E205" s="38" t="inlineStr">
        <is>
          <t>Office Expenses &amp; Rent Allocation</t>
        </is>
      </c>
      <c r="F205" s="38" t="inlineStr">
        <is>
          <t>Cloudflare Inc.</t>
        </is>
      </c>
      <c r="G205" s="39" t="n">
        <v>9522.74</v>
      </c>
    </row>
    <row r="206">
      <c r="A206" s="36" t="inlineStr">
        <is>
          <t>fd1fc91c-cf33-4423-a707-feb9efd43264</t>
        </is>
      </c>
      <c r="B206" s="41" t="n">
        <v>45701</v>
      </c>
      <c r="C206" s="36" t="inlineStr">
        <is>
          <t>Content</t>
        </is>
      </c>
      <c r="D206" s="36" t="inlineStr">
        <is>
          <t>InsureSight</t>
        </is>
      </c>
      <c r="E206" s="36" t="inlineStr">
        <is>
          <t>AWS</t>
        </is>
      </c>
      <c r="F206" s="36" t="inlineStr">
        <is>
          <t>Accenture LLP</t>
        </is>
      </c>
      <c r="G206" s="37" t="n">
        <v>14256.3</v>
      </c>
    </row>
    <row r="207">
      <c r="A207" s="38" t="inlineStr">
        <is>
          <t>fd9ab706-f4bd-4ff9-8eb6-d3ad466f2624</t>
        </is>
      </c>
      <c r="B207" s="40" t="n">
        <v>45827</v>
      </c>
      <c r="C207" s="38" t="inlineStr">
        <is>
          <t>NetOps</t>
        </is>
      </c>
      <c r="D207" s="38" t="inlineStr">
        <is>
          <t>iGO</t>
        </is>
      </c>
      <c r="E207" s="38" t="inlineStr">
        <is>
          <t>Office Expenses &amp; Rent Allocation</t>
        </is>
      </c>
      <c r="F207" s="38" t="inlineStr">
        <is>
          <t>Deloitte Consulting</t>
        </is>
      </c>
      <c r="G207" s="39" t="n">
        <v>9978.950000000001</v>
      </c>
    </row>
    <row r="208">
      <c r="A208" s="36" t="inlineStr">
        <is>
          <t>8d490798-98f7-4711-a825-203e0c139b2b</t>
        </is>
      </c>
      <c r="B208" s="41" t="n">
        <v>45836</v>
      </c>
      <c r="C208" s="36" t="inlineStr">
        <is>
          <t>NetOps</t>
        </is>
      </c>
      <c r="D208" s="36" t="inlineStr">
        <is>
          <t>DocFast</t>
        </is>
      </c>
      <c r="E208" s="36" t="inlineStr">
        <is>
          <t>Software and Maintenance Expense</t>
        </is>
      </c>
      <c r="F208" s="36" t="inlineStr">
        <is>
          <t>Zendesk Inc.</t>
        </is>
      </c>
      <c r="G208" s="37" t="n">
        <v>12381.47</v>
      </c>
    </row>
    <row r="209">
      <c r="A209" s="38" t="inlineStr">
        <is>
          <t>bbf3d123-c298-4247-a912-32c7b1670414</t>
        </is>
      </c>
      <c r="B209" s="40" t="n">
        <v>45878</v>
      </c>
      <c r="C209" s="38" t="inlineStr">
        <is>
          <t>Support</t>
        </is>
      </c>
      <c r="D209" s="38" t="inlineStr">
        <is>
          <t>InsureSight</t>
        </is>
      </c>
      <c r="E209" s="38" t="inlineStr">
        <is>
          <t>AWS</t>
        </is>
      </c>
      <c r="F209" s="38" t="inlineStr">
        <is>
          <t>Cognizant Technology</t>
        </is>
      </c>
      <c r="G209" s="39" t="n">
        <v>8690.110000000001</v>
      </c>
    </row>
    <row r="210">
      <c r="A210" s="36" t="inlineStr">
        <is>
          <t>44061a3f-9df4-4d08-8c53-391b8784ff04</t>
        </is>
      </c>
      <c r="B210" s="41" t="n">
        <v>45958</v>
      </c>
      <c r="C210" s="36" t="inlineStr">
        <is>
          <t>Partners</t>
        </is>
      </c>
      <c r="D210" s="36" t="inlineStr">
        <is>
          <t>InsureSight</t>
        </is>
      </c>
      <c r="E210" s="36" t="inlineStr">
        <is>
          <t>Reselling Expenses</t>
        </is>
      </c>
      <c r="F210" s="36" t="inlineStr">
        <is>
          <t>Adobe Systems</t>
        </is>
      </c>
      <c r="G210" s="37" t="n">
        <v>773.72</v>
      </c>
    </row>
    <row r="211">
      <c r="A211" s="38" t="inlineStr">
        <is>
          <t>f83e4241-6b91-4679-b3b3-99c5c95ed8a1</t>
        </is>
      </c>
      <c r="B211" s="40" t="n">
        <v>45709</v>
      </c>
      <c r="C211" s="38" t="inlineStr">
        <is>
          <t>Product Management</t>
        </is>
      </c>
      <c r="D211" s="38" t="inlineStr">
        <is>
          <t>DocFast</t>
        </is>
      </c>
      <c r="E211" s="38" t="inlineStr">
        <is>
          <t>Employee Expenses</t>
        </is>
      </c>
      <c r="F211" s="38" t="inlineStr">
        <is>
          <t>Cloudflare Inc.</t>
        </is>
      </c>
      <c r="G211" s="39" t="n">
        <v>13945.02</v>
      </c>
    </row>
    <row r="212">
      <c r="A212" s="36" t="inlineStr">
        <is>
          <t>a73296d2-697c-44a3-af36-c6967dc802bf</t>
        </is>
      </c>
      <c r="B212" s="41" t="n">
        <v>45731</v>
      </c>
      <c r="C212" s="36" t="inlineStr">
        <is>
          <t>Partners</t>
        </is>
      </c>
      <c r="D212" s="36" t="inlineStr">
        <is>
          <t>iGO</t>
        </is>
      </c>
      <c r="E212" s="36" t="inlineStr">
        <is>
          <t>Connectivity Charges</t>
        </is>
      </c>
      <c r="F212" s="36" t="inlineStr">
        <is>
          <t>CrowdStrike Holdings</t>
        </is>
      </c>
      <c r="G212" s="37" t="n">
        <v>14935.63</v>
      </c>
    </row>
    <row r="213">
      <c r="A213" s="38" t="inlineStr">
        <is>
          <t>0554b364-ba94-4000-9580-c1bc08d19ce2</t>
        </is>
      </c>
      <c r="B213" s="40" t="n">
        <v>45737</v>
      </c>
      <c r="C213" s="38" t="inlineStr">
        <is>
          <t>Support</t>
        </is>
      </c>
      <c r="D213" s="38" t="inlineStr">
        <is>
          <t>Affirm</t>
        </is>
      </c>
      <c r="E213" s="38" t="inlineStr">
        <is>
          <t>Data Center Fees</t>
        </is>
      </c>
      <c r="F213" s="38" t="inlineStr">
        <is>
          <t>Cloudflare Inc.</t>
        </is>
      </c>
      <c r="G213" s="39" t="n">
        <v>9836.09</v>
      </c>
    </row>
    <row r="214">
      <c r="A214" s="36" t="inlineStr">
        <is>
          <t>1a93fb58-4aeb-471e-9f83-e572bbe7dce3</t>
        </is>
      </c>
      <c r="B214" s="41" t="n">
        <v>45780</v>
      </c>
      <c r="C214" s="36" t="inlineStr">
        <is>
          <t>Support</t>
        </is>
      </c>
      <c r="D214" s="36" t="inlineStr">
        <is>
          <t>Affirm</t>
        </is>
      </c>
      <c r="E214" s="36" t="inlineStr">
        <is>
          <t>Employee Expenses</t>
        </is>
      </c>
      <c r="F214" s="36" t="inlineStr">
        <is>
          <t>Zendesk Inc.</t>
        </is>
      </c>
      <c r="G214" s="37" t="n">
        <v>9402.780000000001</v>
      </c>
    </row>
    <row r="215">
      <c r="A215" s="38" t="inlineStr">
        <is>
          <t>6bd5ad0d-744a-4d76-9be3-ac90ddab1990</t>
        </is>
      </c>
      <c r="B215" s="40" t="n">
        <v>46014</v>
      </c>
      <c r="C215" s="38" t="inlineStr">
        <is>
          <t>Product Management</t>
        </is>
      </c>
      <c r="D215" s="38" t="inlineStr">
        <is>
          <t>Affirm</t>
        </is>
      </c>
      <c r="E215" s="38" t="inlineStr">
        <is>
          <t>Connectivity Charges</t>
        </is>
      </c>
      <c r="F215" s="38" t="inlineStr">
        <is>
          <t>Deloitte Consulting</t>
        </is>
      </c>
      <c r="G215" s="39" t="n">
        <v>1413.43</v>
      </c>
    </row>
    <row r="216">
      <c r="A216" s="36" t="inlineStr">
        <is>
          <t>3ef16520-0d24-4691-bc06-96234d187101</t>
        </is>
      </c>
      <c r="B216" s="41" t="n">
        <v>45689</v>
      </c>
      <c r="C216" s="36" t="inlineStr">
        <is>
          <t>Security</t>
        </is>
      </c>
      <c r="D216" s="36" t="inlineStr">
        <is>
          <t>DocFast</t>
        </is>
      </c>
      <c r="E216" s="36" t="inlineStr">
        <is>
          <t>Professional Fees and Outsourcing Expenses</t>
        </is>
      </c>
      <c r="F216" s="36" t="inlineStr">
        <is>
          <t>Datadog Inc.</t>
        </is>
      </c>
      <c r="G216" s="37" t="n">
        <v>8925.51</v>
      </c>
    </row>
    <row r="217">
      <c r="A217" s="38" t="inlineStr">
        <is>
          <t>eafde384-f4ca-423b-95e1-31ed5e355383</t>
        </is>
      </c>
      <c r="B217" s="40" t="n">
        <v>45922</v>
      </c>
      <c r="C217" s="38" t="inlineStr">
        <is>
          <t>Partners</t>
        </is>
      </c>
      <c r="D217" s="38" t="inlineStr">
        <is>
          <t>iGO</t>
        </is>
      </c>
      <c r="E217" s="38" t="inlineStr">
        <is>
          <t>Employee Expenses</t>
        </is>
      </c>
      <c r="F217" s="38" t="inlineStr">
        <is>
          <t>Iron Mountain</t>
        </is>
      </c>
      <c r="G217" s="39" t="n">
        <v>5186.43</v>
      </c>
    </row>
    <row r="218">
      <c r="A218" s="36" t="inlineStr">
        <is>
          <t>355afbec-fd6b-486b-9c72-f6807a573e66</t>
        </is>
      </c>
      <c r="B218" s="41" t="n">
        <v>45716</v>
      </c>
      <c r="C218" s="36" t="inlineStr">
        <is>
          <t>Partners</t>
        </is>
      </c>
      <c r="D218" s="36" t="inlineStr">
        <is>
          <t>Affirm</t>
        </is>
      </c>
      <c r="E218" s="36" t="inlineStr">
        <is>
          <t>Office Expenses &amp; Rent Allocation</t>
        </is>
      </c>
      <c r="F218" s="36" t="inlineStr">
        <is>
          <t>Cloudflare Inc.</t>
        </is>
      </c>
      <c r="G218" s="37" t="n">
        <v>3472.76</v>
      </c>
    </row>
    <row r="219">
      <c r="A219" s="38" t="inlineStr">
        <is>
          <t>a2d0546a-7af8-40f1-88aa-8a4c388c0e04</t>
        </is>
      </c>
      <c r="B219" s="40" t="n">
        <v>45712</v>
      </c>
      <c r="C219" s="38" t="inlineStr">
        <is>
          <t>Product Management</t>
        </is>
      </c>
      <c r="D219" s="38" t="inlineStr">
        <is>
          <t>iGO</t>
        </is>
      </c>
      <c r="E219" s="38" t="inlineStr">
        <is>
          <t>Professional Fees and Outsourcing Expenses</t>
        </is>
      </c>
      <c r="F219" s="38" t="inlineStr">
        <is>
          <t>Salesforce Inc.</t>
        </is>
      </c>
      <c r="G219" s="39" t="n">
        <v>5545.05</v>
      </c>
    </row>
    <row r="220">
      <c r="A220" s="36" t="inlineStr">
        <is>
          <t>bbac5b61-bce9-4684-820b-f3aee055c094</t>
        </is>
      </c>
      <c r="B220" s="41" t="n">
        <v>45782</v>
      </c>
      <c r="C220" s="36" t="inlineStr">
        <is>
          <t>Partners</t>
        </is>
      </c>
      <c r="D220" s="36" t="inlineStr">
        <is>
          <t>Affirm</t>
        </is>
      </c>
      <c r="E220" s="36" t="inlineStr">
        <is>
          <t>Reselling Expenses</t>
        </is>
      </c>
      <c r="F220" s="36" t="inlineStr">
        <is>
          <t>Deloitte Consulting</t>
        </is>
      </c>
      <c r="G220" s="37" t="n">
        <v>2185.65</v>
      </c>
    </row>
    <row r="221">
      <c r="A221" s="38" t="inlineStr">
        <is>
          <t>68eb8c38-bfa0-4343-93bc-c24b49fc038a</t>
        </is>
      </c>
      <c r="B221" s="40" t="n">
        <v>45919</v>
      </c>
      <c r="C221" s="38" t="inlineStr">
        <is>
          <t>NetOps</t>
        </is>
      </c>
      <c r="D221" s="38" t="inlineStr">
        <is>
          <t>Affirm</t>
        </is>
      </c>
      <c r="E221" s="38" t="inlineStr">
        <is>
          <t>Office Expenses &amp; Rent Allocation</t>
        </is>
      </c>
      <c r="F221" s="38" t="inlineStr">
        <is>
          <t>Salesforce Inc.</t>
        </is>
      </c>
      <c r="G221" s="39" t="n">
        <v>10850.36</v>
      </c>
    </row>
    <row r="222">
      <c r="A222" s="36" t="inlineStr">
        <is>
          <t>ac00ea8f-1a76-47ff-8426-7a4ae9fbb377</t>
        </is>
      </c>
      <c r="B222" s="41" t="n">
        <v>45985</v>
      </c>
      <c r="C222" s="36" t="inlineStr">
        <is>
          <t>Security</t>
        </is>
      </c>
      <c r="D222" s="36" t="inlineStr">
        <is>
          <t>DocFast</t>
        </is>
      </c>
      <c r="E222" s="36" t="inlineStr">
        <is>
          <t>Other</t>
        </is>
      </c>
      <c r="F222" s="36" t="inlineStr">
        <is>
          <t>Deloitte Consulting</t>
        </is>
      </c>
      <c r="G222" s="37" t="n">
        <v>6663.64</v>
      </c>
    </row>
    <row r="223">
      <c r="A223" s="38" t="inlineStr">
        <is>
          <t>af03278c-fe1f-44f9-86e6-1fb61ee76680</t>
        </is>
      </c>
      <c r="B223" s="40" t="n">
        <v>45750</v>
      </c>
      <c r="C223" s="38" t="inlineStr">
        <is>
          <t>NetOps</t>
        </is>
      </c>
      <c r="D223" s="38" t="inlineStr">
        <is>
          <t>Affirm</t>
        </is>
      </c>
      <c r="E223" s="38" t="inlineStr">
        <is>
          <t>Professional Fees and Outsourcing Expenses</t>
        </is>
      </c>
      <c r="F223" s="38" t="inlineStr">
        <is>
          <t>WillisTowersWatson</t>
        </is>
      </c>
      <c r="G223" s="39" t="n">
        <v>10963.64</v>
      </c>
    </row>
    <row r="224">
      <c r="A224" s="36" t="inlineStr">
        <is>
          <t>3fc1ab36-3123-4f62-a713-60f3169a850e</t>
        </is>
      </c>
      <c r="B224" s="41" t="n">
        <v>45822</v>
      </c>
      <c r="C224" s="36" t="inlineStr">
        <is>
          <t>Support</t>
        </is>
      </c>
      <c r="D224" s="36" t="inlineStr">
        <is>
          <t>Affirm</t>
        </is>
      </c>
      <c r="E224" s="36" t="inlineStr">
        <is>
          <t>Software and Maintenance Expense</t>
        </is>
      </c>
      <c r="F224" s="36" t="inlineStr">
        <is>
          <t>Palo Alto Networks</t>
        </is>
      </c>
      <c r="G224" s="37" t="n">
        <v>9687.08</v>
      </c>
    </row>
    <row r="225">
      <c r="A225" s="38" t="inlineStr">
        <is>
          <t>0384acf0-acee-467a-a9e7-a4ee24925109</t>
        </is>
      </c>
      <c r="B225" s="40" t="n">
        <v>45765</v>
      </c>
      <c r="C225" s="38" t="inlineStr">
        <is>
          <t>Content</t>
        </is>
      </c>
      <c r="D225" s="38" t="inlineStr">
        <is>
          <t>InsureSight</t>
        </is>
      </c>
      <c r="E225" s="38" t="inlineStr">
        <is>
          <t>Employee Expenses</t>
        </is>
      </c>
      <c r="F225" s="38" t="inlineStr">
        <is>
          <t>Microsoft Corp.</t>
        </is>
      </c>
      <c r="G225" s="39" t="n">
        <v>12713.7</v>
      </c>
    </row>
    <row r="226">
      <c r="A226" s="36" t="inlineStr">
        <is>
          <t>78e45bab-3c3d-46d2-b6e8-059e8f545914</t>
        </is>
      </c>
      <c r="B226" s="41" t="n">
        <v>45784</v>
      </c>
      <c r="C226" s="36" t="inlineStr">
        <is>
          <t>Content</t>
        </is>
      </c>
      <c r="D226" s="36" t="inlineStr">
        <is>
          <t>Affirm</t>
        </is>
      </c>
      <c r="E226" s="36" t="inlineStr">
        <is>
          <t>Connectivity Charges</t>
        </is>
      </c>
      <c r="F226" s="36" t="inlineStr">
        <is>
          <t>Palo Alto Networks</t>
        </is>
      </c>
      <c r="G226" s="37" t="n">
        <v>9710.24</v>
      </c>
    </row>
    <row r="227">
      <c r="A227" s="38" t="inlineStr">
        <is>
          <t>2b385c7e-c44f-4331-9a79-50dd27572dab</t>
        </is>
      </c>
      <c r="B227" s="40" t="n">
        <v>45763</v>
      </c>
      <c r="C227" s="38" t="inlineStr">
        <is>
          <t>Partners</t>
        </is>
      </c>
      <c r="D227" s="38" t="inlineStr">
        <is>
          <t>iGO</t>
        </is>
      </c>
      <c r="E227" s="38" t="inlineStr">
        <is>
          <t>Software and Maintenance Expense</t>
        </is>
      </c>
      <c r="F227" s="38" t="inlineStr">
        <is>
          <t>Accenture LLP</t>
        </is>
      </c>
      <c r="G227" s="39" t="n">
        <v>9589.33</v>
      </c>
    </row>
    <row r="228">
      <c r="A228" s="36" t="inlineStr">
        <is>
          <t>0a7ee26b-7ed7-4b73-a663-3f2d2a14b922</t>
        </is>
      </c>
      <c r="B228" s="41" t="n">
        <v>45705</v>
      </c>
      <c r="C228" s="36" t="inlineStr">
        <is>
          <t>NetOps</t>
        </is>
      </c>
      <c r="D228" s="36" t="inlineStr">
        <is>
          <t>InsureSight</t>
        </is>
      </c>
      <c r="E228" s="36" t="inlineStr">
        <is>
          <t>AWS</t>
        </is>
      </c>
      <c r="F228" s="36" t="inlineStr">
        <is>
          <t>Datadog Inc.</t>
        </is>
      </c>
      <c r="G228" s="37" t="n">
        <v>5833.23</v>
      </c>
    </row>
    <row r="229">
      <c r="A229" s="38" t="inlineStr">
        <is>
          <t>4add4fea-6e58-4f6c-81ed-abd4eddceba8</t>
        </is>
      </c>
      <c r="B229" s="40" t="n">
        <v>45944</v>
      </c>
      <c r="C229" s="38" t="inlineStr">
        <is>
          <t>Support</t>
        </is>
      </c>
      <c r="D229" s="38" t="inlineStr">
        <is>
          <t>Affirm</t>
        </is>
      </c>
      <c r="E229" s="38" t="inlineStr">
        <is>
          <t>Office Expenses &amp; Rent Allocation</t>
        </is>
      </c>
      <c r="F229" s="38" t="inlineStr">
        <is>
          <t>Adobe Systems</t>
        </is>
      </c>
      <c r="G229" s="39" t="n">
        <v>1141.23</v>
      </c>
    </row>
    <row r="230">
      <c r="A230" s="36" t="inlineStr">
        <is>
          <t>176fd5c4-fe70-42b1-a277-88716b3ed147</t>
        </is>
      </c>
      <c r="B230" s="41" t="n">
        <v>45933</v>
      </c>
      <c r="C230" s="36" t="inlineStr">
        <is>
          <t>NetOps</t>
        </is>
      </c>
      <c r="D230" s="36" t="inlineStr">
        <is>
          <t>InsureSight</t>
        </is>
      </c>
      <c r="E230" s="36" t="inlineStr">
        <is>
          <t>Software and Maintenance Expense</t>
        </is>
      </c>
      <c r="F230" s="36" t="inlineStr">
        <is>
          <t>Amazon Web Services</t>
        </is>
      </c>
      <c r="G230" s="37" t="n">
        <v>13842.56</v>
      </c>
    </row>
    <row r="231">
      <c r="A231" s="38" t="inlineStr">
        <is>
          <t>3abddaaf-3996-4467-8b3f-dab257124312</t>
        </is>
      </c>
      <c r="B231" s="40" t="n">
        <v>45855</v>
      </c>
      <c r="C231" s="38" t="inlineStr">
        <is>
          <t>Support</t>
        </is>
      </c>
      <c r="D231" s="38" t="inlineStr">
        <is>
          <t>DocFast</t>
        </is>
      </c>
      <c r="E231" s="38" t="inlineStr">
        <is>
          <t>Connectivity Charges</t>
        </is>
      </c>
      <c r="F231" s="38" t="inlineStr">
        <is>
          <t>Iron Mountain</t>
        </is>
      </c>
      <c r="G231" s="39" t="n">
        <v>6064.05</v>
      </c>
    </row>
    <row r="232">
      <c r="A232" s="36" t="inlineStr">
        <is>
          <t>8d445fd4-3ea3-45e1-ad0d-e0e81b153eec</t>
        </is>
      </c>
      <c r="B232" s="41" t="n">
        <v>45979</v>
      </c>
      <c r="C232" s="36" t="inlineStr">
        <is>
          <t>Content</t>
        </is>
      </c>
      <c r="D232" s="36" t="inlineStr">
        <is>
          <t>Affirm</t>
        </is>
      </c>
      <c r="E232" s="36" t="inlineStr">
        <is>
          <t>Data Center Fees</t>
        </is>
      </c>
      <c r="F232" s="36" t="inlineStr">
        <is>
          <t>Cloudflare Inc.</t>
        </is>
      </c>
      <c r="G232" s="37" t="n">
        <v>4683.11</v>
      </c>
    </row>
    <row r="233">
      <c r="A233" s="38" t="inlineStr">
        <is>
          <t>7f19eb7a-e1ca-47b0-9b2c-a23beb0d52fe</t>
        </is>
      </c>
      <c r="B233" s="40" t="n">
        <v>45907</v>
      </c>
      <c r="C233" s="38" t="inlineStr">
        <is>
          <t>Product Management</t>
        </is>
      </c>
      <c r="D233" s="38" t="inlineStr">
        <is>
          <t>Affirm</t>
        </is>
      </c>
      <c r="E233" s="38" t="inlineStr">
        <is>
          <t>Overhead Allocation &amp; Chargebacks</t>
        </is>
      </c>
      <c r="F233" s="38" t="inlineStr">
        <is>
          <t>Salesforce Inc.</t>
        </is>
      </c>
      <c r="G233" s="39" t="n">
        <v>5891.44</v>
      </c>
    </row>
    <row r="234">
      <c r="A234" s="36" t="inlineStr">
        <is>
          <t>0c52403f-5292-45e7-9747-dd58b9c87511</t>
        </is>
      </c>
      <c r="B234" s="41" t="n">
        <v>45986</v>
      </c>
      <c r="C234" s="36" t="inlineStr">
        <is>
          <t>Product Management</t>
        </is>
      </c>
      <c r="D234" s="36" t="inlineStr">
        <is>
          <t>iGO</t>
        </is>
      </c>
      <c r="E234" s="36" t="inlineStr">
        <is>
          <t>Data Center Fees</t>
        </is>
      </c>
      <c r="F234" s="36" t="inlineStr">
        <is>
          <t>Iron Mountain</t>
        </is>
      </c>
      <c r="G234" s="37" t="n">
        <v>6590.42</v>
      </c>
    </row>
    <row r="235">
      <c r="A235" s="38" t="inlineStr">
        <is>
          <t>dd14c2c6-0a34-49e1-a7a9-fb693fc080e8</t>
        </is>
      </c>
      <c r="B235" s="40" t="n">
        <v>45749</v>
      </c>
      <c r="C235" s="38" t="inlineStr">
        <is>
          <t>Security</t>
        </is>
      </c>
      <c r="D235" s="38" t="inlineStr">
        <is>
          <t>iGO</t>
        </is>
      </c>
      <c r="E235" s="38" t="inlineStr">
        <is>
          <t>Connectivity Charges</t>
        </is>
      </c>
      <c r="F235" s="38" t="inlineStr">
        <is>
          <t>Cloudflare Inc.</t>
        </is>
      </c>
      <c r="G235" s="39" t="n">
        <v>6827.91</v>
      </c>
    </row>
    <row r="236">
      <c r="A236" s="36" t="inlineStr">
        <is>
          <t>0fee203f-e591-47d6-8192-f1cd38606582</t>
        </is>
      </c>
      <c r="B236" s="41" t="n">
        <v>45932</v>
      </c>
      <c r="C236" s="36" t="inlineStr">
        <is>
          <t>Support</t>
        </is>
      </c>
      <c r="D236" s="36" t="inlineStr">
        <is>
          <t>Affirm</t>
        </is>
      </c>
      <c r="E236" s="36" t="inlineStr">
        <is>
          <t>Professional Fees and Outsourcing Expenses</t>
        </is>
      </c>
      <c r="F236" s="36" t="inlineStr">
        <is>
          <t>Amazon Web Services</t>
        </is>
      </c>
      <c r="G236" s="37" t="n">
        <v>10633.11</v>
      </c>
    </row>
    <row r="237">
      <c r="A237" s="38" t="inlineStr">
        <is>
          <t>4e72c027-04f6-41a1-bfe9-c0a6dba003ab</t>
        </is>
      </c>
      <c r="B237" s="40" t="n">
        <v>45992</v>
      </c>
      <c r="C237" s="38" t="inlineStr">
        <is>
          <t>Security</t>
        </is>
      </c>
      <c r="D237" s="38" t="inlineStr">
        <is>
          <t>DocFast</t>
        </is>
      </c>
      <c r="E237" s="38" t="inlineStr">
        <is>
          <t>AWS</t>
        </is>
      </c>
      <c r="F237" s="38" t="inlineStr">
        <is>
          <t>Cognizant Technology</t>
        </is>
      </c>
      <c r="G237" s="39" t="n">
        <v>7782.48</v>
      </c>
    </row>
    <row r="238">
      <c r="A238" s="36" t="inlineStr">
        <is>
          <t>40676b71-49c2-49b3-8e35-cc0804059637</t>
        </is>
      </c>
      <c r="B238" s="41" t="n">
        <v>46000</v>
      </c>
      <c r="C238" s="36" t="inlineStr">
        <is>
          <t>Security</t>
        </is>
      </c>
      <c r="D238" s="36" t="inlineStr">
        <is>
          <t>InsureSight</t>
        </is>
      </c>
      <c r="E238" s="36" t="inlineStr">
        <is>
          <t>Advertising and Promotion Expense</t>
        </is>
      </c>
      <c r="F238" s="36" t="inlineStr">
        <is>
          <t>Iron Mountain</t>
        </is>
      </c>
      <c r="G238" s="37" t="n">
        <v>11727.8</v>
      </c>
    </row>
    <row r="239">
      <c r="A239" s="38" t="inlineStr">
        <is>
          <t>0ded5178-f4f4-4cbf-bb80-802afd87ca46</t>
        </is>
      </c>
      <c r="B239" s="40" t="n">
        <v>45801</v>
      </c>
      <c r="C239" s="38" t="inlineStr">
        <is>
          <t>NetOps</t>
        </is>
      </c>
      <c r="D239" s="38" t="inlineStr">
        <is>
          <t>iGO</t>
        </is>
      </c>
      <c r="E239" s="38" t="inlineStr">
        <is>
          <t>AWS</t>
        </is>
      </c>
      <c r="F239" s="38" t="inlineStr">
        <is>
          <t>Adobe Systems</t>
        </is>
      </c>
      <c r="G239" s="39" t="n">
        <v>6468.4</v>
      </c>
    </row>
    <row r="240">
      <c r="A240" s="36" t="inlineStr">
        <is>
          <t>34cc318f-cfea-4825-a99b-f0c213380d86</t>
        </is>
      </c>
      <c r="B240" s="41" t="n">
        <v>45903</v>
      </c>
      <c r="C240" s="36" t="inlineStr">
        <is>
          <t>Support</t>
        </is>
      </c>
      <c r="D240" s="36" t="inlineStr">
        <is>
          <t>iGO</t>
        </is>
      </c>
      <c r="E240" s="36" t="inlineStr">
        <is>
          <t>Office Expenses &amp; Rent Allocation</t>
        </is>
      </c>
      <c r="F240" s="36" t="inlineStr">
        <is>
          <t>Accenture LLP</t>
        </is>
      </c>
      <c r="G240" s="37" t="n">
        <v>7686.19</v>
      </c>
    </row>
    <row r="241">
      <c r="A241" s="38" t="inlineStr">
        <is>
          <t>6c9616e8-a6da-4cc0-81b9-1ec9ac619d0b</t>
        </is>
      </c>
      <c r="B241" s="40" t="n">
        <v>45673</v>
      </c>
      <c r="C241" s="38" t="inlineStr">
        <is>
          <t>Product Management</t>
        </is>
      </c>
      <c r="D241" s="38" t="inlineStr">
        <is>
          <t>Affirm</t>
        </is>
      </c>
      <c r="E241" s="38" t="inlineStr">
        <is>
          <t>AWS</t>
        </is>
      </c>
      <c r="F241" s="38" t="inlineStr">
        <is>
          <t>Datadog Inc.</t>
        </is>
      </c>
      <c r="G241" s="39" t="n">
        <v>3863.99</v>
      </c>
    </row>
    <row r="242">
      <c r="A242" s="36" t="inlineStr">
        <is>
          <t>f67fd2fc-fce5-4043-a31a-afd690a94c83</t>
        </is>
      </c>
      <c r="B242" s="41" t="n">
        <v>45707</v>
      </c>
      <c r="C242" s="36" t="inlineStr">
        <is>
          <t>R&amp;D</t>
        </is>
      </c>
      <c r="D242" s="36" t="inlineStr">
        <is>
          <t>iGO</t>
        </is>
      </c>
      <c r="E242" s="36" t="inlineStr">
        <is>
          <t>Software and Maintenance Expense</t>
        </is>
      </c>
      <c r="F242" s="36" t="inlineStr">
        <is>
          <t>Iron Mountain</t>
        </is>
      </c>
      <c r="G242" s="37" t="n">
        <v>7656.93</v>
      </c>
    </row>
    <row r="243">
      <c r="A243" s="38" t="inlineStr">
        <is>
          <t>b12df7ea-a387-439d-805d-285b78ad5616</t>
        </is>
      </c>
      <c r="B243" s="40" t="n">
        <v>45685</v>
      </c>
      <c r="C243" s="38" t="inlineStr">
        <is>
          <t>Product Management</t>
        </is>
      </c>
      <c r="D243" s="38" t="inlineStr">
        <is>
          <t>iGO</t>
        </is>
      </c>
      <c r="E243" s="38" t="inlineStr">
        <is>
          <t>Software and Maintenance Expense</t>
        </is>
      </c>
      <c r="F243" s="38" t="inlineStr">
        <is>
          <t>Amazon Web Services</t>
        </is>
      </c>
      <c r="G243" s="39" t="n">
        <v>7102.88</v>
      </c>
    </row>
    <row r="244">
      <c r="A244" s="36" t="inlineStr">
        <is>
          <t>5864b1fb-fbfd-472c-9e4e-034a9ae00741</t>
        </is>
      </c>
      <c r="B244" s="41" t="n">
        <v>45843</v>
      </c>
      <c r="C244" s="36" t="inlineStr">
        <is>
          <t>Security</t>
        </is>
      </c>
      <c r="D244" s="36" t="inlineStr">
        <is>
          <t>iGO</t>
        </is>
      </c>
      <c r="E244" s="36" t="inlineStr">
        <is>
          <t>Overhead Allocation &amp; Chargebacks</t>
        </is>
      </c>
      <c r="F244" s="36" t="inlineStr">
        <is>
          <t>Adobe Systems</t>
        </is>
      </c>
      <c r="G244" s="37" t="n">
        <v>13713.52</v>
      </c>
    </row>
    <row r="245">
      <c r="A245" s="38" t="inlineStr">
        <is>
          <t>a56c3736-0690-4812-8ca0-810b9f793117</t>
        </is>
      </c>
      <c r="B245" s="40" t="n">
        <v>46012</v>
      </c>
      <c r="C245" s="38" t="inlineStr">
        <is>
          <t>Partners</t>
        </is>
      </c>
      <c r="D245" s="38" t="inlineStr">
        <is>
          <t>Affirm</t>
        </is>
      </c>
      <c r="E245" s="38" t="inlineStr">
        <is>
          <t>AWS</t>
        </is>
      </c>
      <c r="F245" s="38" t="inlineStr">
        <is>
          <t>CrowdStrike Holdings</t>
        </is>
      </c>
      <c r="G245" s="39" t="n">
        <v>6273.04</v>
      </c>
    </row>
    <row r="246">
      <c r="A246" s="36" t="inlineStr">
        <is>
          <t>63962002-30a4-4c4f-ae43-8d74439dec41</t>
        </is>
      </c>
      <c r="B246" s="41" t="n">
        <v>46002</v>
      </c>
      <c r="C246" s="36" t="inlineStr">
        <is>
          <t>Support</t>
        </is>
      </c>
      <c r="D246" s="36" t="inlineStr">
        <is>
          <t>iGO</t>
        </is>
      </c>
      <c r="E246" s="36" t="inlineStr">
        <is>
          <t>Other</t>
        </is>
      </c>
      <c r="F246" s="36" t="inlineStr">
        <is>
          <t>Salesforce Inc.</t>
        </is>
      </c>
      <c r="G246" s="37" t="n">
        <v>1835.04</v>
      </c>
    </row>
    <row r="247">
      <c r="A247" s="38" t="inlineStr">
        <is>
          <t>061e2257-96ae-4e69-a4fc-448e5f6f8095</t>
        </is>
      </c>
      <c r="B247" s="40" t="n">
        <v>45963</v>
      </c>
      <c r="C247" s="38" t="inlineStr">
        <is>
          <t>Security</t>
        </is>
      </c>
      <c r="D247" s="38" t="inlineStr">
        <is>
          <t>Affirm</t>
        </is>
      </c>
      <c r="E247" s="38" t="inlineStr">
        <is>
          <t>Overhead Allocation &amp; Chargebacks</t>
        </is>
      </c>
      <c r="F247" s="38" t="inlineStr">
        <is>
          <t>Amazon Web Services</t>
        </is>
      </c>
      <c r="G247" s="39" t="n">
        <v>14313.49</v>
      </c>
    </row>
    <row r="248">
      <c r="A248" s="36" t="inlineStr">
        <is>
          <t>370aa4be-5087-4509-bb08-447e419d21d5</t>
        </is>
      </c>
      <c r="B248" s="41" t="n">
        <v>45703</v>
      </c>
      <c r="C248" s="36" t="inlineStr">
        <is>
          <t>Product Management</t>
        </is>
      </c>
      <c r="D248" s="36" t="inlineStr">
        <is>
          <t>InsureSight</t>
        </is>
      </c>
      <c r="E248" s="36" t="inlineStr">
        <is>
          <t>Data Center Fees</t>
        </is>
      </c>
      <c r="F248" s="36" t="inlineStr">
        <is>
          <t>Salesforce Inc.</t>
        </is>
      </c>
      <c r="G248" s="37" t="n">
        <v>1341.46</v>
      </c>
    </row>
    <row r="249">
      <c r="A249" s="38" t="inlineStr">
        <is>
          <t>026fa9bd-5762-40f6-88ff-9d79724f1c6c</t>
        </is>
      </c>
      <c r="B249" s="40" t="n">
        <v>45870</v>
      </c>
      <c r="C249" s="38" t="inlineStr">
        <is>
          <t>Support</t>
        </is>
      </c>
      <c r="D249" s="38" t="inlineStr">
        <is>
          <t>Affirm</t>
        </is>
      </c>
      <c r="E249" s="38" t="inlineStr">
        <is>
          <t>Data Center Fees</t>
        </is>
      </c>
      <c r="F249" s="38" t="inlineStr">
        <is>
          <t>WillisTowersWatson</t>
        </is>
      </c>
      <c r="G249" s="39" t="n">
        <v>11778.38</v>
      </c>
    </row>
    <row r="250">
      <c r="A250" s="36" t="inlineStr">
        <is>
          <t>77c6bfcb-ad4f-49d9-95f3-ba4dc0631696</t>
        </is>
      </c>
      <c r="B250" s="41" t="n">
        <v>46011</v>
      </c>
      <c r="C250" s="36" t="inlineStr">
        <is>
          <t>Security</t>
        </is>
      </c>
      <c r="D250" s="36" t="inlineStr">
        <is>
          <t>DocFast</t>
        </is>
      </c>
      <c r="E250" s="36" t="inlineStr">
        <is>
          <t>AWS</t>
        </is>
      </c>
      <c r="F250" s="36" t="inlineStr">
        <is>
          <t>WillisTowersWatson</t>
        </is>
      </c>
      <c r="G250" s="37" t="n">
        <v>14579.27</v>
      </c>
    </row>
    <row r="251">
      <c r="A251" s="38" t="inlineStr">
        <is>
          <t>76fdd62b-777c-4d2e-8add-7b1ffa15de5b</t>
        </is>
      </c>
      <c r="B251" s="40" t="n">
        <v>45771</v>
      </c>
      <c r="C251" s="38" t="inlineStr">
        <is>
          <t>Content</t>
        </is>
      </c>
      <c r="D251" s="38" t="inlineStr">
        <is>
          <t>Affirm</t>
        </is>
      </c>
      <c r="E251" s="38" t="inlineStr">
        <is>
          <t>Advertising and Promotion Expense</t>
        </is>
      </c>
      <c r="F251" s="38" t="inlineStr">
        <is>
          <t>Amazon Web Services</t>
        </is>
      </c>
      <c r="G251" s="39" t="n">
        <v>13989.34</v>
      </c>
    </row>
    <row r="252">
      <c r="A252" s="36" t="inlineStr">
        <is>
          <t>c4683fe1-4197-4843-80b6-aad2f17ab412</t>
        </is>
      </c>
      <c r="B252" s="41" t="n">
        <v>45665</v>
      </c>
      <c r="C252" s="36" t="inlineStr">
        <is>
          <t>Content</t>
        </is>
      </c>
      <c r="D252" s="36" t="inlineStr">
        <is>
          <t>InsureSight</t>
        </is>
      </c>
      <c r="E252" s="36" t="inlineStr">
        <is>
          <t>Reselling Expenses</t>
        </is>
      </c>
      <c r="F252" s="36" t="inlineStr">
        <is>
          <t>Microsoft Corp.</t>
        </is>
      </c>
      <c r="G252" s="37" t="n">
        <v>10417.24</v>
      </c>
    </row>
    <row r="253">
      <c r="A253" s="38" t="inlineStr">
        <is>
          <t>e9f56ff7-8ef1-4d2b-9e4a-35517b60af57</t>
        </is>
      </c>
      <c r="B253" s="40" t="n">
        <v>45668</v>
      </c>
      <c r="C253" s="38" t="inlineStr">
        <is>
          <t>NetOps</t>
        </is>
      </c>
      <c r="D253" s="38" t="inlineStr">
        <is>
          <t>DocFast</t>
        </is>
      </c>
      <c r="E253" s="38" t="inlineStr">
        <is>
          <t>Data Center Fees</t>
        </is>
      </c>
      <c r="F253" s="38" t="inlineStr">
        <is>
          <t>Cloudflare Inc.</t>
        </is>
      </c>
      <c r="G253" s="39" t="n">
        <v>3117.66</v>
      </c>
    </row>
    <row r="254">
      <c r="A254" s="36" t="inlineStr">
        <is>
          <t>7044d24f-1660-418d-b20a-887c3132d6c1</t>
        </is>
      </c>
      <c r="B254" s="41" t="n">
        <v>45761</v>
      </c>
      <c r="C254" s="36" t="inlineStr">
        <is>
          <t>Partners</t>
        </is>
      </c>
      <c r="D254" s="36" t="inlineStr">
        <is>
          <t>iGO</t>
        </is>
      </c>
      <c r="E254" s="36" t="inlineStr">
        <is>
          <t>Advertising and Promotion Expense</t>
        </is>
      </c>
      <c r="F254" s="36" t="inlineStr">
        <is>
          <t>Iron Mountain</t>
        </is>
      </c>
      <c r="G254" s="37" t="n">
        <v>4233.39</v>
      </c>
    </row>
    <row r="255">
      <c r="A255" s="38" t="inlineStr">
        <is>
          <t>76579607-ddd3-4cbf-a41e-2babf00b6818</t>
        </is>
      </c>
      <c r="B255" s="40" t="n">
        <v>45665</v>
      </c>
      <c r="C255" s="38" t="inlineStr">
        <is>
          <t>Product Management</t>
        </is>
      </c>
      <c r="D255" s="38" t="inlineStr">
        <is>
          <t>DocFast</t>
        </is>
      </c>
      <c r="E255" s="38" t="inlineStr">
        <is>
          <t>AWS</t>
        </is>
      </c>
      <c r="F255" s="38" t="inlineStr">
        <is>
          <t>Accenture LLP</t>
        </is>
      </c>
      <c r="G255" s="39" t="n">
        <v>14619.59</v>
      </c>
    </row>
    <row r="256">
      <c r="A256" s="36" t="inlineStr">
        <is>
          <t>c4ac5f68-c393-49ca-9982-ae6ae9ace23f</t>
        </is>
      </c>
      <c r="B256" s="41" t="n">
        <v>45707</v>
      </c>
      <c r="C256" s="36" t="inlineStr">
        <is>
          <t>NetOps</t>
        </is>
      </c>
      <c r="D256" s="36" t="inlineStr">
        <is>
          <t>Affirm</t>
        </is>
      </c>
      <c r="E256" s="36" t="inlineStr">
        <is>
          <t>Reselling Expenses</t>
        </is>
      </c>
      <c r="F256" s="36" t="inlineStr">
        <is>
          <t>Microsoft Corp.</t>
        </is>
      </c>
      <c r="G256" s="37" t="n">
        <v>5945.55</v>
      </c>
    </row>
    <row r="257">
      <c r="A257" s="38" t="inlineStr">
        <is>
          <t>baa9a94b-8f0e-43c2-99b7-f909b65b5ed3</t>
        </is>
      </c>
      <c r="B257" s="40" t="n">
        <v>45949</v>
      </c>
      <c r="C257" s="38" t="inlineStr">
        <is>
          <t>NetOps</t>
        </is>
      </c>
      <c r="D257" s="38" t="inlineStr">
        <is>
          <t>DocFast</t>
        </is>
      </c>
      <c r="E257" s="38" t="inlineStr">
        <is>
          <t>Reselling Expenses</t>
        </is>
      </c>
      <c r="F257" s="38" t="inlineStr">
        <is>
          <t>Datadog Inc.</t>
        </is>
      </c>
      <c r="G257" s="39" t="n">
        <v>3589.74</v>
      </c>
    </row>
    <row r="258">
      <c r="A258" s="36" t="inlineStr">
        <is>
          <t>8a07bf81-979e-4266-acfc-59f9818b6f12</t>
        </is>
      </c>
      <c r="B258" s="41" t="n">
        <v>45805</v>
      </c>
      <c r="C258" s="36" t="inlineStr">
        <is>
          <t>Support</t>
        </is>
      </c>
      <c r="D258" s="36" t="inlineStr">
        <is>
          <t>DocFast</t>
        </is>
      </c>
      <c r="E258" s="36" t="inlineStr">
        <is>
          <t>AWS</t>
        </is>
      </c>
      <c r="F258" s="36" t="inlineStr">
        <is>
          <t>Salesforce Inc.</t>
        </is>
      </c>
      <c r="G258" s="37" t="n">
        <v>6818.73</v>
      </c>
    </row>
    <row r="259">
      <c r="A259" s="38" t="inlineStr">
        <is>
          <t>16b169e6-15a1-4e65-9178-2357fe4e022f</t>
        </is>
      </c>
      <c r="B259" s="40" t="n">
        <v>45750</v>
      </c>
      <c r="C259" s="38" t="inlineStr">
        <is>
          <t>Security</t>
        </is>
      </c>
      <c r="D259" s="38" t="inlineStr">
        <is>
          <t>Affirm</t>
        </is>
      </c>
      <c r="E259" s="38" t="inlineStr">
        <is>
          <t>Other</t>
        </is>
      </c>
      <c r="F259" s="38" t="inlineStr">
        <is>
          <t>Cloudflare Inc.</t>
        </is>
      </c>
      <c r="G259" s="39" t="n">
        <v>2373.39</v>
      </c>
    </row>
    <row r="260">
      <c r="A260" s="36" t="inlineStr">
        <is>
          <t>0b97e22e-72ea-4ad6-a8ca-b5759f876634</t>
        </is>
      </c>
      <c r="B260" s="41" t="n">
        <v>45731</v>
      </c>
      <c r="C260" s="36" t="inlineStr">
        <is>
          <t>Partners</t>
        </is>
      </c>
      <c r="D260" s="36" t="inlineStr">
        <is>
          <t>InsureSight</t>
        </is>
      </c>
      <c r="E260" s="36" t="inlineStr">
        <is>
          <t>Connectivity Charges</t>
        </is>
      </c>
      <c r="F260" s="36" t="inlineStr">
        <is>
          <t>Cloudflare Inc.</t>
        </is>
      </c>
      <c r="G260" s="37" t="n">
        <v>8062.07</v>
      </c>
    </row>
    <row r="261">
      <c r="A261" s="38" t="inlineStr">
        <is>
          <t>0623dd11-fc5b-4aca-b091-b72a1b097249</t>
        </is>
      </c>
      <c r="B261" s="40" t="n">
        <v>45762</v>
      </c>
      <c r="C261" s="38" t="inlineStr">
        <is>
          <t>Support</t>
        </is>
      </c>
      <c r="D261" s="38" t="inlineStr">
        <is>
          <t>DocFast</t>
        </is>
      </c>
      <c r="E261" s="38" t="inlineStr">
        <is>
          <t>Data Center Fees</t>
        </is>
      </c>
      <c r="F261" s="38" t="inlineStr">
        <is>
          <t>Microsoft Corp.</t>
        </is>
      </c>
      <c r="G261" s="39" t="n">
        <v>1842.71</v>
      </c>
    </row>
    <row r="262">
      <c r="A262" s="36" t="inlineStr">
        <is>
          <t>d5be9407-403f-4e43-b37e-58348253c51c</t>
        </is>
      </c>
      <c r="B262" s="41" t="n">
        <v>45742</v>
      </c>
      <c r="C262" s="36" t="inlineStr">
        <is>
          <t>R&amp;D</t>
        </is>
      </c>
      <c r="D262" s="36" t="inlineStr">
        <is>
          <t>InsureSight</t>
        </is>
      </c>
      <c r="E262" s="36" t="inlineStr">
        <is>
          <t>Other</t>
        </is>
      </c>
      <c r="F262" s="36" t="inlineStr">
        <is>
          <t>Amazon Web Services</t>
        </is>
      </c>
      <c r="G262" s="37" t="n">
        <v>3264.56</v>
      </c>
    </row>
    <row r="263">
      <c r="A263" s="38" t="inlineStr">
        <is>
          <t>0a7a23c1-ccae-49b9-97fb-4c5b53ae4496</t>
        </is>
      </c>
      <c r="B263" s="40" t="n">
        <v>45813</v>
      </c>
      <c r="C263" s="38" t="inlineStr">
        <is>
          <t>NetOps</t>
        </is>
      </c>
      <c r="D263" s="38" t="inlineStr">
        <is>
          <t>Affirm</t>
        </is>
      </c>
      <c r="E263" s="38" t="inlineStr">
        <is>
          <t>AWS</t>
        </is>
      </c>
      <c r="F263" s="38" t="inlineStr">
        <is>
          <t>Zendesk Inc.</t>
        </is>
      </c>
      <c r="G263" s="39" t="n">
        <v>7726.22</v>
      </c>
    </row>
    <row r="264">
      <c r="A264" s="36" t="inlineStr">
        <is>
          <t>029b0a57-e206-4b86-af34-45d1fc4061ff</t>
        </is>
      </c>
      <c r="B264" s="41" t="n">
        <v>45971</v>
      </c>
      <c r="C264" s="36" t="inlineStr">
        <is>
          <t>Support</t>
        </is>
      </c>
      <c r="D264" s="36" t="inlineStr">
        <is>
          <t>Affirm</t>
        </is>
      </c>
      <c r="E264" s="36" t="inlineStr">
        <is>
          <t>Employee Expenses</t>
        </is>
      </c>
      <c r="F264" s="36" t="inlineStr">
        <is>
          <t>Zendesk Inc.</t>
        </is>
      </c>
      <c r="G264" s="37" t="n">
        <v>12826.29</v>
      </c>
    </row>
    <row r="265">
      <c r="A265" s="38" t="inlineStr">
        <is>
          <t>6ee082f2-7eb7-49df-b238-0f7a7976306f</t>
        </is>
      </c>
      <c r="B265" s="40" t="n">
        <v>45924</v>
      </c>
      <c r="C265" s="38" t="inlineStr">
        <is>
          <t>Content</t>
        </is>
      </c>
      <c r="D265" s="38" t="inlineStr">
        <is>
          <t>Affirm</t>
        </is>
      </c>
      <c r="E265" s="38" t="inlineStr">
        <is>
          <t>Professional Fees and Outsourcing Expenses</t>
        </is>
      </c>
      <c r="F265" s="38" t="inlineStr">
        <is>
          <t>Accenture LLP</t>
        </is>
      </c>
      <c r="G265" s="39" t="n">
        <v>1573.51</v>
      </c>
    </row>
    <row r="266">
      <c r="A266" s="36" t="inlineStr">
        <is>
          <t>5c9a3da1-7416-4917-af1c-d68ce36db710</t>
        </is>
      </c>
      <c r="B266" s="41" t="n">
        <v>45720</v>
      </c>
      <c r="C266" s="36" t="inlineStr">
        <is>
          <t>NetOps</t>
        </is>
      </c>
      <c r="D266" s="36" t="inlineStr">
        <is>
          <t>iGO</t>
        </is>
      </c>
      <c r="E266" s="36" t="inlineStr">
        <is>
          <t>Software and Maintenance Expense</t>
        </is>
      </c>
      <c r="F266" s="36" t="inlineStr">
        <is>
          <t>Datadog Inc.</t>
        </is>
      </c>
      <c r="G266" s="37" t="n">
        <v>3012.09</v>
      </c>
    </row>
    <row r="267">
      <c r="A267" s="38" t="inlineStr">
        <is>
          <t>5baa638d-0e14-4eb5-9d1c-8209418c4ffc</t>
        </is>
      </c>
      <c r="B267" s="40" t="n">
        <v>45850</v>
      </c>
      <c r="C267" s="38" t="inlineStr">
        <is>
          <t>R&amp;D</t>
        </is>
      </c>
      <c r="D267" s="38" t="inlineStr">
        <is>
          <t>iGO</t>
        </is>
      </c>
      <c r="E267" s="38" t="inlineStr">
        <is>
          <t>Other</t>
        </is>
      </c>
      <c r="F267" s="38" t="inlineStr">
        <is>
          <t>WillisTowersWatson</t>
        </is>
      </c>
      <c r="G267" s="39" t="n">
        <v>3919.37</v>
      </c>
    </row>
    <row r="268">
      <c r="A268" s="36" t="inlineStr">
        <is>
          <t>59abe991-7c82-4a91-a2ed-639c1c1c32b8</t>
        </is>
      </c>
      <c r="B268" s="41" t="n">
        <v>45689</v>
      </c>
      <c r="C268" s="36" t="inlineStr">
        <is>
          <t>NetOps</t>
        </is>
      </c>
      <c r="D268" s="36" t="inlineStr">
        <is>
          <t>Affirm</t>
        </is>
      </c>
      <c r="E268" s="36" t="inlineStr">
        <is>
          <t>Reselling Expenses</t>
        </is>
      </c>
      <c r="F268" s="36" t="inlineStr">
        <is>
          <t>Accenture LLP</t>
        </is>
      </c>
      <c r="G268" s="37" t="n">
        <v>12149.02</v>
      </c>
    </row>
    <row r="269">
      <c r="A269" s="38" t="inlineStr">
        <is>
          <t>a687dad0-e874-4f99-aad3-20e3b4099c76</t>
        </is>
      </c>
      <c r="B269" s="40" t="n">
        <v>45716</v>
      </c>
      <c r="C269" s="38" t="inlineStr">
        <is>
          <t>Product Management</t>
        </is>
      </c>
      <c r="D269" s="38" t="inlineStr">
        <is>
          <t>InsureSight</t>
        </is>
      </c>
      <c r="E269" s="38" t="inlineStr">
        <is>
          <t>Professional Fees and Outsourcing Expenses</t>
        </is>
      </c>
      <c r="F269" s="38" t="inlineStr">
        <is>
          <t>Amazon Web Services</t>
        </is>
      </c>
      <c r="G269" s="39" t="n">
        <v>14137.1</v>
      </c>
    </row>
    <row r="270">
      <c r="A270" s="36" t="inlineStr">
        <is>
          <t>74d515b8-9aaf-4287-a54b-89627df09410</t>
        </is>
      </c>
      <c r="B270" s="41" t="n">
        <v>45663</v>
      </c>
      <c r="C270" s="36" t="inlineStr">
        <is>
          <t>Content</t>
        </is>
      </c>
      <c r="D270" s="36" t="inlineStr">
        <is>
          <t>DocFast</t>
        </is>
      </c>
      <c r="E270" s="36" t="inlineStr">
        <is>
          <t>Connectivity Charges</t>
        </is>
      </c>
      <c r="F270" s="36" t="inlineStr">
        <is>
          <t>Accenture LLP</t>
        </is>
      </c>
      <c r="G270" s="37" t="n">
        <v>490.76</v>
      </c>
    </row>
    <row r="271">
      <c r="A271" s="38" t="inlineStr">
        <is>
          <t>536fa55d-1201-47a2-9c0c-114b4158c47c</t>
        </is>
      </c>
      <c r="B271" s="40" t="n">
        <v>45975</v>
      </c>
      <c r="C271" s="38" t="inlineStr">
        <is>
          <t>Security</t>
        </is>
      </c>
      <c r="D271" s="38" t="inlineStr">
        <is>
          <t>InsureSight</t>
        </is>
      </c>
      <c r="E271" s="38" t="inlineStr">
        <is>
          <t>Software and Maintenance Expense</t>
        </is>
      </c>
      <c r="F271" s="38" t="inlineStr">
        <is>
          <t>Atlassian Inc.</t>
        </is>
      </c>
      <c r="G271" s="39" t="n">
        <v>2847.91</v>
      </c>
    </row>
    <row r="272">
      <c r="A272" s="36" t="inlineStr">
        <is>
          <t>e17cddef-fea1-4572-bdd1-07cf2695b113</t>
        </is>
      </c>
      <c r="B272" s="41" t="n">
        <v>45792</v>
      </c>
      <c r="C272" s="36" t="inlineStr">
        <is>
          <t>Security</t>
        </is>
      </c>
      <c r="D272" s="36" t="inlineStr">
        <is>
          <t>iGO</t>
        </is>
      </c>
      <c r="E272" s="36" t="inlineStr">
        <is>
          <t>Other</t>
        </is>
      </c>
      <c r="F272" s="36" t="inlineStr">
        <is>
          <t>WillisTowersWatson</t>
        </is>
      </c>
      <c r="G272" s="37" t="n">
        <v>9273.809999999999</v>
      </c>
    </row>
    <row r="273">
      <c r="A273" s="38" t="inlineStr">
        <is>
          <t>f0421e0c-120d-4fe8-ac4c-b5b7214ebef1</t>
        </is>
      </c>
      <c r="B273" s="40" t="n">
        <v>45971</v>
      </c>
      <c r="C273" s="38" t="inlineStr">
        <is>
          <t>Partners</t>
        </is>
      </c>
      <c r="D273" s="38" t="inlineStr">
        <is>
          <t>DocFast</t>
        </is>
      </c>
      <c r="E273" s="38" t="inlineStr">
        <is>
          <t>Overhead Allocation &amp; Chargebacks</t>
        </is>
      </c>
      <c r="F273" s="38" t="inlineStr">
        <is>
          <t>Accenture LLP</t>
        </is>
      </c>
      <c r="G273" s="39" t="n">
        <v>961.64</v>
      </c>
    </row>
    <row r="274">
      <c r="A274" s="36" t="inlineStr">
        <is>
          <t>f2b4e3a9-2316-4728-a0e7-4f57d4dd9984</t>
        </is>
      </c>
      <c r="B274" s="41" t="n">
        <v>45790</v>
      </c>
      <c r="C274" s="36" t="inlineStr">
        <is>
          <t>Security</t>
        </is>
      </c>
      <c r="D274" s="36" t="inlineStr">
        <is>
          <t>DocFast</t>
        </is>
      </c>
      <c r="E274" s="36" t="inlineStr">
        <is>
          <t>Software and Maintenance Expense</t>
        </is>
      </c>
      <c r="F274" s="36" t="inlineStr">
        <is>
          <t>Deloitte Consulting</t>
        </is>
      </c>
      <c r="G274" s="37" t="n">
        <v>13275.56</v>
      </c>
    </row>
    <row r="275">
      <c r="A275" s="38" t="inlineStr">
        <is>
          <t>7e6fe3c7-bd3a-40cb-b6b8-bff63b757eea</t>
        </is>
      </c>
      <c r="B275" s="40" t="n">
        <v>45908</v>
      </c>
      <c r="C275" s="38" t="inlineStr">
        <is>
          <t>R&amp;D</t>
        </is>
      </c>
      <c r="D275" s="38" t="inlineStr">
        <is>
          <t>iGO</t>
        </is>
      </c>
      <c r="E275" s="38" t="inlineStr">
        <is>
          <t>Connectivity Charges</t>
        </is>
      </c>
      <c r="F275" s="38" t="inlineStr">
        <is>
          <t>Adobe Systems</t>
        </is>
      </c>
      <c r="G275" s="39" t="n">
        <v>10714.89</v>
      </c>
    </row>
    <row r="276">
      <c r="A276" s="36" t="inlineStr">
        <is>
          <t>da3ce41d-8c1e-47f7-b550-56dc6cd606ed</t>
        </is>
      </c>
      <c r="B276" s="41" t="n">
        <v>45887</v>
      </c>
      <c r="C276" s="36" t="inlineStr">
        <is>
          <t>Product Management</t>
        </is>
      </c>
      <c r="D276" s="36" t="inlineStr">
        <is>
          <t>DocFast</t>
        </is>
      </c>
      <c r="E276" s="36" t="inlineStr">
        <is>
          <t>AWS</t>
        </is>
      </c>
      <c r="F276" s="36" t="inlineStr">
        <is>
          <t>Atlassian Inc.</t>
        </is>
      </c>
      <c r="G276" s="37" t="n">
        <v>8506.48</v>
      </c>
    </row>
    <row r="277">
      <c r="A277" s="38" t="inlineStr">
        <is>
          <t>2989298c-deaa-411b-af0b-d3717cb6c682</t>
        </is>
      </c>
      <c r="B277" s="40" t="n">
        <v>45821</v>
      </c>
      <c r="C277" s="38" t="inlineStr">
        <is>
          <t>Support</t>
        </is>
      </c>
      <c r="D277" s="38" t="inlineStr">
        <is>
          <t>Affirm</t>
        </is>
      </c>
      <c r="E277" s="38" t="inlineStr">
        <is>
          <t>Employee Expenses</t>
        </is>
      </c>
      <c r="F277" s="38" t="inlineStr">
        <is>
          <t>Salesforce Inc.</t>
        </is>
      </c>
      <c r="G277" s="39" t="n">
        <v>8976.889999999999</v>
      </c>
    </row>
    <row r="278">
      <c r="A278" s="36" t="inlineStr">
        <is>
          <t>04ddf591-f787-4f3f-b607-573023a77448</t>
        </is>
      </c>
      <c r="B278" s="41" t="n">
        <v>45683</v>
      </c>
      <c r="C278" s="36" t="inlineStr">
        <is>
          <t>Product Management</t>
        </is>
      </c>
      <c r="D278" s="36" t="inlineStr">
        <is>
          <t>InsureSight</t>
        </is>
      </c>
      <c r="E278" s="36" t="inlineStr">
        <is>
          <t>Employee Expenses</t>
        </is>
      </c>
      <c r="F278" s="36" t="inlineStr">
        <is>
          <t>Adobe Systems</t>
        </is>
      </c>
      <c r="G278" s="37" t="n">
        <v>14873.39</v>
      </c>
    </row>
    <row r="279">
      <c r="A279" s="38" t="inlineStr">
        <is>
          <t>ecb829fb-91cc-4d8b-ac6f-85c419ab5ee1</t>
        </is>
      </c>
      <c r="B279" s="40" t="n">
        <v>45912</v>
      </c>
      <c r="C279" s="38" t="inlineStr">
        <is>
          <t>Product Management</t>
        </is>
      </c>
      <c r="D279" s="38" t="inlineStr">
        <is>
          <t>Affirm</t>
        </is>
      </c>
      <c r="E279" s="38" t="inlineStr">
        <is>
          <t>Advertising and Promotion Expense</t>
        </is>
      </c>
      <c r="F279" s="38" t="inlineStr">
        <is>
          <t>Cloudflare Inc.</t>
        </is>
      </c>
      <c r="G279" s="39" t="n">
        <v>3755.46</v>
      </c>
    </row>
    <row r="280">
      <c r="A280" s="36" t="inlineStr">
        <is>
          <t>43ed4907-a8c6-4051-9495-1be24630ca19</t>
        </is>
      </c>
      <c r="B280" s="41" t="n">
        <v>45756</v>
      </c>
      <c r="C280" s="36" t="inlineStr">
        <is>
          <t>Content</t>
        </is>
      </c>
      <c r="D280" s="36" t="inlineStr">
        <is>
          <t>iGO</t>
        </is>
      </c>
      <c r="E280" s="36" t="inlineStr">
        <is>
          <t>Software and Maintenance Expense</t>
        </is>
      </c>
      <c r="F280" s="36" t="inlineStr">
        <is>
          <t>WillisTowersWatson</t>
        </is>
      </c>
      <c r="G280" s="37" t="n">
        <v>12705.25</v>
      </c>
    </row>
    <row r="281">
      <c r="A281" s="38" t="inlineStr">
        <is>
          <t>0ac9ed0a-ac06-4115-8c87-55e92e1adb2e</t>
        </is>
      </c>
      <c r="B281" s="40" t="n">
        <v>45850</v>
      </c>
      <c r="C281" s="38" t="inlineStr">
        <is>
          <t>Product Management</t>
        </is>
      </c>
      <c r="D281" s="38" t="inlineStr">
        <is>
          <t>Affirm</t>
        </is>
      </c>
      <c r="E281" s="38" t="inlineStr">
        <is>
          <t>Advertising and Promotion Expense</t>
        </is>
      </c>
      <c r="F281" s="38" t="inlineStr">
        <is>
          <t>CrowdStrike Holdings</t>
        </is>
      </c>
      <c r="G281" s="39" t="n">
        <v>8908.17</v>
      </c>
    </row>
    <row r="282">
      <c r="A282" s="36" t="inlineStr">
        <is>
          <t>9ba6b783-3d3d-48f6-93a3-17f6e6aee712</t>
        </is>
      </c>
      <c r="B282" s="41" t="n">
        <v>46014</v>
      </c>
      <c r="C282" s="36" t="inlineStr">
        <is>
          <t>Support</t>
        </is>
      </c>
      <c r="D282" s="36" t="inlineStr">
        <is>
          <t>iGO</t>
        </is>
      </c>
      <c r="E282" s="36" t="inlineStr">
        <is>
          <t>AWS</t>
        </is>
      </c>
      <c r="F282" s="36" t="inlineStr">
        <is>
          <t>WillisTowersWatson</t>
        </is>
      </c>
      <c r="G282" s="37" t="n">
        <v>8475.92</v>
      </c>
    </row>
    <row r="283">
      <c r="A283" s="38" t="inlineStr">
        <is>
          <t>ff943ed8-72af-4a17-b965-5292c1c00e98</t>
        </is>
      </c>
      <c r="B283" s="40" t="n">
        <v>45937</v>
      </c>
      <c r="C283" s="38" t="inlineStr">
        <is>
          <t>Product Management</t>
        </is>
      </c>
      <c r="D283" s="38" t="inlineStr">
        <is>
          <t>DocFast</t>
        </is>
      </c>
      <c r="E283" s="38" t="inlineStr">
        <is>
          <t>Overhead Allocation &amp; Chargebacks</t>
        </is>
      </c>
      <c r="F283" s="38" t="inlineStr">
        <is>
          <t>Palo Alto Networks</t>
        </is>
      </c>
      <c r="G283" s="39" t="n">
        <v>2674.57</v>
      </c>
    </row>
    <row r="284">
      <c r="A284" s="36" t="inlineStr">
        <is>
          <t>eeafb1b9-4fdb-4f47-a7a5-9b990fed7a7c</t>
        </is>
      </c>
      <c r="B284" s="41" t="n">
        <v>45660</v>
      </c>
      <c r="C284" s="36" t="inlineStr">
        <is>
          <t>NetOps</t>
        </is>
      </c>
      <c r="D284" s="36" t="inlineStr">
        <is>
          <t>Affirm</t>
        </is>
      </c>
      <c r="E284" s="36" t="inlineStr">
        <is>
          <t>Other</t>
        </is>
      </c>
      <c r="F284" s="36" t="inlineStr">
        <is>
          <t>CrowdStrike Holdings</t>
        </is>
      </c>
      <c r="G284" s="37" t="n">
        <v>347.92</v>
      </c>
    </row>
    <row r="285">
      <c r="A285" s="38" t="inlineStr">
        <is>
          <t>a53bcd52-63db-4d8a-ba1e-533c54dcac35</t>
        </is>
      </c>
      <c r="B285" s="40" t="n">
        <v>45870</v>
      </c>
      <c r="C285" s="38" t="inlineStr">
        <is>
          <t>Support</t>
        </is>
      </c>
      <c r="D285" s="38" t="inlineStr">
        <is>
          <t>Affirm</t>
        </is>
      </c>
      <c r="E285" s="38" t="inlineStr">
        <is>
          <t>Advertising and Promotion Expense</t>
        </is>
      </c>
      <c r="F285" s="38" t="inlineStr">
        <is>
          <t>Salesforce Inc.</t>
        </is>
      </c>
      <c r="G285" s="39" t="n">
        <v>10768.22</v>
      </c>
    </row>
    <row r="286">
      <c r="A286" s="36" t="inlineStr">
        <is>
          <t>5ab9a094-2474-47ef-965f-c5e528d43172</t>
        </is>
      </c>
      <c r="B286" s="41" t="n">
        <v>45810</v>
      </c>
      <c r="C286" s="36" t="inlineStr">
        <is>
          <t>NetOps</t>
        </is>
      </c>
      <c r="D286" s="36" t="inlineStr">
        <is>
          <t>Affirm</t>
        </is>
      </c>
      <c r="E286" s="36" t="inlineStr">
        <is>
          <t>Other</t>
        </is>
      </c>
      <c r="F286" s="36" t="inlineStr">
        <is>
          <t>Iron Mountain</t>
        </is>
      </c>
      <c r="G286" s="37" t="n">
        <v>13762.5</v>
      </c>
    </row>
    <row r="287">
      <c r="A287" s="38" t="inlineStr">
        <is>
          <t>b612b75c-0d41-4e11-93b1-c882689204e1</t>
        </is>
      </c>
      <c r="B287" s="40" t="n">
        <v>45716</v>
      </c>
      <c r="C287" s="38" t="inlineStr">
        <is>
          <t>Content</t>
        </is>
      </c>
      <c r="D287" s="38" t="inlineStr">
        <is>
          <t>InsureSight</t>
        </is>
      </c>
      <c r="E287" s="38" t="inlineStr">
        <is>
          <t>Professional Fees and Outsourcing Expenses</t>
        </is>
      </c>
      <c r="F287" s="38" t="inlineStr">
        <is>
          <t>Salesforce Inc.</t>
        </is>
      </c>
      <c r="G287" s="39" t="n">
        <v>10582.84</v>
      </c>
    </row>
    <row r="288">
      <c r="A288" s="36" t="inlineStr">
        <is>
          <t>6663b7f0-17cd-40b6-9c91-af8a6389c90e</t>
        </is>
      </c>
      <c r="B288" s="41" t="n">
        <v>45974</v>
      </c>
      <c r="C288" s="36" t="inlineStr">
        <is>
          <t>Content</t>
        </is>
      </c>
      <c r="D288" s="36" t="inlineStr">
        <is>
          <t>iGO</t>
        </is>
      </c>
      <c r="E288" s="36" t="inlineStr">
        <is>
          <t>AWS</t>
        </is>
      </c>
      <c r="F288" s="36" t="inlineStr">
        <is>
          <t>Palo Alto Networks</t>
        </is>
      </c>
      <c r="G288" s="37" t="n">
        <v>4872.92</v>
      </c>
    </row>
    <row r="289">
      <c r="A289" s="38" t="inlineStr">
        <is>
          <t>d6ab6277-29a6-4d51-8522-e8770e158a41</t>
        </is>
      </c>
      <c r="B289" s="40" t="n">
        <v>45740</v>
      </c>
      <c r="C289" s="38" t="inlineStr">
        <is>
          <t>Partners</t>
        </is>
      </c>
      <c r="D289" s="38" t="inlineStr">
        <is>
          <t>DocFast</t>
        </is>
      </c>
      <c r="E289" s="38" t="inlineStr">
        <is>
          <t>Reselling Expenses</t>
        </is>
      </c>
      <c r="F289" s="38" t="inlineStr">
        <is>
          <t>Salesforce Inc.</t>
        </is>
      </c>
      <c r="G289" s="39" t="n">
        <v>2654.33</v>
      </c>
    </row>
    <row r="290">
      <c r="A290" s="36" t="inlineStr">
        <is>
          <t>469cd62b-c853-4e2b-a1a6-a36a56f7517a</t>
        </is>
      </c>
      <c r="B290" s="41" t="n">
        <v>45923</v>
      </c>
      <c r="C290" s="36" t="inlineStr">
        <is>
          <t>Content</t>
        </is>
      </c>
      <c r="D290" s="36" t="inlineStr">
        <is>
          <t>InsureSight</t>
        </is>
      </c>
      <c r="E290" s="36" t="inlineStr">
        <is>
          <t>Software and Maintenance Expense</t>
        </is>
      </c>
      <c r="F290" s="36" t="inlineStr">
        <is>
          <t>Deloitte Consulting</t>
        </is>
      </c>
      <c r="G290" s="37" t="n">
        <v>8854.799999999999</v>
      </c>
    </row>
    <row r="291">
      <c r="A291" s="38" t="inlineStr">
        <is>
          <t>f2af505f-d405-4549-9e3d-15c007adc640</t>
        </is>
      </c>
      <c r="B291" s="40" t="n">
        <v>45729</v>
      </c>
      <c r="C291" s="38" t="inlineStr">
        <is>
          <t>Support</t>
        </is>
      </c>
      <c r="D291" s="38" t="inlineStr">
        <is>
          <t>InsureSight</t>
        </is>
      </c>
      <c r="E291" s="38" t="inlineStr">
        <is>
          <t>Advertising and Promotion Expense</t>
        </is>
      </c>
      <c r="F291" s="38" t="inlineStr">
        <is>
          <t>Datadog Inc.</t>
        </is>
      </c>
      <c r="G291" s="39" t="n">
        <v>10946.02</v>
      </c>
    </row>
    <row r="292">
      <c r="A292" s="36" t="inlineStr">
        <is>
          <t>c5a41adb-d889-41a5-9598-c3933f60bb59</t>
        </is>
      </c>
      <c r="B292" s="41" t="n">
        <v>46010</v>
      </c>
      <c r="C292" s="36" t="inlineStr">
        <is>
          <t>Partners</t>
        </is>
      </c>
      <c r="D292" s="36" t="inlineStr">
        <is>
          <t>iGO</t>
        </is>
      </c>
      <c r="E292" s="36" t="inlineStr">
        <is>
          <t>Advertising and Promotion Expense</t>
        </is>
      </c>
      <c r="F292" s="36" t="inlineStr">
        <is>
          <t>WillisTowersWatson</t>
        </is>
      </c>
      <c r="G292" s="37" t="n">
        <v>4807.34</v>
      </c>
    </row>
    <row r="293">
      <c r="A293" s="38" t="inlineStr">
        <is>
          <t>300251d5-d686-4ee8-b2da-d56b3ee4be05</t>
        </is>
      </c>
      <c r="B293" s="40" t="n">
        <v>45938</v>
      </c>
      <c r="C293" s="38" t="inlineStr">
        <is>
          <t>R&amp;D</t>
        </is>
      </c>
      <c r="D293" s="38" t="inlineStr">
        <is>
          <t>iGO</t>
        </is>
      </c>
      <c r="E293" s="38" t="inlineStr">
        <is>
          <t>Office Expenses &amp; Rent Allocation</t>
        </is>
      </c>
      <c r="F293" s="38" t="inlineStr">
        <is>
          <t>Datadog Inc.</t>
        </is>
      </c>
      <c r="G293" s="39" t="n">
        <v>5000.97</v>
      </c>
    </row>
    <row r="294">
      <c r="A294" s="36" t="inlineStr">
        <is>
          <t>e42edfea-bc78-4871-844e-1fb1f8e333c8</t>
        </is>
      </c>
      <c r="B294" s="41" t="n">
        <v>45696</v>
      </c>
      <c r="C294" s="36" t="inlineStr">
        <is>
          <t>Support</t>
        </is>
      </c>
      <c r="D294" s="36" t="inlineStr">
        <is>
          <t>InsureSight</t>
        </is>
      </c>
      <c r="E294" s="36" t="inlineStr">
        <is>
          <t>Advertising and Promotion Expense</t>
        </is>
      </c>
      <c r="F294" s="36" t="inlineStr">
        <is>
          <t>Deloitte Consulting</t>
        </is>
      </c>
      <c r="G294" s="37" t="n">
        <v>13285.54</v>
      </c>
    </row>
    <row r="295">
      <c r="A295" s="38" t="inlineStr">
        <is>
          <t>1c6b143d-9e3b-4b27-ad04-30acf4ef829f</t>
        </is>
      </c>
      <c r="B295" s="40" t="n">
        <v>45715</v>
      </c>
      <c r="C295" s="38" t="inlineStr">
        <is>
          <t>R&amp;D</t>
        </is>
      </c>
      <c r="D295" s="38" t="inlineStr">
        <is>
          <t>InsureSight</t>
        </is>
      </c>
      <c r="E295" s="38" t="inlineStr">
        <is>
          <t>Office Expenses &amp; Rent Allocation</t>
        </is>
      </c>
      <c r="F295" s="38" t="inlineStr">
        <is>
          <t>Amazon Web Services</t>
        </is>
      </c>
      <c r="G295" s="39" t="n">
        <v>4014.93</v>
      </c>
    </row>
    <row r="296">
      <c r="A296" s="36" t="inlineStr">
        <is>
          <t>1e493338-3d87-4ba8-9740-9d5cedcd799e</t>
        </is>
      </c>
      <c r="B296" s="41" t="n">
        <v>45770</v>
      </c>
      <c r="C296" s="36" t="inlineStr">
        <is>
          <t>NetOps</t>
        </is>
      </c>
      <c r="D296" s="36" t="inlineStr">
        <is>
          <t>InsureSight</t>
        </is>
      </c>
      <c r="E296" s="36" t="inlineStr">
        <is>
          <t>Data Center Fees</t>
        </is>
      </c>
      <c r="F296" s="36" t="inlineStr">
        <is>
          <t>Adobe Systems</t>
        </is>
      </c>
      <c r="G296" s="37" t="n">
        <v>1665.12</v>
      </c>
    </row>
    <row r="297">
      <c r="A297" s="38" t="inlineStr">
        <is>
          <t>67134dca-3c56-4b59-bda2-7a36a3116d60</t>
        </is>
      </c>
      <c r="B297" s="40" t="n">
        <v>45659</v>
      </c>
      <c r="C297" s="38" t="inlineStr">
        <is>
          <t>Partners</t>
        </is>
      </c>
      <c r="D297" s="38" t="inlineStr">
        <is>
          <t>DocFast</t>
        </is>
      </c>
      <c r="E297" s="38" t="inlineStr">
        <is>
          <t>Connectivity Charges</t>
        </is>
      </c>
      <c r="F297" s="38" t="inlineStr">
        <is>
          <t>Datadog Inc.</t>
        </is>
      </c>
      <c r="G297" s="39" t="n">
        <v>13274.05</v>
      </c>
    </row>
    <row r="298">
      <c r="A298" s="36" t="inlineStr">
        <is>
          <t>19261e1c-4587-4628-bb2b-8e93957ab573</t>
        </is>
      </c>
      <c r="B298" s="41" t="n">
        <v>45882</v>
      </c>
      <c r="C298" s="36" t="inlineStr">
        <is>
          <t>Support</t>
        </is>
      </c>
      <c r="D298" s="36" t="inlineStr">
        <is>
          <t>DocFast</t>
        </is>
      </c>
      <c r="E298" s="36" t="inlineStr">
        <is>
          <t>Professional Fees and Outsourcing Expenses</t>
        </is>
      </c>
      <c r="F298" s="36" t="inlineStr">
        <is>
          <t>Microsoft Corp.</t>
        </is>
      </c>
      <c r="G298" s="37" t="n">
        <v>7218.36</v>
      </c>
    </row>
    <row r="299">
      <c r="A299" s="38" t="inlineStr">
        <is>
          <t>6566e215-22e3-4cd7-900f-59f12c6e63cb</t>
        </is>
      </c>
      <c r="B299" s="40" t="n">
        <v>45951</v>
      </c>
      <c r="C299" s="38" t="inlineStr">
        <is>
          <t>Product Management</t>
        </is>
      </c>
      <c r="D299" s="38" t="inlineStr">
        <is>
          <t>Affirm</t>
        </is>
      </c>
      <c r="E299" s="38" t="inlineStr">
        <is>
          <t>Advertising and Promotion Expense</t>
        </is>
      </c>
      <c r="F299" s="38" t="inlineStr">
        <is>
          <t>Accenture LLP</t>
        </is>
      </c>
      <c r="G299" s="39" t="n">
        <v>1151.96</v>
      </c>
    </row>
    <row r="300">
      <c r="A300" s="36" t="inlineStr">
        <is>
          <t>c0e14371-9c13-4f69-8dec-3cc81e37e72e</t>
        </is>
      </c>
      <c r="B300" s="41" t="n">
        <v>45667</v>
      </c>
      <c r="C300" s="36" t="inlineStr">
        <is>
          <t>NetOps</t>
        </is>
      </c>
      <c r="D300" s="36" t="inlineStr">
        <is>
          <t>InsureSight</t>
        </is>
      </c>
      <c r="E300" s="36" t="inlineStr">
        <is>
          <t>Data Center Fees</t>
        </is>
      </c>
      <c r="F300" s="36" t="inlineStr">
        <is>
          <t>Cloudflare Inc.</t>
        </is>
      </c>
      <c r="G300" s="37" t="n">
        <v>1159.3</v>
      </c>
    </row>
    <row r="301">
      <c r="A301" s="38" t="inlineStr">
        <is>
          <t>19ab1346-3495-4d5c-ae33-673b57cefd7f</t>
        </is>
      </c>
      <c r="B301" s="40" t="n">
        <v>45729</v>
      </c>
      <c r="C301" s="38" t="inlineStr">
        <is>
          <t>Security</t>
        </is>
      </c>
      <c r="D301" s="38" t="inlineStr">
        <is>
          <t>iGO</t>
        </is>
      </c>
      <c r="E301" s="38" t="inlineStr">
        <is>
          <t>Overhead Allocation &amp; Chargebacks</t>
        </is>
      </c>
      <c r="F301" s="38" t="inlineStr">
        <is>
          <t>Atlassian Inc.</t>
        </is>
      </c>
      <c r="G301" s="39" t="n">
        <v>14671.72</v>
      </c>
    </row>
    <row r="302">
      <c r="A302" s="36" t="inlineStr">
        <is>
          <t>716ff374-90b7-40d2-9695-eadec2d6f303</t>
        </is>
      </c>
      <c r="B302" s="41" t="n">
        <v>45828</v>
      </c>
      <c r="C302" s="36" t="inlineStr">
        <is>
          <t>Content</t>
        </is>
      </c>
      <c r="D302" s="36" t="inlineStr">
        <is>
          <t>DocFast</t>
        </is>
      </c>
      <c r="E302" s="36" t="inlineStr">
        <is>
          <t>Employee Expenses</t>
        </is>
      </c>
      <c r="F302" s="36" t="inlineStr">
        <is>
          <t>Zendesk Inc.</t>
        </is>
      </c>
      <c r="G302" s="37" t="n">
        <v>14139.51</v>
      </c>
    </row>
    <row r="303">
      <c r="A303" s="38" t="inlineStr">
        <is>
          <t>a48b92c7-85dd-4db3-9ddc-ed5bd082ee31</t>
        </is>
      </c>
      <c r="B303" s="40" t="n">
        <v>45736</v>
      </c>
      <c r="C303" s="38" t="inlineStr">
        <is>
          <t>Partners</t>
        </is>
      </c>
      <c r="D303" s="38" t="inlineStr">
        <is>
          <t>Affirm</t>
        </is>
      </c>
      <c r="E303" s="38" t="inlineStr">
        <is>
          <t>Employee Expenses</t>
        </is>
      </c>
      <c r="F303" s="38" t="inlineStr">
        <is>
          <t>Cloudflare Inc.</t>
        </is>
      </c>
      <c r="G303" s="39" t="n">
        <v>4999.86</v>
      </c>
    </row>
    <row r="304">
      <c r="A304" s="36" t="inlineStr">
        <is>
          <t>ab56a437-90bb-4e43-bde0-616fd8074211</t>
        </is>
      </c>
      <c r="B304" s="41" t="n">
        <v>45761</v>
      </c>
      <c r="C304" s="36" t="inlineStr">
        <is>
          <t>R&amp;D</t>
        </is>
      </c>
      <c r="D304" s="36" t="inlineStr">
        <is>
          <t>InsureSight</t>
        </is>
      </c>
      <c r="E304" s="36" t="inlineStr">
        <is>
          <t>Reselling Expenses</t>
        </is>
      </c>
      <c r="F304" s="36" t="inlineStr">
        <is>
          <t>Palo Alto Networks</t>
        </is>
      </c>
      <c r="G304" s="37" t="n">
        <v>4496.14</v>
      </c>
    </row>
    <row r="305">
      <c r="A305" s="38" t="inlineStr">
        <is>
          <t>3d36f06d-c251-4382-afd0-359ac33e5c18</t>
        </is>
      </c>
      <c r="B305" s="40" t="n">
        <v>45690</v>
      </c>
      <c r="C305" s="38" t="inlineStr">
        <is>
          <t>Partners</t>
        </is>
      </c>
      <c r="D305" s="38" t="inlineStr">
        <is>
          <t>DocFast</t>
        </is>
      </c>
      <c r="E305" s="38" t="inlineStr">
        <is>
          <t>Advertising and Promotion Expense</t>
        </is>
      </c>
      <c r="F305" s="38" t="inlineStr">
        <is>
          <t>Amazon Web Services</t>
        </is>
      </c>
      <c r="G305" s="39" t="n">
        <v>5444.39</v>
      </c>
    </row>
    <row r="306">
      <c r="A306" s="36" t="inlineStr">
        <is>
          <t>3655947f-b684-44aa-b835-8a13c7cb4b53</t>
        </is>
      </c>
      <c r="B306" s="41" t="n">
        <v>45841</v>
      </c>
      <c r="C306" s="36" t="inlineStr">
        <is>
          <t>Support</t>
        </is>
      </c>
      <c r="D306" s="36" t="inlineStr">
        <is>
          <t>DocFast</t>
        </is>
      </c>
      <c r="E306" s="36" t="inlineStr">
        <is>
          <t>Software and Maintenance Expense</t>
        </is>
      </c>
      <c r="F306" s="36" t="inlineStr">
        <is>
          <t>Cloudflare Inc.</t>
        </is>
      </c>
      <c r="G306" s="37" t="n">
        <v>434.75</v>
      </c>
    </row>
    <row r="307">
      <c r="A307" s="38" t="inlineStr">
        <is>
          <t>c646a012-f839-41b7-a89f-6952ad73422b</t>
        </is>
      </c>
      <c r="B307" s="40" t="n">
        <v>45737</v>
      </c>
      <c r="C307" s="38" t="inlineStr">
        <is>
          <t>Support</t>
        </is>
      </c>
      <c r="D307" s="38" t="inlineStr">
        <is>
          <t>iGO</t>
        </is>
      </c>
      <c r="E307" s="38" t="inlineStr">
        <is>
          <t>Office Expenses &amp; Rent Allocation</t>
        </is>
      </c>
      <c r="F307" s="38" t="inlineStr">
        <is>
          <t>Microsoft Corp.</t>
        </is>
      </c>
      <c r="G307" s="39" t="n">
        <v>1776.86</v>
      </c>
    </row>
    <row r="308">
      <c r="A308" s="36" t="inlineStr">
        <is>
          <t>cd264610-6b1d-4ff2-b879-0c7b87c5a306</t>
        </is>
      </c>
      <c r="B308" s="41" t="n">
        <v>45854</v>
      </c>
      <c r="C308" s="36" t="inlineStr">
        <is>
          <t>Partners</t>
        </is>
      </c>
      <c r="D308" s="36" t="inlineStr">
        <is>
          <t>InsureSight</t>
        </is>
      </c>
      <c r="E308" s="36" t="inlineStr">
        <is>
          <t>Professional Fees and Outsourcing Expenses</t>
        </is>
      </c>
      <c r="F308" s="36" t="inlineStr">
        <is>
          <t>Deloitte Consulting</t>
        </is>
      </c>
      <c r="G308" s="37" t="n">
        <v>8184.68</v>
      </c>
    </row>
    <row r="309">
      <c r="A309" s="38" t="inlineStr">
        <is>
          <t>44a91d0b-6269-47e5-adab-dd9e9e76c6b2</t>
        </is>
      </c>
      <c r="B309" s="40" t="n">
        <v>45728</v>
      </c>
      <c r="C309" s="38" t="inlineStr">
        <is>
          <t>Partners</t>
        </is>
      </c>
      <c r="D309" s="38" t="inlineStr">
        <is>
          <t>InsureSight</t>
        </is>
      </c>
      <c r="E309" s="38" t="inlineStr">
        <is>
          <t>Advertising and Promotion Expense</t>
        </is>
      </c>
      <c r="F309" s="38" t="inlineStr">
        <is>
          <t>Accenture LLP</t>
        </is>
      </c>
      <c r="G309" s="39" t="n">
        <v>717.02</v>
      </c>
    </row>
    <row r="310">
      <c r="A310" s="36" t="inlineStr">
        <is>
          <t>de30aac4-fb21-492e-a96e-3227bf008c28</t>
        </is>
      </c>
      <c r="B310" s="41" t="n">
        <v>45884</v>
      </c>
      <c r="C310" s="36" t="inlineStr">
        <is>
          <t>Support</t>
        </is>
      </c>
      <c r="D310" s="36" t="inlineStr">
        <is>
          <t>Affirm</t>
        </is>
      </c>
      <c r="E310" s="36" t="inlineStr">
        <is>
          <t>Data Center Fees</t>
        </is>
      </c>
      <c r="F310" s="36" t="inlineStr">
        <is>
          <t>WillisTowersWatson</t>
        </is>
      </c>
      <c r="G310" s="37" t="n">
        <v>971.51</v>
      </c>
    </row>
    <row r="311">
      <c r="A311" s="38" t="inlineStr">
        <is>
          <t>d693c99b-1764-46b6-a20b-8ebd4fcd2461</t>
        </is>
      </c>
      <c r="B311" s="40" t="n">
        <v>46013</v>
      </c>
      <c r="C311" s="38" t="inlineStr">
        <is>
          <t>NetOps</t>
        </is>
      </c>
      <c r="D311" s="38" t="inlineStr">
        <is>
          <t>iGO</t>
        </is>
      </c>
      <c r="E311" s="38" t="inlineStr">
        <is>
          <t>Reselling Expenses</t>
        </is>
      </c>
      <c r="F311" s="38" t="inlineStr">
        <is>
          <t>Salesforce Inc.</t>
        </is>
      </c>
      <c r="G311" s="39" t="n">
        <v>12132.29</v>
      </c>
    </row>
    <row r="312">
      <c r="A312" s="36" t="inlineStr">
        <is>
          <t>a9724143-58bd-4ce2-80ef-da063b2f7307</t>
        </is>
      </c>
      <c r="B312" s="41" t="n">
        <v>45863</v>
      </c>
      <c r="C312" s="36" t="inlineStr">
        <is>
          <t>Content</t>
        </is>
      </c>
      <c r="D312" s="36" t="inlineStr">
        <is>
          <t>Affirm</t>
        </is>
      </c>
      <c r="E312" s="36" t="inlineStr">
        <is>
          <t>Overhead Allocation &amp; Chargebacks</t>
        </is>
      </c>
      <c r="F312" s="36" t="inlineStr">
        <is>
          <t>Amazon Web Services</t>
        </is>
      </c>
      <c r="G312" s="37" t="n">
        <v>12619.92</v>
      </c>
    </row>
    <row r="313">
      <c r="A313" s="38" t="inlineStr">
        <is>
          <t>75022fae-cab5-4342-8526-4c951821f4a4</t>
        </is>
      </c>
      <c r="B313" s="40" t="n">
        <v>45914</v>
      </c>
      <c r="C313" s="38" t="inlineStr">
        <is>
          <t>Content</t>
        </is>
      </c>
      <c r="D313" s="38" t="inlineStr">
        <is>
          <t>DocFast</t>
        </is>
      </c>
      <c r="E313" s="38" t="inlineStr">
        <is>
          <t>Other</t>
        </is>
      </c>
      <c r="F313" s="38" t="inlineStr">
        <is>
          <t>Atlassian Inc.</t>
        </is>
      </c>
      <c r="G313" s="39" t="n">
        <v>3572.85</v>
      </c>
    </row>
    <row r="314">
      <c r="A314" s="36" t="inlineStr">
        <is>
          <t>a2179476-a1b4-496d-ae81-0a7d1885affd</t>
        </is>
      </c>
      <c r="B314" s="41" t="n">
        <v>45780</v>
      </c>
      <c r="C314" s="36" t="inlineStr">
        <is>
          <t>Partners</t>
        </is>
      </c>
      <c r="D314" s="36" t="inlineStr">
        <is>
          <t>iGO</t>
        </is>
      </c>
      <c r="E314" s="36" t="inlineStr">
        <is>
          <t>Overhead Allocation &amp; Chargebacks</t>
        </is>
      </c>
      <c r="F314" s="36" t="inlineStr">
        <is>
          <t>WillisTowersWatson</t>
        </is>
      </c>
      <c r="G314" s="37" t="n">
        <v>13511.8</v>
      </c>
    </row>
    <row r="315">
      <c r="A315" s="38" t="inlineStr">
        <is>
          <t>f79d1d6c-e591-48e7-8891-52b52e1c37e0</t>
        </is>
      </c>
      <c r="B315" s="40" t="n">
        <v>45952</v>
      </c>
      <c r="C315" s="38" t="inlineStr">
        <is>
          <t>Content</t>
        </is>
      </c>
      <c r="D315" s="38" t="inlineStr">
        <is>
          <t>Affirm</t>
        </is>
      </c>
      <c r="E315" s="38" t="inlineStr">
        <is>
          <t>Professional Fees and Outsourcing Expenses</t>
        </is>
      </c>
      <c r="F315" s="38" t="inlineStr">
        <is>
          <t>Adobe Systems</t>
        </is>
      </c>
      <c r="G315" s="39" t="n">
        <v>6763.14</v>
      </c>
    </row>
    <row r="316">
      <c r="A316" s="36" t="inlineStr">
        <is>
          <t>89cbb810-105f-437e-8724-40aa66d3505f</t>
        </is>
      </c>
      <c r="B316" s="41" t="n">
        <v>45723</v>
      </c>
      <c r="C316" s="36" t="inlineStr">
        <is>
          <t>Product Management</t>
        </is>
      </c>
      <c r="D316" s="36" t="inlineStr">
        <is>
          <t>Affirm</t>
        </is>
      </c>
      <c r="E316" s="36" t="inlineStr">
        <is>
          <t>Advertising and Promotion Expense</t>
        </is>
      </c>
      <c r="F316" s="36" t="inlineStr">
        <is>
          <t>Amazon Web Services</t>
        </is>
      </c>
      <c r="G316" s="37" t="n">
        <v>6379.45</v>
      </c>
    </row>
    <row r="317">
      <c r="A317" s="38" t="inlineStr">
        <is>
          <t>8331d218-29da-4557-8946-87c88050a17f</t>
        </is>
      </c>
      <c r="B317" s="40" t="n">
        <v>45975</v>
      </c>
      <c r="C317" s="38" t="inlineStr">
        <is>
          <t>Security</t>
        </is>
      </c>
      <c r="D317" s="38" t="inlineStr">
        <is>
          <t>Affirm</t>
        </is>
      </c>
      <c r="E317" s="38" t="inlineStr">
        <is>
          <t>Other</t>
        </is>
      </c>
      <c r="F317" s="38" t="inlineStr">
        <is>
          <t>Palo Alto Networks</t>
        </is>
      </c>
      <c r="G317" s="39" t="n">
        <v>4830.25</v>
      </c>
    </row>
    <row r="318">
      <c r="A318" s="36" t="inlineStr">
        <is>
          <t>56154aa1-3bd3-44f6-873e-13d7beb9bd52</t>
        </is>
      </c>
      <c r="B318" s="41" t="n">
        <v>46017</v>
      </c>
      <c r="C318" s="36" t="inlineStr">
        <is>
          <t>NetOps</t>
        </is>
      </c>
      <c r="D318" s="36" t="inlineStr">
        <is>
          <t>iGO</t>
        </is>
      </c>
      <c r="E318" s="36" t="inlineStr">
        <is>
          <t>Connectivity Charges</t>
        </is>
      </c>
      <c r="F318" s="36" t="inlineStr">
        <is>
          <t>Cognizant Technology</t>
        </is>
      </c>
      <c r="G318" s="37" t="n">
        <v>5990.46</v>
      </c>
    </row>
    <row r="319">
      <c r="A319" s="38" t="inlineStr">
        <is>
          <t>55a0404f-a952-4488-86c4-cf033f01dc77</t>
        </is>
      </c>
      <c r="B319" s="40" t="n">
        <v>45836</v>
      </c>
      <c r="C319" s="38" t="inlineStr">
        <is>
          <t>Support</t>
        </is>
      </c>
      <c r="D319" s="38" t="inlineStr">
        <is>
          <t>DocFast</t>
        </is>
      </c>
      <c r="E319" s="38" t="inlineStr">
        <is>
          <t>Employee Expenses</t>
        </is>
      </c>
      <c r="F319" s="38" t="inlineStr">
        <is>
          <t>Adobe Systems</t>
        </is>
      </c>
      <c r="G319" s="39" t="n">
        <v>10521.16</v>
      </c>
    </row>
    <row r="320">
      <c r="A320" s="36" t="inlineStr">
        <is>
          <t>a80d3a46-ac61-4445-8cf6-bca5ca0d6500</t>
        </is>
      </c>
      <c r="B320" s="41" t="n">
        <v>45947</v>
      </c>
      <c r="C320" s="36" t="inlineStr">
        <is>
          <t>Product Management</t>
        </is>
      </c>
      <c r="D320" s="36" t="inlineStr">
        <is>
          <t>DocFast</t>
        </is>
      </c>
      <c r="E320" s="36" t="inlineStr">
        <is>
          <t>Professional Fees and Outsourcing Expenses</t>
        </is>
      </c>
      <c r="F320" s="36" t="inlineStr">
        <is>
          <t>Zendesk Inc.</t>
        </is>
      </c>
      <c r="G320" s="37" t="n">
        <v>2287.15</v>
      </c>
    </row>
    <row r="321">
      <c r="A321" s="38" t="inlineStr">
        <is>
          <t>58ca065b-2c5c-4a6f-9fd3-36150a77e58e</t>
        </is>
      </c>
      <c r="B321" s="40" t="n">
        <v>45949</v>
      </c>
      <c r="C321" s="38" t="inlineStr">
        <is>
          <t>Content</t>
        </is>
      </c>
      <c r="D321" s="38" t="inlineStr">
        <is>
          <t>iGO</t>
        </is>
      </c>
      <c r="E321" s="38" t="inlineStr">
        <is>
          <t>Professional Fees and Outsourcing Expenses</t>
        </is>
      </c>
      <c r="F321" s="38" t="inlineStr">
        <is>
          <t>WillisTowersWatson</t>
        </is>
      </c>
      <c r="G321" s="39" t="n">
        <v>11704.19</v>
      </c>
    </row>
    <row r="322">
      <c r="A322" s="36" t="inlineStr">
        <is>
          <t>12a520f3-74a6-479b-9e02-8e909fa9ffb6</t>
        </is>
      </c>
      <c r="B322" s="41" t="n">
        <v>45805</v>
      </c>
      <c r="C322" s="36" t="inlineStr">
        <is>
          <t>Content</t>
        </is>
      </c>
      <c r="D322" s="36" t="inlineStr">
        <is>
          <t>InsureSight</t>
        </is>
      </c>
      <c r="E322" s="36" t="inlineStr">
        <is>
          <t>Connectivity Charges</t>
        </is>
      </c>
      <c r="F322" s="36" t="inlineStr">
        <is>
          <t>Palo Alto Networks</t>
        </is>
      </c>
      <c r="G322" s="37" t="n">
        <v>5776.5</v>
      </c>
    </row>
    <row r="323">
      <c r="A323" s="38" t="inlineStr">
        <is>
          <t>392230b9-ffa2-41a3-b8f1-7728c147bfbd</t>
        </is>
      </c>
      <c r="B323" s="40" t="n">
        <v>45888</v>
      </c>
      <c r="C323" s="38" t="inlineStr">
        <is>
          <t>Content</t>
        </is>
      </c>
      <c r="D323" s="38" t="inlineStr">
        <is>
          <t>DocFast</t>
        </is>
      </c>
      <c r="E323" s="38" t="inlineStr">
        <is>
          <t>Employee Expenses</t>
        </is>
      </c>
      <c r="F323" s="38" t="inlineStr">
        <is>
          <t>Datadog Inc.</t>
        </is>
      </c>
      <c r="G323" s="39" t="n">
        <v>4167.44</v>
      </c>
    </row>
    <row r="324">
      <c r="A324" s="36" t="inlineStr">
        <is>
          <t>fbdc860c-1efa-47d0-8214-dce2190344e9</t>
        </is>
      </c>
      <c r="B324" s="41" t="n">
        <v>45736</v>
      </c>
      <c r="C324" s="36" t="inlineStr">
        <is>
          <t>Content</t>
        </is>
      </c>
      <c r="D324" s="36" t="inlineStr">
        <is>
          <t>DocFast</t>
        </is>
      </c>
      <c r="E324" s="36" t="inlineStr">
        <is>
          <t>Employee Expenses</t>
        </is>
      </c>
      <c r="F324" s="36" t="inlineStr">
        <is>
          <t>Zendesk Inc.</t>
        </is>
      </c>
      <c r="G324" s="37" t="n">
        <v>13349.13</v>
      </c>
    </row>
    <row r="325">
      <c r="A325" s="38" t="inlineStr">
        <is>
          <t>2c783d57-cc52-4e63-a4c4-bbb5ecf39d0b</t>
        </is>
      </c>
      <c r="B325" s="40" t="n">
        <v>45831</v>
      </c>
      <c r="C325" s="38" t="inlineStr">
        <is>
          <t>Security</t>
        </is>
      </c>
      <c r="D325" s="38" t="inlineStr">
        <is>
          <t>iGO</t>
        </is>
      </c>
      <c r="E325" s="38" t="inlineStr">
        <is>
          <t>Office Expenses &amp; Rent Allocation</t>
        </is>
      </c>
      <c r="F325" s="38" t="inlineStr">
        <is>
          <t>Atlassian Inc.</t>
        </is>
      </c>
      <c r="G325" s="39" t="n">
        <v>4065.34</v>
      </c>
    </row>
    <row r="326">
      <c r="A326" s="36" t="inlineStr">
        <is>
          <t>77f99fe7-bb20-4ecf-bddb-6fe73f1f9638</t>
        </is>
      </c>
      <c r="B326" s="41" t="n">
        <v>45809</v>
      </c>
      <c r="C326" s="36" t="inlineStr">
        <is>
          <t>Support</t>
        </is>
      </c>
      <c r="D326" s="36" t="inlineStr">
        <is>
          <t>InsureSight</t>
        </is>
      </c>
      <c r="E326" s="36" t="inlineStr">
        <is>
          <t>Data Center Fees</t>
        </is>
      </c>
      <c r="F326" s="36" t="inlineStr">
        <is>
          <t>Palo Alto Networks</t>
        </is>
      </c>
      <c r="G326" s="37" t="n">
        <v>12650.56</v>
      </c>
    </row>
    <row r="327">
      <c r="A327" s="38" t="inlineStr">
        <is>
          <t>e97de860-4392-4897-9363-c70e8aee84e0</t>
        </is>
      </c>
      <c r="B327" s="40" t="n">
        <v>46013</v>
      </c>
      <c r="C327" s="38" t="inlineStr">
        <is>
          <t>NetOps</t>
        </is>
      </c>
      <c r="D327" s="38" t="inlineStr">
        <is>
          <t>Affirm</t>
        </is>
      </c>
      <c r="E327" s="38" t="inlineStr">
        <is>
          <t>Advertising and Promotion Expense</t>
        </is>
      </c>
      <c r="F327" s="38" t="inlineStr">
        <is>
          <t>Palo Alto Networks</t>
        </is>
      </c>
      <c r="G327" s="39" t="n">
        <v>14614.58</v>
      </c>
    </row>
    <row r="328">
      <c r="A328" s="36" t="inlineStr">
        <is>
          <t>ae308879-9c50-4668-8cdf-dd6aa19a54ac</t>
        </is>
      </c>
      <c r="B328" s="41" t="n">
        <v>45894</v>
      </c>
      <c r="C328" s="36" t="inlineStr">
        <is>
          <t>Product Management</t>
        </is>
      </c>
      <c r="D328" s="36" t="inlineStr">
        <is>
          <t>InsureSight</t>
        </is>
      </c>
      <c r="E328" s="36" t="inlineStr">
        <is>
          <t>Data Center Fees</t>
        </is>
      </c>
      <c r="F328" s="36" t="inlineStr">
        <is>
          <t>Iron Mountain</t>
        </is>
      </c>
      <c r="G328" s="37" t="n">
        <v>6280.75</v>
      </c>
    </row>
    <row r="329">
      <c r="A329" s="38" t="inlineStr">
        <is>
          <t>7a2a13f4-538c-4f93-b67c-b6de1d4b10da</t>
        </is>
      </c>
      <c r="B329" s="40" t="n">
        <v>45964</v>
      </c>
      <c r="C329" s="38" t="inlineStr">
        <is>
          <t>Security</t>
        </is>
      </c>
      <c r="D329" s="38" t="inlineStr">
        <is>
          <t>DocFast</t>
        </is>
      </c>
      <c r="E329" s="38" t="inlineStr">
        <is>
          <t>Software and Maintenance Expense</t>
        </is>
      </c>
      <c r="F329" s="38" t="inlineStr">
        <is>
          <t>Atlassian Inc.</t>
        </is>
      </c>
      <c r="G329" s="39" t="n">
        <v>12368.34</v>
      </c>
    </row>
    <row r="330">
      <c r="A330" s="36" t="inlineStr">
        <is>
          <t>7f657122-db1e-46da-b62d-e8b4c4213ad1</t>
        </is>
      </c>
      <c r="B330" s="41" t="n">
        <v>46007</v>
      </c>
      <c r="C330" s="36" t="inlineStr">
        <is>
          <t>Product Management</t>
        </is>
      </c>
      <c r="D330" s="36" t="inlineStr">
        <is>
          <t>InsureSight</t>
        </is>
      </c>
      <c r="E330" s="36" t="inlineStr">
        <is>
          <t>Employee Expenses</t>
        </is>
      </c>
      <c r="F330" s="36" t="inlineStr">
        <is>
          <t>Cognizant Technology</t>
        </is>
      </c>
      <c r="G330" s="37" t="n">
        <v>11882.78</v>
      </c>
    </row>
    <row r="331">
      <c r="A331" s="38" t="inlineStr">
        <is>
          <t>84677a3b-ad65-4de7-a199-4ff582929ec3</t>
        </is>
      </c>
      <c r="B331" s="40" t="n">
        <v>45698</v>
      </c>
      <c r="C331" s="38" t="inlineStr">
        <is>
          <t>R&amp;D</t>
        </is>
      </c>
      <c r="D331" s="38" t="inlineStr">
        <is>
          <t>DocFast</t>
        </is>
      </c>
      <c r="E331" s="38" t="inlineStr">
        <is>
          <t>Advertising and Promotion Expense</t>
        </is>
      </c>
      <c r="F331" s="38" t="inlineStr">
        <is>
          <t>Adobe Systems</t>
        </is>
      </c>
      <c r="G331" s="39" t="n">
        <v>12776.87</v>
      </c>
    </row>
    <row r="332">
      <c r="A332" s="36" t="inlineStr">
        <is>
          <t>3227acc3-a1df-4961-a053-408038ef710e</t>
        </is>
      </c>
      <c r="B332" s="41" t="n">
        <v>45931</v>
      </c>
      <c r="C332" s="36" t="inlineStr">
        <is>
          <t>Security</t>
        </is>
      </c>
      <c r="D332" s="36" t="inlineStr">
        <is>
          <t>Affirm</t>
        </is>
      </c>
      <c r="E332" s="36" t="inlineStr">
        <is>
          <t>Software and Maintenance Expense</t>
        </is>
      </c>
      <c r="F332" s="36" t="inlineStr">
        <is>
          <t>Microsoft Corp.</t>
        </is>
      </c>
      <c r="G332" s="37" t="n">
        <v>911.53</v>
      </c>
    </row>
    <row r="333">
      <c r="A333" s="38" t="inlineStr">
        <is>
          <t>bca4b5ef-d743-432f-92cf-517734373d45</t>
        </is>
      </c>
      <c r="B333" s="40" t="n">
        <v>45672</v>
      </c>
      <c r="C333" s="38" t="inlineStr">
        <is>
          <t>NetOps</t>
        </is>
      </c>
      <c r="D333" s="38" t="inlineStr">
        <is>
          <t>InsureSight</t>
        </is>
      </c>
      <c r="E333" s="38" t="inlineStr">
        <is>
          <t>Software and Maintenance Expense</t>
        </is>
      </c>
      <c r="F333" s="38" t="inlineStr">
        <is>
          <t>Palo Alto Networks</t>
        </is>
      </c>
      <c r="G333" s="39" t="n">
        <v>5556.86</v>
      </c>
    </row>
    <row r="334">
      <c r="A334" s="36" t="inlineStr">
        <is>
          <t>af5fd349-9004-470c-bd6f-9a73714869ae</t>
        </is>
      </c>
      <c r="B334" s="41" t="n">
        <v>45886</v>
      </c>
      <c r="C334" s="36" t="inlineStr">
        <is>
          <t>Partners</t>
        </is>
      </c>
      <c r="D334" s="36" t="inlineStr">
        <is>
          <t>iGO</t>
        </is>
      </c>
      <c r="E334" s="36" t="inlineStr">
        <is>
          <t>Reselling Expenses</t>
        </is>
      </c>
      <c r="F334" s="36" t="inlineStr">
        <is>
          <t>Amazon Web Services</t>
        </is>
      </c>
      <c r="G334" s="37" t="n">
        <v>3666.97</v>
      </c>
    </row>
    <row r="335">
      <c r="A335" s="38" t="inlineStr">
        <is>
          <t>ede486cc-be1d-4f67-972c-41882055404e</t>
        </is>
      </c>
      <c r="B335" s="40" t="n">
        <v>45889</v>
      </c>
      <c r="C335" s="38" t="inlineStr">
        <is>
          <t>Partners</t>
        </is>
      </c>
      <c r="D335" s="38" t="inlineStr">
        <is>
          <t>Affirm</t>
        </is>
      </c>
      <c r="E335" s="38" t="inlineStr">
        <is>
          <t>Office Expenses &amp; Rent Allocation</t>
        </is>
      </c>
      <c r="F335" s="38" t="inlineStr">
        <is>
          <t>WillisTowersWatson</t>
        </is>
      </c>
      <c r="G335" s="39" t="n">
        <v>8292.440000000001</v>
      </c>
    </row>
    <row r="336">
      <c r="A336" s="36" t="inlineStr">
        <is>
          <t>2a80bdd6-1460-4f4f-bd33-77b3bf016d2d</t>
        </is>
      </c>
      <c r="B336" s="41" t="n">
        <v>45814</v>
      </c>
      <c r="C336" s="36" t="inlineStr">
        <is>
          <t>Product Management</t>
        </is>
      </c>
      <c r="D336" s="36" t="inlineStr">
        <is>
          <t>InsureSight</t>
        </is>
      </c>
      <c r="E336" s="36" t="inlineStr">
        <is>
          <t>Professional Fees and Outsourcing Expenses</t>
        </is>
      </c>
      <c r="F336" s="36" t="inlineStr">
        <is>
          <t>Palo Alto Networks</t>
        </is>
      </c>
      <c r="G336" s="37" t="n">
        <v>460.38</v>
      </c>
    </row>
    <row r="337">
      <c r="A337" s="38" t="inlineStr">
        <is>
          <t>56b41b31-9051-4c1d-87ad-28ce2f1787e8</t>
        </is>
      </c>
      <c r="B337" s="40" t="n">
        <v>45663</v>
      </c>
      <c r="C337" s="38" t="inlineStr">
        <is>
          <t>Product Management</t>
        </is>
      </c>
      <c r="D337" s="38" t="inlineStr">
        <is>
          <t>Affirm</t>
        </is>
      </c>
      <c r="E337" s="38" t="inlineStr">
        <is>
          <t>Software and Maintenance Expense</t>
        </is>
      </c>
      <c r="F337" s="38" t="inlineStr">
        <is>
          <t>Deloitte Consulting</t>
        </is>
      </c>
      <c r="G337" s="39" t="n">
        <v>3415.43</v>
      </c>
    </row>
    <row r="338">
      <c r="A338" s="36" t="inlineStr">
        <is>
          <t>7184b2f2-d192-4fc1-b975-c3f115026a27</t>
        </is>
      </c>
      <c r="B338" s="41" t="n">
        <v>45756</v>
      </c>
      <c r="C338" s="36" t="inlineStr">
        <is>
          <t>R&amp;D</t>
        </is>
      </c>
      <c r="D338" s="36" t="inlineStr">
        <is>
          <t>DocFast</t>
        </is>
      </c>
      <c r="E338" s="36" t="inlineStr">
        <is>
          <t>Overhead Allocation &amp; Chargebacks</t>
        </is>
      </c>
      <c r="F338" s="36" t="inlineStr">
        <is>
          <t>Amazon Web Services</t>
        </is>
      </c>
      <c r="G338" s="37" t="n">
        <v>12976.22</v>
      </c>
    </row>
    <row r="339">
      <c r="A339" s="38" t="inlineStr">
        <is>
          <t>cd286189-5ba6-4499-bd95-d83b4815a743</t>
        </is>
      </c>
      <c r="B339" s="40" t="n">
        <v>45962</v>
      </c>
      <c r="C339" s="38" t="inlineStr">
        <is>
          <t>Partners</t>
        </is>
      </c>
      <c r="D339" s="38" t="inlineStr">
        <is>
          <t>Affirm</t>
        </is>
      </c>
      <c r="E339" s="38" t="inlineStr">
        <is>
          <t>Reselling Expenses</t>
        </is>
      </c>
      <c r="F339" s="38" t="inlineStr">
        <is>
          <t>Datadog Inc.</t>
        </is>
      </c>
      <c r="G339" s="39" t="n">
        <v>9037.07</v>
      </c>
    </row>
    <row r="340">
      <c r="A340" s="36" t="inlineStr">
        <is>
          <t>99f65ec6-33d9-491c-b51e-940ac0c466c1</t>
        </is>
      </c>
      <c r="B340" s="41" t="n">
        <v>45665</v>
      </c>
      <c r="C340" s="36" t="inlineStr">
        <is>
          <t>Support</t>
        </is>
      </c>
      <c r="D340" s="36" t="inlineStr">
        <is>
          <t>InsureSight</t>
        </is>
      </c>
      <c r="E340" s="36" t="inlineStr">
        <is>
          <t>Reselling Expenses</t>
        </is>
      </c>
      <c r="F340" s="36" t="inlineStr">
        <is>
          <t>Palo Alto Networks</t>
        </is>
      </c>
      <c r="G340" s="37" t="n">
        <v>6385.91</v>
      </c>
    </row>
    <row r="341">
      <c r="A341" s="38" t="inlineStr">
        <is>
          <t>03a578e6-c4e9-4b14-9525-aee938867f8b</t>
        </is>
      </c>
      <c r="B341" s="40" t="n">
        <v>45866</v>
      </c>
      <c r="C341" s="38" t="inlineStr">
        <is>
          <t>Support</t>
        </is>
      </c>
      <c r="D341" s="38" t="inlineStr">
        <is>
          <t>DocFast</t>
        </is>
      </c>
      <c r="E341" s="38" t="inlineStr">
        <is>
          <t>Data Center Fees</t>
        </is>
      </c>
      <c r="F341" s="38" t="inlineStr">
        <is>
          <t>CrowdStrike Holdings</t>
        </is>
      </c>
      <c r="G341" s="39" t="n">
        <v>7027.14</v>
      </c>
    </row>
    <row r="342">
      <c r="A342" s="36" t="inlineStr">
        <is>
          <t>0afd55f7-14b3-4bf5-a022-b5462ae27252</t>
        </is>
      </c>
      <c r="B342" s="41" t="n">
        <v>45978</v>
      </c>
      <c r="C342" s="36" t="inlineStr">
        <is>
          <t>Product Management</t>
        </is>
      </c>
      <c r="D342" s="36" t="inlineStr">
        <is>
          <t>DocFast</t>
        </is>
      </c>
      <c r="E342" s="36" t="inlineStr">
        <is>
          <t>Other</t>
        </is>
      </c>
      <c r="F342" s="36" t="inlineStr">
        <is>
          <t>Cloudflare Inc.</t>
        </is>
      </c>
      <c r="G342" s="37" t="n">
        <v>159.85</v>
      </c>
    </row>
    <row r="343">
      <c r="A343" s="38" t="inlineStr">
        <is>
          <t>34a9d018-3766-49ac-9dfa-b2c4af44ef48</t>
        </is>
      </c>
      <c r="B343" s="40" t="n">
        <v>45988</v>
      </c>
      <c r="C343" s="38" t="inlineStr">
        <is>
          <t>Product Management</t>
        </is>
      </c>
      <c r="D343" s="38" t="inlineStr">
        <is>
          <t>InsureSight</t>
        </is>
      </c>
      <c r="E343" s="38" t="inlineStr">
        <is>
          <t>Overhead Allocation &amp; Chargebacks</t>
        </is>
      </c>
      <c r="F343" s="38" t="inlineStr">
        <is>
          <t>Deloitte Consulting</t>
        </is>
      </c>
      <c r="G343" s="39" t="n">
        <v>8926.9</v>
      </c>
    </row>
    <row r="344">
      <c r="A344" s="36" t="inlineStr">
        <is>
          <t>18e53c3c-cae2-4846-a89d-0f89ac51e540</t>
        </is>
      </c>
      <c r="B344" s="41" t="n">
        <v>45787</v>
      </c>
      <c r="C344" s="36" t="inlineStr">
        <is>
          <t>R&amp;D</t>
        </is>
      </c>
      <c r="D344" s="36" t="inlineStr">
        <is>
          <t>iGO</t>
        </is>
      </c>
      <c r="E344" s="36" t="inlineStr">
        <is>
          <t>Office Expenses &amp; Rent Allocation</t>
        </is>
      </c>
      <c r="F344" s="36" t="inlineStr">
        <is>
          <t>Cloudflare Inc.</t>
        </is>
      </c>
      <c r="G344" s="37" t="n">
        <v>5077.44</v>
      </c>
    </row>
    <row r="345">
      <c r="A345" s="38" t="inlineStr">
        <is>
          <t>03572901-dd60-46a8-ab0f-c7b6fdbe8d73</t>
        </is>
      </c>
      <c r="B345" s="40" t="n">
        <v>45798</v>
      </c>
      <c r="C345" s="38" t="inlineStr">
        <is>
          <t>Support</t>
        </is>
      </c>
      <c r="D345" s="38" t="inlineStr">
        <is>
          <t>InsureSight</t>
        </is>
      </c>
      <c r="E345" s="38" t="inlineStr">
        <is>
          <t>Data Center Fees</t>
        </is>
      </c>
      <c r="F345" s="38" t="inlineStr">
        <is>
          <t>Deloitte Consulting</t>
        </is>
      </c>
      <c r="G345" s="39" t="n">
        <v>10680.85</v>
      </c>
    </row>
    <row r="346">
      <c r="A346" s="36" t="inlineStr">
        <is>
          <t>15b43277-590e-411a-8eb3-fa184290147c</t>
        </is>
      </c>
      <c r="B346" s="41" t="n">
        <v>45971</v>
      </c>
      <c r="C346" s="36" t="inlineStr">
        <is>
          <t>Security</t>
        </is>
      </c>
      <c r="D346" s="36" t="inlineStr">
        <is>
          <t>Affirm</t>
        </is>
      </c>
      <c r="E346" s="36" t="inlineStr">
        <is>
          <t>Overhead Allocation &amp; Chargebacks</t>
        </is>
      </c>
      <c r="F346" s="36" t="inlineStr">
        <is>
          <t>Adobe Systems</t>
        </is>
      </c>
      <c r="G346" s="37" t="n">
        <v>3642.52</v>
      </c>
    </row>
    <row r="347">
      <c r="A347" s="38" t="inlineStr">
        <is>
          <t>bb01b8f5-f19a-439b-95b2-b6ab0a6b877b</t>
        </is>
      </c>
      <c r="B347" s="40" t="n">
        <v>45683</v>
      </c>
      <c r="C347" s="38" t="inlineStr">
        <is>
          <t>Product Management</t>
        </is>
      </c>
      <c r="D347" s="38" t="inlineStr">
        <is>
          <t>DocFast</t>
        </is>
      </c>
      <c r="E347" s="38" t="inlineStr">
        <is>
          <t>Reselling Expenses</t>
        </is>
      </c>
      <c r="F347" s="38" t="inlineStr">
        <is>
          <t>Salesforce Inc.</t>
        </is>
      </c>
      <c r="G347" s="39" t="n">
        <v>10227.3</v>
      </c>
    </row>
    <row r="348">
      <c r="A348" s="36" t="inlineStr">
        <is>
          <t>2ea1ee77-2385-4c5f-82d1-e2c1b7b900a2</t>
        </is>
      </c>
      <c r="B348" s="41" t="n">
        <v>45992</v>
      </c>
      <c r="C348" s="36" t="inlineStr">
        <is>
          <t>R&amp;D</t>
        </is>
      </c>
      <c r="D348" s="36" t="inlineStr">
        <is>
          <t>DocFast</t>
        </is>
      </c>
      <c r="E348" s="36" t="inlineStr">
        <is>
          <t>Data Center Fees</t>
        </is>
      </c>
      <c r="F348" s="36" t="inlineStr">
        <is>
          <t>Palo Alto Networks</t>
        </is>
      </c>
      <c r="G348" s="37" t="n">
        <v>13608.33</v>
      </c>
    </row>
    <row r="349">
      <c r="A349" s="38" t="inlineStr">
        <is>
          <t>21e0f00b-d801-440f-b5a0-1cfe6c1ad33b</t>
        </is>
      </c>
      <c r="B349" s="40" t="n">
        <v>45851</v>
      </c>
      <c r="C349" s="38" t="inlineStr">
        <is>
          <t>R&amp;D</t>
        </is>
      </c>
      <c r="D349" s="38" t="inlineStr">
        <is>
          <t>iGO</t>
        </is>
      </c>
      <c r="E349" s="38" t="inlineStr">
        <is>
          <t>Other</t>
        </is>
      </c>
      <c r="F349" s="38" t="inlineStr">
        <is>
          <t>Iron Mountain</t>
        </is>
      </c>
      <c r="G349" s="39" t="n">
        <v>14921.57</v>
      </c>
    </row>
    <row r="350">
      <c r="A350" s="36" t="inlineStr">
        <is>
          <t>b9a1b9d0-c35f-4ac3-a78f-7003a6d5fcff</t>
        </is>
      </c>
      <c r="B350" s="41" t="n">
        <v>45758</v>
      </c>
      <c r="C350" s="36" t="inlineStr">
        <is>
          <t>R&amp;D</t>
        </is>
      </c>
      <c r="D350" s="36" t="inlineStr">
        <is>
          <t>Affirm</t>
        </is>
      </c>
      <c r="E350" s="36" t="inlineStr">
        <is>
          <t>Reselling Expenses</t>
        </is>
      </c>
      <c r="F350" s="36" t="inlineStr">
        <is>
          <t>Cognizant Technology</t>
        </is>
      </c>
      <c r="G350" s="37" t="n">
        <v>9592.790000000001</v>
      </c>
    </row>
    <row r="351">
      <c r="A351" s="38" t="inlineStr">
        <is>
          <t>b9abcd75-a5f2-48f6-9a3c-93fe9a6d2d6f</t>
        </is>
      </c>
      <c r="B351" s="40" t="n">
        <v>45891</v>
      </c>
      <c r="C351" s="38" t="inlineStr">
        <is>
          <t>Support</t>
        </is>
      </c>
      <c r="D351" s="38" t="inlineStr">
        <is>
          <t>InsureSight</t>
        </is>
      </c>
      <c r="E351" s="38" t="inlineStr">
        <is>
          <t>Advertising and Promotion Expense</t>
        </is>
      </c>
      <c r="F351" s="38" t="inlineStr">
        <is>
          <t>Microsoft Corp.</t>
        </is>
      </c>
      <c r="G351" s="39" t="n">
        <v>9881.34</v>
      </c>
    </row>
    <row r="352">
      <c r="A352" s="36" t="inlineStr">
        <is>
          <t>fb108c0f-5c51-4988-b6e0-cc207d830c73</t>
        </is>
      </c>
      <c r="B352" s="41" t="n">
        <v>45906</v>
      </c>
      <c r="C352" s="36" t="inlineStr">
        <is>
          <t>Support</t>
        </is>
      </c>
      <c r="D352" s="36" t="inlineStr">
        <is>
          <t>iGO</t>
        </is>
      </c>
      <c r="E352" s="36" t="inlineStr">
        <is>
          <t>Office Expenses &amp; Rent Allocation</t>
        </is>
      </c>
      <c r="F352" s="36" t="inlineStr">
        <is>
          <t>Datadog Inc.</t>
        </is>
      </c>
      <c r="G352" s="37" t="n">
        <v>11126.74</v>
      </c>
    </row>
    <row r="353">
      <c r="A353" s="38" t="inlineStr">
        <is>
          <t>081ba728-cf8e-4f50-ba2a-1aab1a4dc3fc</t>
        </is>
      </c>
      <c r="B353" s="40" t="n">
        <v>46017</v>
      </c>
      <c r="C353" s="38" t="inlineStr">
        <is>
          <t>Content</t>
        </is>
      </c>
      <c r="D353" s="38" t="inlineStr">
        <is>
          <t>Affirm</t>
        </is>
      </c>
      <c r="E353" s="38" t="inlineStr">
        <is>
          <t>Reselling Expenses</t>
        </is>
      </c>
      <c r="F353" s="38" t="inlineStr">
        <is>
          <t>Atlassian Inc.</t>
        </is>
      </c>
      <c r="G353" s="39" t="n">
        <v>5067.71</v>
      </c>
    </row>
    <row r="354">
      <c r="A354" s="36" t="inlineStr">
        <is>
          <t>bc3ed73f-8989-4850-9500-eb94ddb39e2f</t>
        </is>
      </c>
      <c r="B354" s="41" t="n">
        <v>45696</v>
      </c>
      <c r="C354" s="36" t="inlineStr">
        <is>
          <t>Support</t>
        </is>
      </c>
      <c r="D354" s="36" t="inlineStr">
        <is>
          <t>Affirm</t>
        </is>
      </c>
      <c r="E354" s="36" t="inlineStr">
        <is>
          <t>Data Center Fees</t>
        </is>
      </c>
      <c r="F354" s="36" t="inlineStr">
        <is>
          <t>Zendesk Inc.</t>
        </is>
      </c>
      <c r="G354" s="37" t="n">
        <v>11831.95</v>
      </c>
    </row>
    <row r="355">
      <c r="A355" s="38" t="inlineStr">
        <is>
          <t>885403e8-d3e4-4ac1-bbfc-620c3a793100</t>
        </is>
      </c>
      <c r="B355" s="40" t="n">
        <v>45820</v>
      </c>
      <c r="C355" s="38" t="inlineStr">
        <is>
          <t>Support</t>
        </is>
      </c>
      <c r="D355" s="38" t="inlineStr">
        <is>
          <t>InsureSight</t>
        </is>
      </c>
      <c r="E355" s="38" t="inlineStr">
        <is>
          <t>Office Expenses &amp; Rent Allocation</t>
        </is>
      </c>
      <c r="F355" s="38" t="inlineStr">
        <is>
          <t>Microsoft Corp.</t>
        </is>
      </c>
      <c r="G355" s="39" t="n">
        <v>1810.83</v>
      </c>
    </row>
    <row r="356">
      <c r="A356" s="36" t="inlineStr">
        <is>
          <t>1b0a8f49-8d3a-4015-ad8d-eaec16a02147</t>
        </is>
      </c>
      <c r="B356" s="41" t="n">
        <v>45685</v>
      </c>
      <c r="C356" s="36" t="inlineStr">
        <is>
          <t>R&amp;D</t>
        </is>
      </c>
      <c r="D356" s="36" t="inlineStr">
        <is>
          <t>iGO</t>
        </is>
      </c>
      <c r="E356" s="36" t="inlineStr">
        <is>
          <t>Office Expenses &amp; Rent Allocation</t>
        </is>
      </c>
      <c r="F356" s="36" t="inlineStr">
        <is>
          <t>Atlassian Inc.</t>
        </is>
      </c>
      <c r="G356" s="37" t="n">
        <v>2958.43</v>
      </c>
    </row>
    <row r="357">
      <c r="A357" s="38" t="inlineStr">
        <is>
          <t>b26d2857-1a79-4025-ab5c-af76e465995a</t>
        </is>
      </c>
      <c r="B357" s="40" t="n">
        <v>45716</v>
      </c>
      <c r="C357" s="38" t="inlineStr">
        <is>
          <t>R&amp;D</t>
        </is>
      </c>
      <c r="D357" s="38" t="inlineStr">
        <is>
          <t>DocFast</t>
        </is>
      </c>
      <c r="E357" s="38" t="inlineStr">
        <is>
          <t>Overhead Allocation &amp; Chargebacks</t>
        </is>
      </c>
      <c r="F357" s="38" t="inlineStr">
        <is>
          <t>Palo Alto Networks</t>
        </is>
      </c>
      <c r="G357" s="39" t="n">
        <v>6225.95</v>
      </c>
    </row>
    <row r="358">
      <c r="A358" s="36" t="inlineStr">
        <is>
          <t>818f416b-728f-4453-a285-d681f34178dd</t>
        </is>
      </c>
      <c r="B358" s="41" t="n">
        <v>45721</v>
      </c>
      <c r="C358" s="36" t="inlineStr">
        <is>
          <t>Security</t>
        </is>
      </c>
      <c r="D358" s="36" t="inlineStr">
        <is>
          <t>InsureSight</t>
        </is>
      </c>
      <c r="E358" s="36" t="inlineStr">
        <is>
          <t>Connectivity Charges</t>
        </is>
      </c>
      <c r="F358" s="36" t="inlineStr">
        <is>
          <t>WillisTowersWatson</t>
        </is>
      </c>
      <c r="G358" s="37" t="n">
        <v>13398.03</v>
      </c>
    </row>
    <row r="359">
      <c r="A359" s="38" t="inlineStr">
        <is>
          <t>745d6bbf-bb61-4831-a247-9bcca8026830</t>
        </is>
      </c>
      <c r="B359" s="40" t="n">
        <v>45874</v>
      </c>
      <c r="C359" s="38" t="inlineStr">
        <is>
          <t>Support</t>
        </is>
      </c>
      <c r="D359" s="38" t="inlineStr">
        <is>
          <t>Affirm</t>
        </is>
      </c>
      <c r="E359" s="38" t="inlineStr">
        <is>
          <t>Professional Fees and Outsourcing Expenses</t>
        </is>
      </c>
      <c r="F359" s="38" t="inlineStr">
        <is>
          <t>Accenture LLP</t>
        </is>
      </c>
      <c r="G359" s="39" t="n">
        <v>5022.81</v>
      </c>
    </row>
    <row r="360">
      <c r="A360" s="36" t="inlineStr">
        <is>
          <t>4785e82d-f0eb-402f-96d6-aa92133fcbd8</t>
        </is>
      </c>
      <c r="B360" s="41" t="n">
        <v>45727</v>
      </c>
      <c r="C360" s="36" t="inlineStr">
        <is>
          <t>R&amp;D</t>
        </is>
      </c>
      <c r="D360" s="36" t="inlineStr">
        <is>
          <t>iGO</t>
        </is>
      </c>
      <c r="E360" s="36" t="inlineStr">
        <is>
          <t>Employee Expenses</t>
        </is>
      </c>
      <c r="F360" s="36" t="inlineStr">
        <is>
          <t>Accenture LLP</t>
        </is>
      </c>
      <c r="G360" s="37" t="n">
        <v>4139.24</v>
      </c>
    </row>
    <row r="361">
      <c r="A361" s="38" t="inlineStr">
        <is>
          <t>585a6c36-0301-415a-8a87-00af529a125a</t>
        </is>
      </c>
      <c r="B361" s="40" t="n">
        <v>45735</v>
      </c>
      <c r="C361" s="38" t="inlineStr">
        <is>
          <t>Product Management</t>
        </is>
      </c>
      <c r="D361" s="38" t="inlineStr">
        <is>
          <t>Affirm</t>
        </is>
      </c>
      <c r="E361" s="38" t="inlineStr">
        <is>
          <t>Office Expenses &amp; Rent Allocation</t>
        </is>
      </c>
      <c r="F361" s="38" t="inlineStr">
        <is>
          <t>Adobe Systems</t>
        </is>
      </c>
      <c r="G361" s="39" t="n">
        <v>11465.36</v>
      </c>
    </row>
    <row r="362">
      <c r="A362" s="36" t="inlineStr">
        <is>
          <t>2c135d25-8f49-4e59-a771-899504071219</t>
        </is>
      </c>
      <c r="B362" s="41" t="n">
        <v>45693</v>
      </c>
      <c r="C362" s="36" t="inlineStr">
        <is>
          <t>Content</t>
        </is>
      </c>
      <c r="D362" s="36" t="inlineStr">
        <is>
          <t>DocFast</t>
        </is>
      </c>
      <c r="E362" s="36" t="inlineStr">
        <is>
          <t>Reselling Expenses</t>
        </is>
      </c>
      <c r="F362" s="36" t="inlineStr">
        <is>
          <t>Zendesk Inc.</t>
        </is>
      </c>
      <c r="G362" s="37" t="n">
        <v>6080.73</v>
      </c>
    </row>
    <row r="363">
      <c r="A363" s="38" t="inlineStr">
        <is>
          <t>d9e7f3cc-c418-4df6-9090-1c459b932ac3</t>
        </is>
      </c>
      <c r="B363" s="40" t="n">
        <v>45882</v>
      </c>
      <c r="C363" s="38" t="inlineStr">
        <is>
          <t>NetOps</t>
        </is>
      </c>
      <c r="D363" s="38" t="inlineStr">
        <is>
          <t>iGO</t>
        </is>
      </c>
      <c r="E363" s="38" t="inlineStr">
        <is>
          <t>Overhead Allocation &amp; Chargebacks</t>
        </is>
      </c>
      <c r="F363" s="38" t="inlineStr">
        <is>
          <t>CrowdStrike Holdings</t>
        </is>
      </c>
      <c r="G363" s="39" t="n">
        <v>10973.35</v>
      </c>
    </row>
    <row r="364">
      <c r="A364" s="36" t="inlineStr">
        <is>
          <t>4f56de2d-2b00-49a5-98ac-be67423bd817</t>
        </is>
      </c>
      <c r="B364" s="41" t="n">
        <v>45668</v>
      </c>
      <c r="C364" s="36" t="inlineStr">
        <is>
          <t>Product Management</t>
        </is>
      </c>
      <c r="D364" s="36" t="inlineStr">
        <is>
          <t>Affirm</t>
        </is>
      </c>
      <c r="E364" s="36" t="inlineStr">
        <is>
          <t>Employee Expenses</t>
        </is>
      </c>
      <c r="F364" s="36" t="inlineStr">
        <is>
          <t>Deloitte Consulting</t>
        </is>
      </c>
      <c r="G364" s="37" t="n">
        <v>111.65</v>
      </c>
    </row>
    <row r="365">
      <c r="A365" s="38" t="inlineStr">
        <is>
          <t>7358ee15-5025-420d-9308-3cfa36f08c8d</t>
        </is>
      </c>
      <c r="B365" s="40" t="n">
        <v>45999</v>
      </c>
      <c r="C365" s="38" t="inlineStr">
        <is>
          <t>Security</t>
        </is>
      </c>
      <c r="D365" s="38" t="inlineStr">
        <is>
          <t>InsureSight</t>
        </is>
      </c>
      <c r="E365" s="38" t="inlineStr">
        <is>
          <t>Data Center Fees</t>
        </is>
      </c>
      <c r="F365" s="38" t="inlineStr">
        <is>
          <t>Datadog Inc.</t>
        </is>
      </c>
      <c r="G365" s="39" t="n">
        <v>1585.49</v>
      </c>
    </row>
    <row r="366">
      <c r="A366" s="36" t="inlineStr">
        <is>
          <t>09e5de7b-3c48-406d-9028-889dce2f2a86</t>
        </is>
      </c>
      <c r="B366" s="41" t="n">
        <v>45919</v>
      </c>
      <c r="C366" s="36" t="inlineStr">
        <is>
          <t>Support</t>
        </is>
      </c>
      <c r="D366" s="36" t="inlineStr">
        <is>
          <t>Affirm</t>
        </is>
      </c>
      <c r="E366" s="36" t="inlineStr">
        <is>
          <t>Professional Fees and Outsourcing Expenses</t>
        </is>
      </c>
      <c r="F366" s="36" t="inlineStr">
        <is>
          <t>Microsoft Corp.</t>
        </is>
      </c>
      <c r="G366" s="37" t="n">
        <v>733.49</v>
      </c>
    </row>
    <row r="367">
      <c r="A367" s="38" t="inlineStr">
        <is>
          <t>73322a45-c3ff-4539-942a-f5cac7d035bd</t>
        </is>
      </c>
      <c r="B367" s="40" t="n">
        <v>45792</v>
      </c>
      <c r="C367" s="38" t="inlineStr">
        <is>
          <t>R&amp;D</t>
        </is>
      </c>
      <c r="D367" s="38" t="inlineStr">
        <is>
          <t>InsureSight</t>
        </is>
      </c>
      <c r="E367" s="38" t="inlineStr">
        <is>
          <t>Connectivity Charges</t>
        </is>
      </c>
      <c r="F367" s="38" t="inlineStr">
        <is>
          <t>Atlassian Inc.</t>
        </is>
      </c>
      <c r="G367" s="39" t="n">
        <v>10317.36</v>
      </c>
    </row>
    <row r="368">
      <c r="A368" s="36" t="inlineStr">
        <is>
          <t>418f5c36-5848-4fa8-ad44-17ff34683d5e</t>
        </is>
      </c>
      <c r="B368" s="41" t="n">
        <v>45727</v>
      </c>
      <c r="C368" s="36" t="inlineStr">
        <is>
          <t>Partners</t>
        </is>
      </c>
      <c r="D368" s="36" t="inlineStr">
        <is>
          <t>InsureSight</t>
        </is>
      </c>
      <c r="E368" s="36" t="inlineStr">
        <is>
          <t>Software and Maintenance Expense</t>
        </is>
      </c>
      <c r="F368" s="36" t="inlineStr">
        <is>
          <t>Datadog Inc.</t>
        </is>
      </c>
      <c r="G368" s="37" t="n">
        <v>14223.86</v>
      </c>
    </row>
    <row r="369">
      <c r="A369" s="38" t="inlineStr">
        <is>
          <t>616740d8-8e3d-44fc-93ed-4785d0c07f33</t>
        </is>
      </c>
      <c r="B369" s="40" t="n">
        <v>45839</v>
      </c>
      <c r="C369" s="38" t="inlineStr">
        <is>
          <t>Security</t>
        </is>
      </c>
      <c r="D369" s="38" t="inlineStr">
        <is>
          <t>Affirm</t>
        </is>
      </c>
      <c r="E369" s="38" t="inlineStr">
        <is>
          <t>Advertising and Promotion Expense</t>
        </is>
      </c>
      <c r="F369" s="38" t="inlineStr">
        <is>
          <t>CrowdStrike Holdings</t>
        </is>
      </c>
      <c r="G369" s="39" t="n">
        <v>11024.45</v>
      </c>
    </row>
    <row r="370">
      <c r="A370" s="36" t="inlineStr">
        <is>
          <t>561bfed2-ad7f-4ebd-ab07-5a926a28bd71</t>
        </is>
      </c>
      <c r="B370" s="41" t="n">
        <v>45947</v>
      </c>
      <c r="C370" s="36" t="inlineStr">
        <is>
          <t>Security</t>
        </is>
      </c>
      <c r="D370" s="36" t="inlineStr">
        <is>
          <t>iGO</t>
        </is>
      </c>
      <c r="E370" s="36" t="inlineStr">
        <is>
          <t>AWS</t>
        </is>
      </c>
      <c r="F370" s="36" t="inlineStr">
        <is>
          <t>Iron Mountain</t>
        </is>
      </c>
      <c r="G370" s="37" t="n">
        <v>9775.58</v>
      </c>
    </row>
    <row r="371">
      <c r="A371" s="38" t="inlineStr">
        <is>
          <t>0971125b-a104-4f52-bccd-436e25e4e109</t>
        </is>
      </c>
      <c r="B371" s="40" t="n">
        <v>45670</v>
      </c>
      <c r="C371" s="38" t="inlineStr">
        <is>
          <t>R&amp;D</t>
        </is>
      </c>
      <c r="D371" s="38" t="inlineStr">
        <is>
          <t>InsureSight</t>
        </is>
      </c>
      <c r="E371" s="38" t="inlineStr">
        <is>
          <t>Overhead Allocation &amp; Chargebacks</t>
        </is>
      </c>
      <c r="F371" s="38" t="inlineStr">
        <is>
          <t>WillisTowersWatson</t>
        </is>
      </c>
      <c r="G371" s="39" t="n">
        <v>776.38</v>
      </c>
    </row>
    <row r="372">
      <c r="A372" s="36" t="inlineStr">
        <is>
          <t>1f16e893-9905-4dc1-a69f-d605bb3c511c</t>
        </is>
      </c>
      <c r="B372" s="41" t="n">
        <v>45679</v>
      </c>
      <c r="C372" s="36" t="inlineStr">
        <is>
          <t>NetOps</t>
        </is>
      </c>
      <c r="D372" s="36" t="inlineStr">
        <is>
          <t>iGO</t>
        </is>
      </c>
      <c r="E372" s="36" t="inlineStr">
        <is>
          <t>Employee Expenses</t>
        </is>
      </c>
      <c r="F372" s="36" t="inlineStr">
        <is>
          <t>Iron Mountain</t>
        </is>
      </c>
      <c r="G372" s="37" t="n">
        <v>1781.06</v>
      </c>
    </row>
    <row r="373">
      <c r="A373" s="38" t="inlineStr">
        <is>
          <t>c4d75f9b-6492-4d07-863e-dbb919911125</t>
        </is>
      </c>
      <c r="B373" s="40" t="n">
        <v>45882</v>
      </c>
      <c r="C373" s="38" t="inlineStr">
        <is>
          <t>NetOps</t>
        </is>
      </c>
      <c r="D373" s="38" t="inlineStr">
        <is>
          <t>InsureSight</t>
        </is>
      </c>
      <c r="E373" s="38" t="inlineStr">
        <is>
          <t>Office Expenses &amp; Rent Allocation</t>
        </is>
      </c>
      <c r="F373" s="38" t="inlineStr">
        <is>
          <t>Iron Mountain</t>
        </is>
      </c>
      <c r="G373" s="39" t="n">
        <v>2339.25</v>
      </c>
    </row>
    <row r="374">
      <c r="A374" s="36" t="inlineStr">
        <is>
          <t>7cf52263-8755-4820-b185-f0b954499ca8</t>
        </is>
      </c>
      <c r="B374" s="41" t="n">
        <v>46013</v>
      </c>
      <c r="C374" s="36" t="inlineStr">
        <is>
          <t>R&amp;D</t>
        </is>
      </c>
      <c r="D374" s="36" t="inlineStr">
        <is>
          <t>iGO</t>
        </is>
      </c>
      <c r="E374" s="36" t="inlineStr">
        <is>
          <t>Data Center Fees</t>
        </is>
      </c>
      <c r="F374" s="36" t="inlineStr">
        <is>
          <t>Zendesk Inc.</t>
        </is>
      </c>
      <c r="G374" s="37" t="n">
        <v>9941.889999999999</v>
      </c>
    </row>
    <row r="375">
      <c r="A375" s="38" t="inlineStr">
        <is>
          <t>a6f1136a-9287-4586-bf1d-62fc72edae3d</t>
        </is>
      </c>
      <c r="B375" s="40" t="n">
        <v>45978</v>
      </c>
      <c r="C375" s="38" t="inlineStr">
        <is>
          <t>Support</t>
        </is>
      </c>
      <c r="D375" s="38" t="inlineStr">
        <is>
          <t>Affirm</t>
        </is>
      </c>
      <c r="E375" s="38" t="inlineStr">
        <is>
          <t>Connectivity Charges</t>
        </is>
      </c>
      <c r="F375" s="38" t="inlineStr">
        <is>
          <t>Microsoft Corp.</t>
        </is>
      </c>
      <c r="G375" s="39" t="n">
        <v>13484.4</v>
      </c>
    </row>
    <row r="376">
      <c r="A376" s="36" t="inlineStr">
        <is>
          <t>2d74b23a-1e55-45cc-b1d2-c41dff94a7d2</t>
        </is>
      </c>
      <c r="B376" s="41" t="n">
        <v>45924</v>
      </c>
      <c r="C376" s="36" t="inlineStr">
        <is>
          <t>Content</t>
        </is>
      </c>
      <c r="D376" s="36" t="inlineStr">
        <is>
          <t>iGO</t>
        </is>
      </c>
      <c r="E376" s="36" t="inlineStr">
        <is>
          <t>Data Center Fees</t>
        </is>
      </c>
      <c r="F376" s="36" t="inlineStr">
        <is>
          <t>Cloudflare Inc.</t>
        </is>
      </c>
      <c r="G376" s="37" t="n">
        <v>11782.16</v>
      </c>
    </row>
    <row r="377">
      <c r="A377" s="38" t="inlineStr">
        <is>
          <t>65b1a551-5e3a-4fe1-a177-8ee8fd00690e</t>
        </is>
      </c>
      <c r="B377" s="40" t="n">
        <v>45876</v>
      </c>
      <c r="C377" s="38" t="inlineStr">
        <is>
          <t>Content</t>
        </is>
      </c>
      <c r="D377" s="38" t="inlineStr">
        <is>
          <t>Affirm</t>
        </is>
      </c>
      <c r="E377" s="38" t="inlineStr">
        <is>
          <t>Data Center Fees</t>
        </is>
      </c>
      <c r="F377" s="38" t="inlineStr">
        <is>
          <t>Microsoft Corp.</t>
        </is>
      </c>
      <c r="G377" s="39" t="n">
        <v>7871.03</v>
      </c>
    </row>
    <row r="378">
      <c r="A378" s="36" t="inlineStr">
        <is>
          <t>c57fd24f-8fcb-4dd6-8930-b48a091805ee</t>
        </is>
      </c>
      <c r="B378" s="41" t="n">
        <v>45759</v>
      </c>
      <c r="C378" s="36" t="inlineStr">
        <is>
          <t>R&amp;D</t>
        </is>
      </c>
      <c r="D378" s="36" t="inlineStr">
        <is>
          <t>DocFast</t>
        </is>
      </c>
      <c r="E378" s="36" t="inlineStr">
        <is>
          <t>Data Center Fees</t>
        </is>
      </c>
      <c r="F378" s="36" t="inlineStr">
        <is>
          <t>Datadog Inc.</t>
        </is>
      </c>
      <c r="G378" s="37" t="n">
        <v>639.12</v>
      </c>
    </row>
    <row r="379">
      <c r="A379" s="38" t="inlineStr">
        <is>
          <t>f29bf23a-b3bc-4028-8565-773f98a25c50</t>
        </is>
      </c>
      <c r="B379" s="40" t="n">
        <v>45876</v>
      </c>
      <c r="C379" s="38" t="inlineStr">
        <is>
          <t>R&amp;D</t>
        </is>
      </c>
      <c r="D379" s="38" t="inlineStr">
        <is>
          <t>DocFast</t>
        </is>
      </c>
      <c r="E379" s="38" t="inlineStr">
        <is>
          <t>AWS</t>
        </is>
      </c>
      <c r="F379" s="38" t="inlineStr">
        <is>
          <t>CrowdStrike Holdings</t>
        </is>
      </c>
      <c r="G379" s="39" t="n">
        <v>90.93000000000001</v>
      </c>
    </row>
    <row r="380">
      <c r="A380" s="36" t="inlineStr">
        <is>
          <t>7b69a7de-8ca6-4db4-8fb3-699532e8d87f</t>
        </is>
      </c>
      <c r="B380" s="41" t="n">
        <v>45964</v>
      </c>
      <c r="C380" s="36" t="inlineStr">
        <is>
          <t>NetOps</t>
        </is>
      </c>
      <c r="D380" s="36" t="inlineStr">
        <is>
          <t>DocFast</t>
        </is>
      </c>
      <c r="E380" s="36" t="inlineStr">
        <is>
          <t>Advertising and Promotion Expense</t>
        </is>
      </c>
      <c r="F380" s="36" t="inlineStr">
        <is>
          <t>Cloudflare Inc.</t>
        </is>
      </c>
      <c r="G380" s="37" t="n">
        <v>11703.92</v>
      </c>
    </row>
    <row r="381">
      <c r="A381" s="38" t="inlineStr">
        <is>
          <t>76f4ee32-ece2-415d-b178-54fc624d6e7a</t>
        </is>
      </c>
      <c r="B381" s="40" t="n">
        <v>45712</v>
      </c>
      <c r="C381" s="38" t="inlineStr">
        <is>
          <t>R&amp;D</t>
        </is>
      </c>
      <c r="D381" s="38" t="inlineStr">
        <is>
          <t>iGO</t>
        </is>
      </c>
      <c r="E381" s="38" t="inlineStr">
        <is>
          <t>Data Center Fees</t>
        </is>
      </c>
      <c r="F381" s="38" t="inlineStr">
        <is>
          <t>Deloitte Consulting</t>
        </is>
      </c>
      <c r="G381" s="39" t="n">
        <v>3505.85</v>
      </c>
    </row>
    <row r="382">
      <c r="A382" s="36" t="inlineStr">
        <is>
          <t>41c5b258-d101-44ff-bd28-f1d814a7ad6a</t>
        </is>
      </c>
      <c r="B382" s="41" t="n">
        <v>45786</v>
      </c>
      <c r="C382" s="36" t="inlineStr">
        <is>
          <t>Partners</t>
        </is>
      </c>
      <c r="D382" s="36" t="inlineStr">
        <is>
          <t>iGO</t>
        </is>
      </c>
      <c r="E382" s="36" t="inlineStr">
        <is>
          <t>Professional Fees and Outsourcing Expenses</t>
        </is>
      </c>
      <c r="F382" s="36" t="inlineStr">
        <is>
          <t>Microsoft Corp.</t>
        </is>
      </c>
      <c r="G382" s="37" t="n">
        <v>2661.79</v>
      </c>
    </row>
    <row r="383">
      <c r="A383" s="38" t="inlineStr">
        <is>
          <t>600a0d05-ef8c-4c61-b1e3-ff3d52ab7921</t>
        </is>
      </c>
      <c r="B383" s="40" t="n">
        <v>45685</v>
      </c>
      <c r="C383" s="38" t="inlineStr">
        <is>
          <t>Support</t>
        </is>
      </c>
      <c r="D383" s="38" t="inlineStr">
        <is>
          <t>InsureSight</t>
        </is>
      </c>
      <c r="E383" s="38" t="inlineStr">
        <is>
          <t>Reselling Expenses</t>
        </is>
      </c>
      <c r="F383" s="38" t="inlineStr">
        <is>
          <t>Salesforce Inc.</t>
        </is>
      </c>
      <c r="G383" s="39" t="n">
        <v>6418.63</v>
      </c>
    </row>
    <row r="384">
      <c r="A384" s="36" t="inlineStr">
        <is>
          <t>ba375013-5b42-4eac-b7d2-0c5b1213fec8</t>
        </is>
      </c>
      <c r="B384" s="41" t="n">
        <v>45692</v>
      </c>
      <c r="C384" s="36" t="inlineStr">
        <is>
          <t>Product Management</t>
        </is>
      </c>
      <c r="D384" s="36" t="inlineStr">
        <is>
          <t>iGO</t>
        </is>
      </c>
      <c r="E384" s="36" t="inlineStr">
        <is>
          <t>Employee Expenses</t>
        </is>
      </c>
      <c r="F384" s="36" t="inlineStr">
        <is>
          <t>Microsoft Corp.</t>
        </is>
      </c>
      <c r="G384" s="37" t="n">
        <v>2119</v>
      </c>
    </row>
    <row r="385">
      <c r="A385" s="38" t="inlineStr">
        <is>
          <t>4779b658-a4c8-4b63-94f9-08aa7ec3b05c</t>
        </is>
      </c>
      <c r="B385" s="40" t="n">
        <v>45967</v>
      </c>
      <c r="C385" s="38" t="inlineStr">
        <is>
          <t>Support</t>
        </is>
      </c>
      <c r="D385" s="38" t="inlineStr">
        <is>
          <t>InsureSight</t>
        </is>
      </c>
      <c r="E385" s="38" t="inlineStr">
        <is>
          <t>Office Expenses &amp; Rent Allocation</t>
        </is>
      </c>
      <c r="F385" s="38" t="inlineStr">
        <is>
          <t>WillisTowersWatson</t>
        </is>
      </c>
      <c r="G385" s="39" t="n">
        <v>4061.23</v>
      </c>
    </row>
    <row r="386">
      <c r="A386" s="36" t="inlineStr">
        <is>
          <t>bfa57840-efb7-47df-a1f5-a3d29c601e66</t>
        </is>
      </c>
      <c r="B386" s="41" t="n">
        <v>45994</v>
      </c>
      <c r="C386" s="36" t="inlineStr">
        <is>
          <t>Support</t>
        </is>
      </c>
      <c r="D386" s="36" t="inlineStr">
        <is>
          <t>InsureSight</t>
        </is>
      </c>
      <c r="E386" s="36" t="inlineStr">
        <is>
          <t>Advertising and Promotion Expense</t>
        </is>
      </c>
      <c r="F386" s="36" t="inlineStr">
        <is>
          <t>Cloudflare Inc.</t>
        </is>
      </c>
      <c r="G386" s="37" t="n">
        <v>6041.62</v>
      </c>
    </row>
    <row r="387">
      <c r="A387" s="38" t="inlineStr">
        <is>
          <t>bbc60cc6-9e47-4c04-b848-c81f9c857d7e</t>
        </is>
      </c>
      <c r="B387" s="40" t="n">
        <v>45878</v>
      </c>
      <c r="C387" s="38" t="inlineStr">
        <is>
          <t>Product Management</t>
        </is>
      </c>
      <c r="D387" s="38" t="inlineStr">
        <is>
          <t>DocFast</t>
        </is>
      </c>
      <c r="E387" s="38" t="inlineStr">
        <is>
          <t>Office Expenses &amp; Rent Allocation</t>
        </is>
      </c>
      <c r="F387" s="38" t="inlineStr">
        <is>
          <t>Adobe Systems</t>
        </is>
      </c>
      <c r="G387" s="39" t="n">
        <v>6355.01</v>
      </c>
    </row>
    <row r="388">
      <c r="A388" s="36" t="inlineStr">
        <is>
          <t>947c3b72-39da-4c07-8a98-77e2b0c64c15</t>
        </is>
      </c>
      <c r="B388" s="41" t="n">
        <v>45720</v>
      </c>
      <c r="C388" s="36" t="inlineStr">
        <is>
          <t>Security</t>
        </is>
      </c>
      <c r="D388" s="36" t="inlineStr">
        <is>
          <t>iGO</t>
        </is>
      </c>
      <c r="E388" s="36" t="inlineStr">
        <is>
          <t>Advertising and Promotion Expense</t>
        </is>
      </c>
      <c r="F388" s="36" t="inlineStr">
        <is>
          <t>Cloudflare Inc.</t>
        </is>
      </c>
      <c r="G388" s="37" t="n">
        <v>6269.61</v>
      </c>
    </row>
    <row r="389">
      <c r="A389" s="38" t="inlineStr">
        <is>
          <t>40a8a80d-25a6-4fa5-ab09-b88496c0e57b</t>
        </is>
      </c>
      <c r="B389" s="40" t="n">
        <v>45946</v>
      </c>
      <c r="C389" s="38" t="inlineStr">
        <is>
          <t>Product Management</t>
        </is>
      </c>
      <c r="D389" s="38" t="inlineStr">
        <is>
          <t>DocFast</t>
        </is>
      </c>
      <c r="E389" s="38" t="inlineStr">
        <is>
          <t>Advertising and Promotion Expense</t>
        </is>
      </c>
      <c r="F389" s="38" t="inlineStr">
        <is>
          <t>WillisTowersWatson</t>
        </is>
      </c>
      <c r="G389" s="39" t="n">
        <v>5727.27</v>
      </c>
    </row>
    <row r="390">
      <c r="A390" s="36" t="inlineStr">
        <is>
          <t>5f8422ce-7981-4778-a707-36d3fa47429d</t>
        </is>
      </c>
      <c r="B390" s="41" t="n">
        <v>45828</v>
      </c>
      <c r="C390" s="36" t="inlineStr">
        <is>
          <t>NetOps</t>
        </is>
      </c>
      <c r="D390" s="36" t="inlineStr">
        <is>
          <t>Affirm</t>
        </is>
      </c>
      <c r="E390" s="36" t="inlineStr">
        <is>
          <t>Office Expenses &amp; Rent Allocation</t>
        </is>
      </c>
      <c r="F390" s="36" t="inlineStr">
        <is>
          <t>Atlassian Inc.</t>
        </is>
      </c>
      <c r="G390" s="37" t="n">
        <v>7347.44</v>
      </c>
    </row>
    <row r="391">
      <c r="A391" s="38" t="inlineStr">
        <is>
          <t>e6b8d6d9-615d-40d3-a57c-0c16a23f04fc</t>
        </is>
      </c>
      <c r="B391" s="40" t="n">
        <v>45853</v>
      </c>
      <c r="C391" s="38" t="inlineStr">
        <is>
          <t>NetOps</t>
        </is>
      </c>
      <c r="D391" s="38" t="inlineStr">
        <is>
          <t>iGO</t>
        </is>
      </c>
      <c r="E391" s="38" t="inlineStr">
        <is>
          <t>Data Center Fees</t>
        </is>
      </c>
      <c r="F391" s="38" t="inlineStr">
        <is>
          <t>Deloitte Consulting</t>
        </is>
      </c>
      <c r="G391" s="39" t="n">
        <v>4747.86</v>
      </c>
    </row>
    <row r="392">
      <c r="A392" s="36" t="inlineStr">
        <is>
          <t>57bcb08e-554f-4b57-926a-d88ae85fa85c</t>
        </is>
      </c>
      <c r="B392" s="41" t="n">
        <v>46019</v>
      </c>
      <c r="C392" s="36" t="inlineStr">
        <is>
          <t>R&amp;D</t>
        </is>
      </c>
      <c r="D392" s="36" t="inlineStr">
        <is>
          <t>Affirm</t>
        </is>
      </c>
      <c r="E392" s="36" t="inlineStr">
        <is>
          <t>Reselling Expenses</t>
        </is>
      </c>
      <c r="F392" s="36" t="inlineStr">
        <is>
          <t>Microsoft Corp.</t>
        </is>
      </c>
      <c r="G392" s="37" t="n">
        <v>5107.59</v>
      </c>
    </row>
    <row r="393">
      <c r="A393" s="38" t="inlineStr">
        <is>
          <t>d00147ff-b878-4487-94d2-2c419a5fb99c</t>
        </is>
      </c>
      <c r="B393" s="40" t="n">
        <v>45923</v>
      </c>
      <c r="C393" s="38" t="inlineStr">
        <is>
          <t>R&amp;D</t>
        </is>
      </c>
      <c r="D393" s="38" t="inlineStr">
        <is>
          <t>iGO</t>
        </is>
      </c>
      <c r="E393" s="38" t="inlineStr">
        <is>
          <t>Connectivity Charges</t>
        </is>
      </c>
      <c r="F393" s="38" t="inlineStr">
        <is>
          <t>Deloitte Consulting</t>
        </is>
      </c>
      <c r="G393" s="39" t="n">
        <v>10913.45</v>
      </c>
    </row>
    <row r="394">
      <c r="A394" s="36" t="inlineStr">
        <is>
          <t>31aca1d2-d8a7-4a0b-a481-bff18e4a7571</t>
        </is>
      </c>
      <c r="B394" s="41" t="n">
        <v>45881</v>
      </c>
      <c r="C394" s="36" t="inlineStr">
        <is>
          <t>R&amp;D</t>
        </is>
      </c>
      <c r="D394" s="36" t="inlineStr">
        <is>
          <t>DocFast</t>
        </is>
      </c>
      <c r="E394" s="36" t="inlineStr">
        <is>
          <t>Advertising and Promotion Expense</t>
        </is>
      </c>
      <c r="F394" s="36" t="inlineStr">
        <is>
          <t>Microsoft Corp.</t>
        </is>
      </c>
      <c r="G394" s="37" t="n">
        <v>12405.25</v>
      </c>
    </row>
    <row r="395">
      <c r="A395" s="38" t="inlineStr">
        <is>
          <t>459c6973-b034-4130-97e5-83ecfa112f1b</t>
        </is>
      </c>
      <c r="B395" s="40" t="n">
        <v>45932</v>
      </c>
      <c r="C395" s="38" t="inlineStr">
        <is>
          <t>NetOps</t>
        </is>
      </c>
      <c r="D395" s="38" t="inlineStr">
        <is>
          <t>Affirm</t>
        </is>
      </c>
      <c r="E395" s="38" t="inlineStr">
        <is>
          <t>Overhead Allocation &amp; Chargebacks</t>
        </is>
      </c>
      <c r="F395" s="38" t="inlineStr">
        <is>
          <t>Microsoft Corp.</t>
        </is>
      </c>
      <c r="G395" s="39" t="n">
        <v>7065.87</v>
      </c>
    </row>
    <row r="396">
      <c r="A396" s="36" t="inlineStr">
        <is>
          <t>600ed5dd-1f7d-4498-a539-bd2b54180d67</t>
        </is>
      </c>
      <c r="B396" s="41" t="n">
        <v>45897</v>
      </c>
      <c r="C396" s="36" t="inlineStr">
        <is>
          <t>Security</t>
        </is>
      </c>
      <c r="D396" s="36" t="inlineStr">
        <is>
          <t>iGO</t>
        </is>
      </c>
      <c r="E396" s="36" t="inlineStr">
        <is>
          <t>Office Expenses &amp; Rent Allocation</t>
        </is>
      </c>
      <c r="F396" s="36" t="inlineStr">
        <is>
          <t>Salesforce Inc.</t>
        </is>
      </c>
      <c r="G396" s="37" t="n">
        <v>3651.33</v>
      </c>
    </row>
    <row r="397">
      <c r="A397" s="38" t="inlineStr">
        <is>
          <t>8350a232-1afc-4809-b698-cbb3632df2f3</t>
        </is>
      </c>
      <c r="B397" s="40" t="n">
        <v>45779</v>
      </c>
      <c r="C397" s="38" t="inlineStr">
        <is>
          <t>Content</t>
        </is>
      </c>
      <c r="D397" s="38" t="inlineStr">
        <is>
          <t>Affirm</t>
        </is>
      </c>
      <c r="E397" s="38" t="inlineStr">
        <is>
          <t>Overhead Allocation &amp; Chargebacks</t>
        </is>
      </c>
      <c r="F397" s="38" t="inlineStr">
        <is>
          <t>Deloitte Consulting</t>
        </is>
      </c>
      <c r="G397" s="39" t="n">
        <v>5710.63</v>
      </c>
    </row>
    <row r="398">
      <c r="A398" s="36" t="inlineStr">
        <is>
          <t>d465dad9-bd1a-47b7-a28c-525583cb2a3b</t>
        </is>
      </c>
      <c r="B398" s="41" t="n">
        <v>45750</v>
      </c>
      <c r="C398" s="36" t="inlineStr">
        <is>
          <t>Partners</t>
        </is>
      </c>
      <c r="D398" s="36" t="inlineStr">
        <is>
          <t>DocFast</t>
        </is>
      </c>
      <c r="E398" s="36" t="inlineStr">
        <is>
          <t>Other</t>
        </is>
      </c>
      <c r="F398" s="36" t="inlineStr">
        <is>
          <t>Accenture LLP</t>
        </is>
      </c>
      <c r="G398" s="37" t="n">
        <v>1365.9</v>
      </c>
    </row>
    <row r="399">
      <c r="A399" s="38" t="inlineStr">
        <is>
          <t>4d7a8171-8d31-44eb-9546-56dc19c439ed</t>
        </is>
      </c>
      <c r="B399" s="40" t="n">
        <v>45884</v>
      </c>
      <c r="C399" s="38" t="inlineStr">
        <is>
          <t>Support</t>
        </is>
      </c>
      <c r="D399" s="38" t="inlineStr">
        <is>
          <t>iGO</t>
        </is>
      </c>
      <c r="E399" s="38" t="inlineStr">
        <is>
          <t>Office Expenses &amp; Rent Allocation</t>
        </is>
      </c>
      <c r="F399" s="38" t="inlineStr">
        <is>
          <t>Iron Mountain</t>
        </is>
      </c>
      <c r="G399" s="39" t="n">
        <v>9817.93</v>
      </c>
    </row>
    <row r="400">
      <c r="A400" s="36" t="inlineStr">
        <is>
          <t>f24b7a76-e314-410f-81b3-bcb6865f56b2</t>
        </is>
      </c>
      <c r="B400" s="41" t="n">
        <v>45701</v>
      </c>
      <c r="C400" s="36" t="inlineStr">
        <is>
          <t>Partners</t>
        </is>
      </c>
      <c r="D400" s="36" t="inlineStr">
        <is>
          <t>iGO</t>
        </is>
      </c>
      <c r="E400" s="36" t="inlineStr">
        <is>
          <t>Overhead Allocation &amp; Chargebacks</t>
        </is>
      </c>
      <c r="F400" s="36" t="inlineStr">
        <is>
          <t>Cognizant Technology</t>
        </is>
      </c>
      <c r="G400" s="37" t="n">
        <v>52.54</v>
      </c>
    </row>
    <row r="401">
      <c r="A401" s="38" t="inlineStr">
        <is>
          <t>d98ad0a3-49e8-43a0-95eb-518b6a13c567</t>
        </is>
      </c>
      <c r="B401" s="40" t="n">
        <v>45714</v>
      </c>
      <c r="C401" s="38" t="inlineStr">
        <is>
          <t>Content</t>
        </is>
      </c>
      <c r="D401" s="38" t="inlineStr">
        <is>
          <t>InsureSight</t>
        </is>
      </c>
      <c r="E401" s="38" t="inlineStr">
        <is>
          <t>Overhead Allocation &amp; Chargebacks</t>
        </is>
      </c>
      <c r="F401" s="38" t="inlineStr">
        <is>
          <t>Cognizant Technology</t>
        </is>
      </c>
      <c r="G401" s="39" t="n">
        <v>3142.43</v>
      </c>
    </row>
    <row r="402">
      <c r="A402" s="36" t="inlineStr">
        <is>
          <t>d9c8381d-e82e-4950-b744-03e2b8994f53</t>
        </is>
      </c>
      <c r="B402" s="41" t="n">
        <v>45976</v>
      </c>
      <c r="C402" s="36" t="inlineStr">
        <is>
          <t>Support</t>
        </is>
      </c>
      <c r="D402" s="36" t="inlineStr">
        <is>
          <t>InsureSight</t>
        </is>
      </c>
      <c r="E402" s="36" t="inlineStr">
        <is>
          <t>Employee Expenses</t>
        </is>
      </c>
      <c r="F402" s="36" t="inlineStr">
        <is>
          <t>Microsoft Corp.</t>
        </is>
      </c>
      <c r="G402" s="37" t="n">
        <v>3382.63</v>
      </c>
    </row>
    <row r="403">
      <c r="A403" s="38" t="inlineStr">
        <is>
          <t>ce6d6e66-75ab-4f20-99a4-5f419180a691</t>
        </is>
      </c>
      <c r="B403" s="40" t="n">
        <v>45880</v>
      </c>
      <c r="C403" s="38" t="inlineStr">
        <is>
          <t>Content</t>
        </is>
      </c>
      <c r="D403" s="38" t="inlineStr">
        <is>
          <t>DocFast</t>
        </is>
      </c>
      <c r="E403" s="38" t="inlineStr">
        <is>
          <t>Reselling Expenses</t>
        </is>
      </c>
      <c r="F403" s="38" t="inlineStr">
        <is>
          <t>Salesforce Inc.</t>
        </is>
      </c>
      <c r="G403" s="39" t="n">
        <v>10752.91</v>
      </c>
    </row>
    <row r="404">
      <c r="A404" s="36" t="inlineStr">
        <is>
          <t>0eefb884-290a-44c0-af67-7686c91914d4</t>
        </is>
      </c>
      <c r="B404" s="41" t="n">
        <v>45692</v>
      </c>
      <c r="C404" s="36" t="inlineStr">
        <is>
          <t>Product Management</t>
        </is>
      </c>
      <c r="D404" s="36" t="inlineStr">
        <is>
          <t>Affirm</t>
        </is>
      </c>
      <c r="E404" s="36" t="inlineStr">
        <is>
          <t>Employee Expenses</t>
        </is>
      </c>
      <c r="F404" s="36" t="inlineStr">
        <is>
          <t>Salesforce Inc.</t>
        </is>
      </c>
      <c r="G404" s="37" t="n">
        <v>5359.33</v>
      </c>
    </row>
    <row r="405">
      <c r="A405" s="38" t="inlineStr">
        <is>
          <t>950c8b82-aa38-43f3-a7ff-470caf88b23c</t>
        </is>
      </c>
      <c r="B405" s="40" t="n">
        <v>45987</v>
      </c>
      <c r="C405" s="38" t="inlineStr">
        <is>
          <t>Support</t>
        </is>
      </c>
      <c r="D405" s="38" t="inlineStr">
        <is>
          <t>InsureSight</t>
        </is>
      </c>
      <c r="E405" s="38" t="inlineStr">
        <is>
          <t>Professional Fees and Outsourcing Expenses</t>
        </is>
      </c>
      <c r="F405" s="38" t="inlineStr">
        <is>
          <t>Amazon Web Services</t>
        </is>
      </c>
      <c r="G405" s="39" t="n">
        <v>13458.31</v>
      </c>
    </row>
    <row r="406">
      <c r="A406" s="36" t="inlineStr">
        <is>
          <t>20df3da7-a1e3-46f5-993f-4de76135a82e</t>
        </is>
      </c>
      <c r="B406" s="41" t="n">
        <v>45874</v>
      </c>
      <c r="C406" s="36" t="inlineStr">
        <is>
          <t>Product Management</t>
        </is>
      </c>
      <c r="D406" s="36" t="inlineStr">
        <is>
          <t>DocFast</t>
        </is>
      </c>
      <c r="E406" s="36" t="inlineStr">
        <is>
          <t>Professional Fees and Outsourcing Expenses</t>
        </is>
      </c>
      <c r="F406" s="36" t="inlineStr">
        <is>
          <t>Palo Alto Networks</t>
        </is>
      </c>
      <c r="G406" s="37" t="n">
        <v>9182.23</v>
      </c>
    </row>
    <row r="407">
      <c r="A407" s="38" t="inlineStr">
        <is>
          <t>2461ab62-8ec1-4468-9424-48ee82a6f404</t>
        </is>
      </c>
      <c r="B407" s="40" t="n">
        <v>45751</v>
      </c>
      <c r="C407" s="38" t="inlineStr">
        <is>
          <t>Product Management</t>
        </is>
      </c>
      <c r="D407" s="38" t="inlineStr">
        <is>
          <t>DocFast</t>
        </is>
      </c>
      <c r="E407" s="38" t="inlineStr">
        <is>
          <t>Software and Maintenance Expense</t>
        </is>
      </c>
      <c r="F407" s="38" t="inlineStr">
        <is>
          <t>Accenture LLP</t>
        </is>
      </c>
      <c r="G407" s="39" t="n">
        <v>12377.08</v>
      </c>
    </row>
    <row r="408">
      <c r="A408" s="36" t="inlineStr">
        <is>
          <t>cd54a09e-ba16-4671-b38a-97a1dcf0bb04</t>
        </is>
      </c>
      <c r="B408" s="41" t="n">
        <v>45770</v>
      </c>
      <c r="C408" s="36" t="inlineStr">
        <is>
          <t>Support</t>
        </is>
      </c>
      <c r="D408" s="36" t="inlineStr">
        <is>
          <t>iGO</t>
        </is>
      </c>
      <c r="E408" s="36" t="inlineStr">
        <is>
          <t>Connectivity Charges</t>
        </is>
      </c>
      <c r="F408" s="36" t="inlineStr">
        <is>
          <t>Amazon Web Services</t>
        </is>
      </c>
      <c r="G408" s="37" t="n">
        <v>13903.07</v>
      </c>
    </row>
    <row r="409">
      <c r="A409" s="38" t="inlineStr">
        <is>
          <t>e6a9eefa-92f2-46ff-b8bc-40261eca43e8</t>
        </is>
      </c>
      <c r="B409" s="40" t="n">
        <v>45980</v>
      </c>
      <c r="C409" s="38" t="inlineStr">
        <is>
          <t>NetOps</t>
        </is>
      </c>
      <c r="D409" s="38" t="inlineStr">
        <is>
          <t>DocFast</t>
        </is>
      </c>
      <c r="E409" s="38" t="inlineStr">
        <is>
          <t>Office Expenses &amp; Rent Allocation</t>
        </is>
      </c>
      <c r="F409" s="38" t="inlineStr">
        <is>
          <t>Deloitte Consulting</t>
        </is>
      </c>
      <c r="G409" s="39" t="n">
        <v>8860.280000000001</v>
      </c>
    </row>
    <row r="410">
      <c r="A410" s="36" t="inlineStr">
        <is>
          <t>d6f6e5c5-dab8-4088-b99f-4bc2ac99767d</t>
        </is>
      </c>
      <c r="B410" s="41" t="n">
        <v>45905</v>
      </c>
      <c r="C410" s="36" t="inlineStr">
        <is>
          <t>Partners</t>
        </is>
      </c>
      <c r="D410" s="36" t="inlineStr">
        <is>
          <t>iGO</t>
        </is>
      </c>
      <c r="E410" s="36" t="inlineStr">
        <is>
          <t>Overhead Allocation &amp; Chargebacks</t>
        </is>
      </c>
      <c r="F410" s="36" t="inlineStr">
        <is>
          <t>Iron Mountain</t>
        </is>
      </c>
      <c r="G410" s="37" t="n">
        <v>776.15</v>
      </c>
    </row>
    <row r="411">
      <c r="A411" s="38" t="inlineStr">
        <is>
          <t>630c62d6-ce07-4ddd-b553-4c8ea3dec878</t>
        </is>
      </c>
      <c r="B411" s="40" t="n">
        <v>45865</v>
      </c>
      <c r="C411" s="38" t="inlineStr">
        <is>
          <t>Content</t>
        </is>
      </c>
      <c r="D411" s="38" t="inlineStr">
        <is>
          <t>DocFast</t>
        </is>
      </c>
      <c r="E411" s="38" t="inlineStr">
        <is>
          <t>Overhead Allocation &amp; Chargebacks</t>
        </is>
      </c>
      <c r="F411" s="38" t="inlineStr">
        <is>
          <t>Adobe Systems</t>
        </is>
      </c>
      <c r="G411" s="39" t="inlineStr">
        <is>
          <t>13821.38</t>
        </is>
      </c>
    </row>
    <row r="412">
      <c r="A412" s="36" t="inlineStr">
        <is>
          <t>7a9d0175-d3a3-4217-81f6-a423918622de</t>
        </is>
      </c>
      <c r="B412" s="41" t="n">
        <v>45739</v>
      </c>
      <c r="C412" s="36" t="inlineStr">
        <is>
          <t>Content</t>
        </is>
      </c>
      <c r="D412" s="36" t="inlineStr">
        <is>
          <t>Affirm</t>
        </is>
      </c>
      <c r="E412" s="36" t="inlineStr">
        <is>
          <t>Advertising and Promotion Expense</t>
        </is>
      </c>
      <c r="F412" s="36" t="inlineStr">
        <is>
          <t>Cloudflare Inc.</t>
        </is>
      </c>
      <c r="G412" s="37" t="n">
        <v>5841.71</v>
      </c>
    </row>
    <row r="413">
      <c r="A413" s="38" t="inlineStr">
        <is>
          <t>2a01f921-645b-4605-a378-88f1598bf194</t>
        </is>
      </c>
      <c r="B413" s="40" t="n">
        <v>45950</v>
      </c>
      <c r="C413" s="38" t="inlineStr">
        <is>
          <t>Support</t>
        </is>
      </c>
      <c r="D413" s="38" t="inlineStr">
        <is>
          <t>DocFast</t>
        </is>
      </c>
      <c r="E413" s="38" t="inlineStr">
        <is>
          <t>Connectivity Charges</t>
        </is>
      </c>
      <c r="F413" s="38" t="inlineStr">
        <is>
          <t>WillisTowersWatson</t>
        </is>
      </c>
      <c r="G413" s="39" t="n">
        <v>13742.86</v>
      </c>
    </row>
    <row r="414">
      <c r="A414" s="36" t="inlineStr">
        <is>
          <t>42bf0807-b748-4ec4-8ada-e625a81d27e9</t>
        </is>
      </c>
      <c r="B414" s="41" t="n">
        <v>45756</v>
      </c>
      <c r="C414" s="36" t="inlineStr">
        <is>
          <t>Partners</t>
        </is>
      </c>
      <c r="D414" s="36" t="inlineStr">
        <is>
          <t>InsureSight</t>
        </is>
      </c>
      <c r="E414" s="36" t="inlineStr">
        <is>
          <t>Data Center Fees</t>
        </is>
      </c>
      <c r="F414" s="36" t="inlineStr">
        <is>
          <t>Accenture LLP</t>
        </is>
      </c>
      <c r="G414" s="37" t="n">
        <v>12081.71</v>
      </c>
    </row>
    <row r="415">
      <c r="A415" s="38" t="inlineStr">
        <is>
          <t>43acad3a-a430-4e4e-98c4-0001a69f83c7</t>
        </is>
      </c>
      <c r="B415" s="40" t="n">
        <v>45730</v>
      </c>
      <c r="C415" s="38" t="inlineStr">
        <is>
          <t>Content</t>
        </is>
      </c>
      <c r="D415" s="38" t="inlineStr">
        <is>
          <t>InsureSight</t>
        </is>
      </c>
      <c r="E415" s="38" t="inlineStr">
        <is>
          <t>Overhead Allocation &amp; Chargebacks</t>
        </is>
      </c>
      <c r="F415" s="38" t="inlineStr">
        <is>
          <t>Microsoft Corp.</t>
        </is>
      </c>
      <c r="G415" s="39" t="n">
        <v>4742.97</v>
      </c>
    </row>
    <row r="416">
      <c r="A416" s="36" t="inlineStr">
        <is>
          <t>80ef8a0b-6303-44a4-bd4d-7bc54a33d0a6</t>
        </is>
      </c>
      <c r="B416" s="41" t="n">
        <v>46009</v>
      </c>
      <c r="C416" s="36" t="inlineStr">
        <is>
          <t>R&amp;D</t>
        </is>
      </c>
      <c r="D416" s="36" t="inlineStr">
        <is>
          <t>Affirm</t>
        </is>
      </c>
      <c r="E416" s="36" t="inlineStr">
        <is>
          <t>Software and Maintenance Expense</t>
        </is>
      </c>
      <c r="F416" s="36" t="inlineStr">
        <is>
          <t>CrowdStrike Holdings</t>
        </is>
      </c>
      <c r="G416" s="37" t="n">
        <v>9381.309999999999</v>
      </c>
    </row>
    <row r="417">
      <c r="A417" s="38" t="inlineStr">
        <is>
          <t>d7929933-4c1e-4ca9-9d15-0e5ffe32a04d</t>
        </is>
      </c>
      <c r="B417" s="40" t="n">
        <v>45799</v>
      </c>
      <c r="C417" s="38" t="inlineStr">
        <is>
          <t>Support</t>
        </is>
      </c>
      <c r="D417" s="38" t="inlineStr">
        <is>
          <t>Affirm</t>
        </is>
      </c>
      <c r="E417" s="38" t="inlineStr">
        <is>
          <t>Reselling Expenses</t>
        </is>
      </c>
      <c r="F417" s="38" t="inlineStr">
        <is>
          <t>Datadog Inc.</t>
        </is>
      </c>
      <c r="G417" s="39" t="n">
        <v>7583.21</v>
      </c>
    </row>
    <row r="418">
      <c r="A418" s="36" t="inlineStr">
        <is>
          <t>499ae31a-591a-4025-b6c6-3ecefa95d889</t>
        </is>
      </c>
      <c r="B418" s="41" t="n">
        <v>46012</v>
      </c>
      <c r="C418" s="36" t="inlineStr">
        <is>
          <t>Support</t>
        </is>
      </c>
      <c r="D418" s="36" t="inlineStr">
        <is>
          <t>iGO</t>
        </is>
      </c>
      <c r="E418" s="36" t="inlineStr">
        <is>
          <t>AWS</t>
        </is>
      </c>
      <c r="F418" s="36" t="inlineStr">
        <is>
          <t>Cognizant Technology</t>
        </is>
      </c>
      <c r="G418" s="37" t="n">
        <v>7231.53</v>
      </c>
    </row>
    <row r="419">
      <c r="A419" s="38" t="inlineStr">
        <is>
          <t>45547bae-2a39-44a6-aff4-1b62e2066854</t>
        </is>
      </c>
      <c r="B419" s="40" t="n">
        <v>45952</v>
      </c>
      <c r="C419" s="38" t="inlineStr">
        <is>
          <t>R&amp;D</t>
        </is>
      </c>
      <c r="D419" s="38" t="inlineStr">
        <is>
          <t>DocFast</t>
        </is>
      </c>
      <c r="E419" s="38" t="inlineStr">
        <is>
          <t>Reselling Expenses</t>
        </is>
      </c>
      <c r="F419" s="38" t="inlineStr">
        <is>
          <t>Iron Mountain</t>
        </is>
      </c>
      <c r="G419" s="39" t="n">
        <v>13413.3</v>
      </c>
    </row>
    <row r="420">
      <c r="A420" s="36" t="inlineStr">
        <is>
          <t>3cf881d1-f26c-4210-89dc-944500a7e1d5</t>
        </is>
      </c>
      <c r="B420" s="41" t="n">
        <v>45910</v>
      </c>
      <c r="C420" s="36" t="inlineStr">
        <is>
          <t>Product Management</t>
        </is>
      </c>
      <c r="D420" s="36" t="inlineStr">
        <is>
          <t>DocFast</t>
        </is>
      </c>
      <c r="E420" s="36" t="inlineStr">
        <is>
          <t>Employee Expenses</t>
        </is>
      </c>
      <c r="F420" s="36" t="inlineStr">
        <is>
          <t>Cognizant Technology</t>
        </is>
      </c>
      <c r="G420" s="37" t="n">
        <v>1641.73</v>
      </c>
    </row>
    <row r="421">
      <c r="A421" s="38" t="inlineStr">
        <is>
          <t>0fdeb4a2-82c3-450f-84ab-527d71f7af78</t>
        </is>
      </c>
      <c r="B421" s="40" t="n">
        <v>45843</v>
      </c>
      <c r="C421" s="38" t="inlineStr">
        <is>
          <t>NetOps</t>
        </is>
      </c>
      <c r="D421" s="38" t="inlineStr">
        <is>
          <t>iGO</t>
        </is>
      </c>
      <c r="E421" s="38" t="inlineStr">
        <is>
          <t>Software and Maintenance Expense</t>
        </is>
      </c>
      <c r="F421" s="38" t="inlineStr">
        <is>
          <t>Palo Alto Networks</t>
        </is>
      </c>
      <c r="G421" s="39" t="n">
        <v>11265.27</v>
      </c>
    </row>
    <row r="422">
      <c r="A422" s="36" t="inlineStr">
        <is>
          <t>444219d7-f6b1-4e87-bb7f-eeee6ce87a73</t>
        </is>
      </c>
      <c r="B422" s="41" t="n">
        <v>45726</v>
      </c>
      <c r="C422" s="36" t="inlineStr">
        <is>
          <t>R&amp;D</t>
        </is>
      </c>
      <c r="D422" s="36" t="inlineStr">
        <is>
          <t>InsureSight</t>
        </is>
      </c>
      <c r="E422" s="36" t="inlineStr">
        <is>
          <t>Advertising and Promotion Expense</t>
        </is>
      </c>
      <c r="F422" s="36" t="inlineStr">
        <is>
          <t>Microsoft Corp.</t>
        </is>
      </c>
      <c r="G422" s="37" t="n">
        <v>977.39</v>
      </c>
    </row>
    <row r="423">
      <c r="A423" s="38" t="inlineStr">
        <is>
          <t>af027ff1-17ef-418e-a0b6-caac8f4c6ae6</t>
        </is>
      </c>
      <c r="B423" s="40" t="n">
        <v>45784</v>
      </c>
      <c r="C423" s="38" t="inlineStr">
        <is>
          <t>Product Management</t>
        </is>
      </c>
      <c r="D423" s="38" t="inlineStr">
        <is>
          <t>iGO</t>
        </is>
      </c>
      <c r="E423" s="38" t="inlineStr">
        <is>
          <t>AWS</t>
        </is>
      </c>
      <c r="F423" s="38" t="inlineStr">
        <is>
          <t>Microsoft Corp.</t>
        </is>
      </c>
      <c r="G423" s="39" t="n">
        <v>6816.29</v>
      </c>
    </row>
    <row r="424">
      <c r="A424" s="36" t="inlineStr">
        <is>
          <t>47535baa-dc61-4ede-bdb2-f698fed55335</t>
        </is>
      </c>
      <c r="B424" s="41" t="n">
        <v>45958</v>
      </c>
      <c r="C424" s="36" t="inlineStr">
        <is>
          <t>R&amp;D</t>
        </is>
      </c>
      <c r="D424" s="36" t="inlineStr">
        <is>
          <t>Affirm</t>
        </is>
      </c>
      <c r="E424" s="36" t="inlineStr">
        <is>
          <t>Reselling Expenses</t>
        </is>
      </c>
      <c r="F424" s="36" t="inlineStr">
        <is>
          <t>Cognizant Technology</t>
        </is>
      </c>
      <c r="G424" s="37" t="n">
        <v>5863.86</v>
      </c>
    </row>
    <row r="425">
      <c r="A425" s="38" t="inlineStr">
        <is>
          <t>794fbf91-cef8-4d2e-9e12-6be223f1b4db</t>
        </is>
      </c>
      <c r="B425" s="40" t="n">
        <v>45926</v>
      </c>
      <c r="C425" s="38" t="inlineStr">
        <is>
          <t>Product Management</t>
        </is>
      </c>
      <c r="D425" s="38" t="inlineStr">
        <is>
          <t>InsureSight</t>
        </is>
      </c>
      <c r="E425" s="38" t="inlineStr">
        <is>
          <t>Reselling Expenses</t>
        </is>
      </c>
      <c r="F425" s="38" t="inlineStr">
        <is>
          <t>Amazon Web Services</t>
        </is>
      </c>
      <c r="G425" s="39" t="n">
        <v>13900.95</v>
      </c>
    </row>
    <row r="426">
      <c r="A426" s="36" t="inlineStr">
        <is>
          <t>d95f27c9-c990-4431-b7f7-01b5fb35eb71</t>
        </is>
      </c>
      <c r="B426" s="41" t="n">
        <v>45852</v>
      </c>
      <c r="C426" s="36" t="inlineStr">
        <is>
          <t>Product Management</t>
        </is>
      </c>
      <c r="D426" s="36" t="inlineStr">
        <is>
          <t>InsureSight</t>
        </is>
      </c>
      <c r="E426" s="36" t="inlineStr">
        <is>
          <t>Overhead Allocation &amp; Chargebacks</t>
        </is>
      </c>
      <c r="F426" s="36" t="inlineStr">
        <is>
          <t>Amazon Web Services</t>
        </is>
      </c>
      <c r="G426" s="37" t="n">
        <v>243.83</v>
      </c>
    </row>
    <row r="427">
      <c r="A427" s="38" t="inlineStr">
        <is>
          <t>28c6a28f-65c9-40ea-9b6c-3f7f0280357c</t>
        </is>
      </c>
      <c r="B427" s="40" t="n">
        <v>45784</v>
      </c>
      <c r="C427" s="38" t="inlineStr">
        <is>
          <t>Content</t>
        </is>
      </c>
      <c r="D427" s="38" t="inlineStr">
        <is>
          <t>DocFast</t>
        </is>
      </c>
      <c r="E427" s="38" t="inlineStr">
        <is>
          <t>Software and Maintenance Expense</t>
        </is>
      </c>
      <c r="F427" s="38" t="inlineStr">
        <is>
          <t>Atlassian Inc.</t>
        </is>
      </c>
      <c r="G427" s="39" t="n">
        <v>9525.139999999999</v>
      </c>
    </row>
    <row r="428">
      <c r="A428" s="36" t="inlineStr">
        <is>
          <t>c246fbfd-af81-466f-b5c3-f3100c00aa10</t>
        </is>
      </c>
      <c r="B428" s="41" t="n">
        <v>46012</v>
      </c>
      <c r="C428" s="36" t="inlineStr">
        <is>
          <t>Support</t>
        </is>
      </c>
      <c r="D428" s="36" t="inlineStr">
        <is>
          <t>Affirm</t>
        </is>
      </c>
      <c r="E428" s="36" t="inlineStr">
        <is>
          <t>Software and Maintenance Expense</t>
        </is>
      </c>
      <c r="F428" s="36" t="inlineStr">
        <is>
          <t>Palo Alto Networks</t>
        </is>
      </c>
      <c r="G428" s="37" t="n">
        <v>6759.78</v>
      </c>
    </row>
    <row r="429">
      <c r="A429" s="38" t="inlineStr">
        <is>
          <t>a6488a72-2f23-4b16-960c-c03ccf20502c</t>
        </is>
      </c>
      <c r="B429" s="40" t="n">
        <v>45964</v>
      </c>
      <c r="C429" s="38" t="inlineStr">
        <is>
          <t>Security</t>
        </is>
      </c>
      <c r="D429" s="38" t="inlineStr">
        <is>
          <t>Affirm</t>
        </is>
      </c>
      <c r="E429" s="38" t="inlineStr">
        <is>
          <t>Overhead Allocation &amp; Chargebacks</t>
        </is>
      </c>
      <c r="F429" s="38" t="inlineStr">
        <is>
          <t>Cloudflare Inc.</t>
        </is>
      </c>
      <c r="G429" s="39" t="n">
        <v>5689.11</v>
      </c>
    </row>
    <row r="430">
      <c r="A430" s="36" t="inlineStr">
        <is>
          <t>645a8a35-ebca-4c15-930f-3f8e794adbf9</t>
        </is>
      </c>
      <c r="B430" s="41" t="n">
        <v>45847</v>
      </c>
      <c r="C430" s="36" t="inlineStr">
        <is>
          <t>Content</t>
        </is>
      </c>
      <c r="D430" s="36" t="inlineStr">
        <is>
          <t>InsureSight</t>
        </is>
      </c>
      <c r="E430" s="36" t="inlineStr">
        <is>
          <t>Advertising and Promotion Expense</t>
        </is>
      </c>
      <c r="F430" s="36" t="inlineStr">
        <is>
          <t>Datadog Inc.</t>
        </is>
      </c>
      <c r="G430" s="37" t="n">
        <v>8780.59</v>
      </c>
    </row>
    <row r="431">
      <c r="A431" s="38" t="inlineStr">
        <is>
          <t>7fcdc4c7-c0cc-489a-ae81-83d33b54fb55</t>
        </is>
      </c>
      <c r="B431" s="40" t="n">
        <v>45778</v>
      </c>
      <c r="C431" s="38" t="inlineStr">
        <is>
          <t>Support</t>
        </is>
      </c>
      <c r="D431" s="38" t="inlineStr">
        <is>
          <t>DocFast</t>
        </is>
      </c>
      <c r="E431" s="38" t="inlineStr">
        <is>
          <t>Advertising and Promotion Expense</t>
        </is>
      </c>
      <c r="F431" s="38" t="inlineStr">
        <is>
          <t>Amazon Web Services</t>
        </is>
      </c>
      <c r="G431" s="39" t="n">
        <v>2347.87</v>
      </c>
    </row>
    <row r="432">
      <c r="A432" s="36" t="inlineStr">
        <is>
          <t>8d06de00-e395-45a1-a7b0-bd96389345c2</t>
        </is>
      </c>
      <c r="B432" s="41" t="n">
        <v>45828</v>
      </c>
      <c r="C432" s="36" t="inlineStr">
        <is>
          <t>NetOps</t>
        </is>
      </c>
      <c r="D432" s="36" t="inlineStr">
        <is>
          <t>InsureSight</t>
        </is>
      </c>
      <c r="E432" s="36" t="inlineStr">
        <is>
          <t>Office Expenses &amp; Rent Allocation</t>
        </is>
      </c>
      <c r="F432" s="36" t="inlineStr">
        <is>
          <t>Adobe Systems</t>
        </is>
      </c>
      <c r="G432" s="37" t="n">
        <v>8611.52</v>
      </c>
    </row>
    <row r="433">
      <c r="A433" s="38" t="inlineStr">
        <is>
          <t>d5e46b6e-9836-408f-9a5e-7e3426bd00e9</t>
        </is>
      </c>
      <c r="B433" s="40" t="n">
        <v>45811</v>
      </c>
      <c r="C433" s="38" t="inlineStr">
        <is>
          <t>Product Management</t>
        </is>
      </c>
      <c r="D433" s="38" t="inlineStr">
        <is>
          <t>InsureSight</t>
        </is>
      </c>
      <c r="E433" s="38" t="inlineStr">
        <is>
          <t>Overhead Allocation &amp; Chargebacks</t>
        </is>
      </c>
      <c r="F433" s="38" t="inlineStr">
        <is>
          <t>CrowdStrike Holdings</t>
        </is>
      </c>
      <c r="G433" s="39" t="n">
        <v>14356.97</v>
      </c>
    </row>
    <row r="434">
      <c r="A434" s="36" t="inlineStr">
        <is>
          <t>ce09af50-c6fe-41e3-ab69-cf4b5ccf77b2</t>
        </is>
      </c>
      <c r="B434" s="41" t="n">
        <v>45903</v>
      </c>
      <c r="C434" s="36" t="inlineStr">
        <is>
          <t>Product Management</t>
        </is>
      </c>
      <c r="D434" s="36" t="inlineStr">
        <is>
          <t>Affirm</t>
        </is>
      </c>
      <c r="E434" s="36" t="inlineStr">
        <is>
          <t>Connectivity Charges</t>
        </is>
      </c>
      <c r="F434" s="36" t="inlineStr">
        <is>
          <t>Cognizant Technology</t>
        </is>
      </c>
      <c r="G434" s="37" t="n">
        <v>8078.69</v>
      </c>
    </row>
    <row r="435">
      <c r="A435" s="38" t="inlineStr">
        <is>
          <t>37fc0bbe-4ef4-4f23-972f-a71a809f67d7</t>
        </is>
      </c>
      <c r="B435" s="40" t="n">
        <v>45700</v>
      </c>
      <c r="C435" s="38" t="inlineStr">
        <is>
          <t>Security</t>
        </is>
      </c>
      <c r="D435" s="38" t="inlineStr">
        <is>
          <t>Affirm</t>
        </is>
      </c>
      <c r="E435" s="38" t="inlineStr">
        <is>
          <t>Reselling Expenses</t>
        </is>
      </c>
      <c r="F435" s="38" t="inlineStr">
        <is>
          <t>Salesforce Inc.</t>
        </is>
      </c>
      <c r="G435" s="39" t="n">
        <v>4999.44</v>
      </c>
    </row>
    <row r="436">
      <c r="A436" s="36" t="inlineStr">
        <is>
          <t>78c883eb-21ea-443e-9c73-383226b4618f</t>
        </is>
      </c>
      <c r="B436" s="41" t="n">
        <v>45784</v>
      </c>
      <c r="C436" s="36" t="inlineStr">
        <is>
          <t>Product Management</t>
        </is>
      </c>
      <c r="D436" s="36" t="inlineStr">
        <is>
          <t>DocFast</t>
        </is>
      </c>
      <c r="E436" s="36" t="inlineStr">
        <is>
          <t>Overhead Allocation &amp; Chargebacks</t>
        </is>
      </c>
      <c r="F436" s="36" t="inlineStr">
        <is>
          <t>Microsoft Corp.</t>
        </is>
      </c>
      <c r="G436" s="37" t="n">
        <v>11294.4</v>
      </c>
    </row>
    <row r="437">
      <c r="A437" s="38" t="inlineStr">
        <is>
          <t>f5a97b7d-fcc1-433e-b66c-1adc36238def</t>
        </is>
      </c>
      <c r="B437" s="40" t="n">
        <v>45962</v>
      </c>
      <c r="C437" s="38" t="inlineStr">
        <is>
          <t>NetOps</t>
        </is>
      </c>
      <c r="D437" s="38" t="inlineStr">
        <is>
          <t>InsureSight</t>
        </is>
      </c>
      <c r="E437" s="38" t="inlineStr">
        <is>
          <t>Office Expenses &amp; Rent Allocation</t>
        </is>
      </c>
      <c r="F437" s="38" t="inlineStr">
        <is>
          <t>CrowdStrike Holdings</t>
        </is>
      </c>
      <c r="G437" s="39" t="n">
        <v>13572.22</v>
      </c>
    </row>
    <row r="438">
      <c r="A438" s="36" t="inlineStr">
        <is>
          <t>dfb51528-76e5-4756-8e8d-03c5e41c939f</t>
        </is>
      </c>
      <c r="B438" s="41" t="n">
        <v>45950</v>
      </c>
      <c r="C438" s="36" t="inlineStr">
        <is>
          <t>Security</t>
        </is>
      </c>
      <c r="D438" s="36" t="inlineStr">
        <is>
          <t>iGO</t>
        </is>
      </c>
      <c r="E438" s="36" t="inlineStr">
        <is>
          <t>Reselling Expenses</t>
        </is>
      </c>
      <c r="F438" s="36" t="inlineStr">
        <is>
          <t>Atlassian Inc.</t>
        </is>
      </c>
      <c r="G438" s="37" t="n">
        <v>4848.01</v>
      </c>
    </row>
    <row r="439">
      <c r="A439" s="38" t="inlineStr">
        <is>
          <t>c18a3131-251f-41a2-95a0-9d137e460d2e</t>
        </is>
      </c>
      <c r="B439" s="40" t="n">
        <v>45701</v>
      </c>
      <c r="C439" s="38" t="inlineStr">
        <is>
          <t>Support</t>
        </is>
      </c>
      <c r="D439" s="38" t="inlineStr">
        <is>
          <t>InsureSight</t>
        </is>
      </c>
      <c r="E439" s="38" t="inlineStr">
        <is>
          <t>Employee Expenses</t>
        </is>
      </c>
      <c r="F439" s="38" t="inlineStr">
        <is>
          <t>Atlassian Inc.</t>
        </is>
      </c>
      <c r="G439" s="39" t="n">
        <v>7777.17</v>
      </c>
    </row>
    <row r="440">
      <c r="A440" s="36" t="inlineStr">
        <is>
          <t>6454e05b-f623-4902-82f3-29d1de97efaa</t>
        </is>
      </c>
      <c r="B440" s="41" t="n">
        <v>45825</v>
      </c>
      <c r="C440" s="36" t="inlineStr">
        <is>
          <t>Product Management</t>
        </is>
      </c>
      <c r="D440" s="36" t="inlineStr">
        <is>
          <t>DocFast</t>
        </is>
      </c>
      <c r="E440" s="36" t="inlineStr">
        <is>
          <t>Office Expenses &amp; Rent Allocation</t>
        </is>
      </c>
      <c r="F440" s="36" t="inlineStr">
        <is>
          <t>Amazon Web Services</t>
        </is>
      </c>
      <c r="G440" s="37" t="n">
        <v>4481.69</v>
      </c>
    </row>
    <row r="441">
      <c r="A441" s="38" t="inlineStr">
        <is>
          <t>9c2e09d3-6087-4d8a-b42a-c7bf70f4aea3</t>
        </is>
      </c>
      <c r="B441" s="40" t="n">
        <v>45968</v>
      </c>
      <c r="C441" s="38" t="inlineStr">
        <is>
          <t>Support</t>
        </is>
      </c>
      <c r="D441" s="38" t="inlineStr">
        <is>
          <t>iGO</t>
        </is>
      </c>
      <c r="E441" s="38" t="inlineStr">
        <is>
          <t>Professional Fees and Outsourcing Expenses</t>
        </is>
      </c>
      <c r="F441" s="38" t="inlineStr">
        <is>
          <t>Datadog Inc.</t>
        </is>
      </c>
      <c r="G441" s="39" t="n">
        <v>14575.85</v>
      </c>
    </row>
    <row r="442">
      <c r="A442" s="36" t="inlineStr">
        <is>
          <t>46bd8d6d-0895-43d6-8d01-6a7bdaf3f631</t>
        </is>
      </c>
      <c r="B442" s="41" t="n">
        <v>45918</v>
      </c>
      <c r="C442" s="36" t="inlineStr">
        <is>
          <t>NetOps</t>
        </is>
      </c>
      <c r="D442" s="36" t="inlineStr">
        <is>
          <t>iGO</t>
        </is>
      </c>
      <c r="E442" s="36" t="inlineStr">
        <is>
          <t>Software and Maintenance Expense</t>
        </is>
      </c>
      <c r="F442" s="36" t="inlineStr">
        <is>
          <t>Deloitte Consulting</t>
        </is>
      </c>
      <c r="G442" s="37" t="n">
        <v>9461.24</v>
      </c>
    </row>
    <row r="443">
      <c r="A443" s="38" t="inlineStr">
        <is>
          <t>316f4072-2754-47f6-b510-86bb8065bb93</t>
        </is>
      </c>
      <c r="B443" s="40" t="n">
        <v>45775</v>
      </c>
      <c r="C443" s="38" t="inlineStr">
        <is>
          <t>R&amp;D</t>
        </is>
      </c>
      <c r="D443" s="38" t="inlineStr">
        <is>
          <t>DocFast</t>
        </is>
      </c>
      <c r="E443" s="38" t="inlineStr">
        <is>
          <t>Professional Fees and Outsourcing Expenses</t>
        </is>
      </c>
      <c r="F443" s="38" t="inlineStr">
        <is>
          <t>CrowdStrike Holdings</t>
        </is>
      </c>
      <c r="G443" s="39" t="n">
        <v>8089.43</v>
      </c>
    </row>
    <row r="444">
      <c r="A444" s="36" t="inlineStr">
        <is>
          <t>cc6e6096-fc61-496a-b5e0-f1031a1ddf12</t>
        </is>
      </c>
      <c r="B444" s="41" t="n">
        <v>46015</v>
      </c>
      <c r="C444" s="36" t="inlineStr">
        <is>
          <t>Product Management</t>
        </is>
      </c>
      <c r="D444" s="36" t="inlineStr">
        <is>
          <t>DocFast</t>
        </is>
      </c>
      <c r="E444" s="36" t="inlineStr">
        <is>
          <t>Reselling Expenses</t>
        </is>
      </c>
      <c r="F444" s="36" t="inlineStr">
        <is>
          <t>Microsoft Corp.</t>
        </is>
      </c>
      <c r="G444" s="37" t="n">
        <v>14099.28</v>
      </c>
    </row>
    <row r="445">
      <c r="A445" s="38" t="inlineStr">
        <is>
          <t>911fe156-fb21-49ef-ba68-f4ddd3e1541b</t>
        </is>
      </c>
      <c r="B445" s="40" t="n">
        <v>46013</v>
      </c>
      <c r="C445" s="38" t="inlineStr">
        <is>
          <t>Security</t>
        </is>
      </c>
      <c r="D445" s="38" t="inlineStr">
        <is>
          <t>iGO</t>
        </is>
      </c>
      <c r="E445" s="38" t="inlineStr">
        <is>
          <t>Office Expenses &amp; Rent Allocation</t>
        </is>
      </c>
      <c r="F445" s="38" t="inlineStr">
        <is>
          <t>Iron Mountain</t>
        </is>
      </c>
      <c r="G445" s="39" t="n">
        <v>5009.14</v>
      </c>
    </row>
    <row r="446">
      <c r="A446" s="36" t="inlineStr">
        <is>
          <t>ff9fcb04-6002-444c-b623-71118e40bf15</t>
        </is>
      </c>
      <c r="B446" s="41" t="n">
        <v>45691</v>
      </c>
      <c r="C446" s="36" t="inlineStr">
        <is>
          <t>NetOps</t>
        </is>
      </c>
      <c r="D446" s="36" t="inlineStr">
        <is>
          <t>Affirm</t>
        </is>
      </c>
      <c r="E446" s="36" t="inlineStr">
        <is>
          <t>Data Center Fees</t>
        </is>
      </c>
      <c r="F446" s="36" t="inlineStr">
        <is>
          <t>Cognizant Technology</t>
        </is>
      </c>
      <c r="G446" s="37" t="n">
        <v>1103.11</v>
      </c>
    </row>
    <row r="447">
      <c r="A447" s="38" t="inlineStr">
        <is>
          <t>4ba8bf76-7503-4c37-b72a-bace93c6a7fd</t>
        </is>
      </c>
      <c r="B447" s="40" t="n">
        <v>45756</v>
      </c>
      <c r="C447" s="38" t="inlineStr">
        <is>
          <t>Partners</t>
        </is>
      </c>
      <c r="D447" s="38" t="inlineStr">
        <is>
          <t>DocFast</t>
        </is>
      </c>
      <c r="E447" s="38" t="inlineStr">
        <is>
          <t>Office Expenses &amp; Rent Allocation</t>
        </is>
      </c>
      <c r="F447" s="38" t="inlineStr">
        <is>
          <t>Deloitte Consulting</t>
        </is>
      </c>
      <c r="G447" s="39" t="n">
        <v>6096.5</v>
      </c>
    </row>
    <row r="448">
      <c r="A448" s="36" t="inlineStr">
        <is>
          <t>5dcc4710-47fd-4f38-8a84-6e9ba8231572</t>
        </is>
      </c>
      <c r="B448" s="41" t="n">
        <v>45809</v>
      </c>
      <c r="C448" s="36" t="inlineStr">
        <is>
          <t>Partners</t>
        </is>
      </c>
      <c r="D448" s="36" t="inlineStr">
        <is>
          <t>iGO</t>
        </is>
      </c>
      <c r="E448" s="36" t="inlineStr">
        <is>
          <t>Overhead Allocation &amp; Chargebacks</t>
        </is>
      </c>
      <c r="F448" s="36" t="inlineStr">
        <is>
          <t>Amazon Web Services</t>
        </is>
      </c>
      <c r="G448" s="37" t="n">
        <v>9639.27</v>
      </c>
    </row>
    <row r="449">
      <c r="A449" s="38" t="inlineStr">
        <is>
          <t>646d930a-7ca6-4b47-9069-ddfc1aee0d4f</t>
        </is>
      </c>
      <c r="B449" s="40" t="n">
        <v>45933</v>
      </c>
      <c r="C449" s="38" t="inlineStr">
        <is>
          <t>Product Management</t>
        </is>
      </c>
      <c r="D449" s="38" t="inlineStr">
        <is>
          <t>iGO</t>
        </is>
      </c>
      <c r="E449" s="38" t="inlineStr">
        <is>
          <t>Professional Fees and Outsourcing Expenses</t>
        </is>
      </c>
      <c r="F449" s="38" t="inlineStr">
        <is>
          <t>Salesforce Inc.</t>
        </is>
      </c>
      <c r="G449" s="39" t="n">
        <v>13924.31</v>
      </c>
    </row>
    <row r="450">
      <c r="A450" s="36" t="inlineStr">
        <is>
          <t>1ba1dea7-3784-490f-8ffa-3e8e3152c858</t>
        </is>
      </c>
      <c r="B450" s="41" t="n">
        <v>45698</v>
      </c>
      <c r="C450" s="36" t="inlineStr">
        <is>
          <t>Product Management</t>
        </is>
      </c>
      <c r="D450" s="36" t="inlineStr">
        <is>
          <t>InsureSight</t>
        </is>
      </c>
      <c r="E450" s="36" t="inlineStr">
        <is>
          <t>Other</t>
        </is>
      </c>
      <c r="F450" s="36" t="inlineStr">
        <is>
          <t>Cloudflare Inc.</t>
        </is>
      </c>
      <c r="G450" s="37" t="n">
        <v>4258.69</v>
      </c>
    </row>
    <row r="451">
      <c r="A451" s="38" t="inlineStr">
        <is>
          <t>be17b21c-b94d-4a92-860d-d5053c2c2f62</t>
        </is>
      </c>
      <c r="B451" s="40" t="n">
        <v>45882</v>
      </c>
      <c r="C451" s="38" t="inlineStr">
        <is>
          <t>Partners</t>
        </is>
      </c>
      <c r="D451" s="38" t="inlineStr">
        <is>
          <t>iGO</t>
        </is>
      </c>
      <c r="E451" s="38" t="inlineStr">
        <is>
          <t>Office Expenses &amp; Rent Allocation</t>
        </is>
      </c>
      <c r="F451" s="38" t="inlineStr">
        <is>
          <t>Datadog Inc.</t>
        </is>
      </c>
      <c r="G451" s="39" t="n">
        <v>8025.34</v>
      </c>
    </row>
    <row r="452">
      <c r="A452" s="36" t="inlineStr">
        <is>
          <t>4fc11f45-38f7-42ca-b530-61066ac5baec</t>
        </is>
      </c>
      <c r="B452" s="41" t="n">
        <v>45740</v>
      </c>
      <c r="C452" s="36" t="inlineStr">
        <is>
          <t>Partners</t>
        </is>
      </c>
      <c r="D452" s="36" t="inlineStr">
        <is>
          <t>InsureSight</t>
        </is>
      </c>
      <c r="E452" s="36" t="inlineStr">
        <is>
          <t>Reselling Expenses</t>
        </is>
      </c>
      <c r="F452" s="36" t="inlineStr">
        <is>
          <t>Datadog Inc.</t>
        </is>
      </c>
      <c r="G452" s="37" t="n">
        <v>4505.94</v>
      </c>
    </row>
    <row r="453">
      <c r="A453" s="38" t="inlineStr">
        <is>
          <t>6c961e6d-d2ae-4ca0-b7ef-846d3ead2149</t>
        </is>
      </c>
      <c r="B453" s="40" t="n">
        <v>46012</v>
      </c>
      <c r="C453" s="38" t="inlineStr">
        <is>
          <t>Support</t>
        </is>
      </c>
      <c r="D453" s="38" t="inlineStr">
        <is>
          <t>iGO</t>
        </is>
      </c>
      <c r="E453" s="38" t="inlineStr">
        <is>
          <t>Overhead Allocation &amp; Chargebacks</t>
        </is>
      </c>
      <c r="F453" s="38" t="inlineStr">
        <is>
          <t>Microsoft Corp.</t>
        </is>
      </c>
      <c r="G453" s="39" t="n">
        <v>8348.290000000001</v>
      </c>
    </row>
    <row r="454">
      <c r="A454" s="36" t="inlineStr">
        <is>
          <t>827dffe7-2f14-4f0c-b3dd-9ed66f9e0ef0</t>
        </is>
      </c>
      <c r="B454" s="41" t="n">
        <v>45690</v>
      </c>
      <c r="C454" s="36" t="inlineStr">
        <is>
          <t>NetOps</t>
        </is>
      </c>
      <c r="D454" s="36" t="inlineStr">
        <is>
          <t>DocFast</t>
        </is>
      </c>
      <c r="E454" s="36" t="inlineStr">
        <is>
          <t>Overhead Allocation &amp; Chargebacks</t>
        </is>
      </c>
      <c r="F454" s="36" t="inlineStr">
        <is>
          <t>Cognizant Technology</t>
        </is>
      </c>
      <c r="G454" s="37" t="n">
        <v>14207.34</v>
      </c>
    </row>
    <row r="455">
      <c r="A455" s="38" t="inlineStr">
        <is>
          <t>ad0840aa-e306-410b-b61f-4a69019f14d1</t>
        </is>
      </c>
      <c r="B455" s="40" t="n">
        <v>45784</v>
      </c>
      <c r="C455" s="38" t="inlineStr">
        <is>
          <t>R&amp;D</t>
        </is>
      </c>
      <c r="D455" s="38" t="inlineStr">
        <is>
          <t>InsureSight</t>
        </is>
      </c>
      <c r="E455" s="38" t="inlineStr">
        <is>
          <t>Software and Maintenance Expense</t>
        </is>
      </c>
      <c r="F455" s="38" t="inlineStr">
        <is>
          <t>Zendesk Inc.</t>
        </is>
      </c>
      <c r="G455" s="39" t="n">
        <v>13589.14</v>
      </c>
    </row>
    <row r="456">
      <c r="A456" s="36" t="inlineStr">
        <is>
          <t>08b33518-d598-494a-a76d-85a918a9b8de</t>
        </is>
      </c>
      <c r="B456" s="41" t="n">
        <v>45905</v>
      </c>
      <c r="C456" s="36" t="inlineStr">
        <is>
          <t>Security</t>
        </is>
      </c>
      <c r="D456" s="36" t="inlineStr">
        <is>
          <t>Affirm</t>
        </is>
      </c>
      <c r="E456" s="36" t="inlineStr">
        <is>
          <t>Software and Maintenance Expense</t>
        </is>
      </c>
      <c r="F456" s="36" t="inlineStr">
        <is>
          <t>WillisTowersWatson</t>
        </is>
      </c>
      <c r="G456" s="37" t="n">
        <v>12529.49</v>
      </c>
    </row>
    <row r="457">
      <c r="A457" s="38" t="inlineStr">
        <is>
          <t>a6de5741-6d69-475e-8a91-242e045a1de7</t>
        </is>
      </c>
      <c r="B457" s="40" t="n">
        <v>45751</v>
      </c>
      <c r="C457" s="38" t="inlineStr">
        <is>
          <t>Security</t>
        </is>
      </c>
      <c r="D457" s="38" t="inlineStr">
        <is>
          <t>iGO</t>
        </is>
      </c>
      <c r="E457" s="38" t="inlineStr">
        <is>
          <t>Overhead Allocation &amp; Chargebacks</t>
        </is>
      </c>
      <c r="F457" s="38" t="inlineStr">
        <is>
          <t>Accenture LLP</t>
        </is>
      </c>
      <c r="G457" s="39" t="n">
        <v>9687.879999999999</v>
      </c>
    </row>
    <row r="458">
      <c r="A458" s="36" t="inlineStr">
        <is>
          <t>e9e95088-f40c-4dad-b050-8a3795da95e5</t>
        </is>
      </c>
      <c r="B458" s="41" t="n">
        <v>45698</v>
      </c>
      <c r="C458" s="36" t="inlineStr">
        <is>
          <t>R&amp;D</t>
        </is>
      </c>
      <c r="D458" s="36" t="inlineStr">
        <is>
          <t>iGO</t>
        </is>
      </c>
      <c r="E458" s="36" t="inlineStr">
        <is>
          <t>Data Center Fees</t>
        </is>
      </c>
      <c r="F458" s="36" t="inlineStr">
        <is>
          <t>Cloudflare Inc.</t>
        </is>
      </c>
      <c r="G458" s="37" t="n">
        <v>3001.39</v>
      </c>
    </row>
    <row r="459">
      <c r="A459" s="38" t="inlineStr">
        <is>
          <t>1fee146c-9c15-475c-b121-b6f0d5d732db</t>
        </is>
      </c>
      <c r="B459" s="40" t="n">
        <v>45946</v>
      </c>
      <c r="C459" s="38" t="inlineStr">
        <is>
          <t>Support</t>
        </is>
      </c>
      <c r="D459" s="38" t="inlineStr">
        <is>
          <t>InsureSight</t>
        </is>
      </c>
      <c r="E459" s="38" t="inlineStr">
        <is>
          <t>Advertising and Promotion Expense</t>
        </is>
      </c>
      <c r="F459" s="38" t="inlineStr">
        <is>
          <t>Deloitte Consulting</t>
        </is>
      </c>
      <c r="G459" s="39" t="n">
        <v>9849.32</v>
      </c>
    </row>
    <row r="460">
      <c r="A460" s="36" t="inlineStr">
        <is>
          <t>3df148df-6627-4ee6-881d-db99a4f0a36b</t>
        </is>
      </c>
      <c r="B460" s="41" t="n">
        <v>45698</v>
      </c>
      <c r="C460" s="36" t="inlineStr">
        <is>
          <t>Content</t>
        </is>
      </c>
      <c r="D460" s="36" t="inlineStr">
        <is>
          <t>iGO</t>
        </is>
      </c>
      <c r="E460" s="36" t="inlineStr">
        <is>
          <t>Software and Maintenance Expense</t>
        </is>
      </c>
      <c r="F460" s="36" t="inlineStr">
        <is>
          <t>Salesforce Inc.</t>
        </is>
      </c>
      <c r="G460" s="37" t="n">
        <v>7313.63</v>
      </c>
    </row>
    <row r="461">
      <c r="A461" s="38" t="inlineStr">
        <is>
          <t>a6a3269f-ee08-48b5-888e-f606ea1135a1</t>
        </is>
      </c>
      <c r="B461" s="40" t="n">
        <v>45828</v>
      </c>
      <c r="C461" s="38" t="inlineStr">
        <is>
          <t>R&amp;D</t>
        </is>
      </c>
      <c r="D461" s="38" t="inlineStr">
        <is>
          <t>InsureSight</t>
        </is>
      </c>
      <c r="E461" s="38" t="inlineStr">
        <is>
          <t>Other</t>
        </is>
      </c>
      <c r="F461" s="38" t="inlineStr">
        <is>
          <t>Datadog Inc.</t>
        </is>
      </c>
      <c r="G461" s="39" t="n">
        <v>8505</v>
      </c>
    </row>
    <row r="462">
      <c r="A462" s="36" t="inlineStr">
        <is>
          <t>8297e1ce-9f88-4fe6-891b-3689d1e63f7d</t>
        </is>
      </c>
      <c r="B462" s="41" t="n">
        <v>45834</v>
      </c>
      <c r="C462" s="36" t="inlineStr">
        <is>
          <t>Support</t>
        </is>
      </c>
      <c r="D462" s="36" t="inlineStr">
        <is>
          <t>DocFast</t>
        </is>
      </c>
      <c r="E462" s="36" t="inlineStr">
        <is>
          <t>Advertising and Promotion Expense</t>
        </is>
      </c>
      <c r="F462" s="36" t="inlineStr">
        <is>
          <t>Amazon Web Services</t>
        </is>
      </c>
      <c r="G462" s="37" t="n">
        <v>4732.56</v>
      </c>
    </row>
    <row r="463">
      <c r="A463" s="38" t="inlineStr">
        <is>
          <t>498bd7ba-1d91-4e79-9a31-7bee62e11aa1</t>
        </is>
      </c>
      <c r="B463" s="40" t="n">
        <v>45770</v>
      </c>
      <c r="C463" s="38" t="inlineStr">
        <is>
          <t>R&amp;D</t>
        </is>
      </c>
      <c r="D463" s="38" t="inlineStr">
        <is>
          <t>DocFast</t>
        </is>
      </c>
      <c r="E463" s="38" t="inlineStr">
        <is>
          <t>Data Center Fees</t>
        </is>
      </c>
      <c r="F463" s="38" t="inlineStr">
        <is>
          <t>Microsoft Corp.</t>
        </is>
      </c>
      <c r="G463" s="39" t="n">
        <v>5424.32</v>
      </c>
    </row>
    <row r="464">
      <c r="A464" s="36" t="inlineStr">
        <is>
          <t>6d7d031f-fcca-4d08-9b14-d9b72fe17482</t>
        </is>
      </c>
      <c r="B464" s="41" t="n">
        <v>45985</v>
      </c>
      <c r="C464" s="36" t="inlineStr">
        <is>
          <t>Support</t>
        </is>
      </c>
      <c r="D464" s="36" t="inlineStr">
        <is>
          <t>DocFast</t>
        </is>
      </c>
      <c r="E464" s="36" t="inlineStr">
        <is>
          <t>Office Expenses &amp; Rent Allocation</t>
        </is>
      </c>
      <c r="F464" s="36" t="inlineStr">
        <is>
          <t>Accenture LLP</t>
        </is>
      </c>
      <c r="G464" s="37" t="n">
        <v>5413.19</v>
      </c>
    </row>
    <row r="465">
      <c r="A465" s="38" t="inlineStr">
        <is>
          <t>b0948c7e-8aea-4d00-b638-25ae3e85bc95</t>
        </is>
      </c>
      <c r="B465" s="40" t="n">
        <v>45793</v>
      </c>
      <c r="C465" s="38" t="inlineStr">
        <is>
          <t>Content</t>
        </is>
      </c>
      <c r="D465" s="38" t="inlineStr">
        <is>
          <t>iGO</t>
        </is>
      </c>
      <c r="E465" s="38" t="inlineStr">
        <is>
          <t>Advertising and Promotion Expense</t>
        </is>
      </c>
      <c r="F465" s="38" t="inlineStr">
        <is>
          <t>Deloitte Consulting</t>
        </is>
      </c>
      <c r="G465" s="39" t="n">
        <v>9119.08</v>
      </c>
    </row>
    <row r="466">
      <c r="A466" s="36" t="inlineStr">
        <is>
          <t>2cd33f58-bef9-44c6-be4b-59ef062f4e5f</t>
        </is>
      </c>
      <c r="B466" s="41" t="n">
        <v>45805</v>
      </c>
      <c r="C466" s="36" t="inlineStr">
        <is>
          <t>Product Management</t>
        </is>
      </c>
      <c r="D466" s="36" t="inlineStr">
        <is>
          <t>Affirm</t>
        </is>
      </c>
      <c r="E466" s="36" t="inlineStr">
        <is>
          <t>Overhead Allocation &amp; Chargebacks</t>
        </is>
      </c>
      <c r="F466" s="36" t="inlineStr">
        <is>
          <t>CrowdStrike Holdings</t>
        </is>
      </c>
      <c r="G466" s="37" t="n">
        <v>3985.36</v>
      </c>
    </row>
    <row r="467">
      <c r="A467" s="38" t="inlineStr">
        <is>
          <t>ab783922-e55b-4721-a351-2dfac1ecad23</t>
        </is>
      </c>
      <c r="B467" s="40" t="n">
        <v>45964</v>
      </c>
      <c r="C467" s="38" t="inlineStr">
        <is>
          <t>R&amp;D</t>
        </is>
      </c>
      <c r="D467" s="38" t="inlineStr">
        <is>
          <t>iGO</t>
        </is>
      </c>
      <c r="E467" s="38" t="inlineStr">
        <is>
          <t>Employee Expenses</t>
        </is>
      </c>
      <c r="F467" s="38" t="inlineStr">
        <is>
          <t>Microsoft Corp.</t>
        </is>
      </c>
      <c r="G467" s="39" t="n">
        <v>7632.32</v>
      </c>
    </row>
    <row r="468">
      <c r="A468" s="36" t="inlineStr">
        <is>
          <t>72a809db-cbd2-4b30-bc28-6d8eb250ca7e</t>
        </is>
      </c>
      <c r="B468" s="41" t="n">
        <v>45684</v>
      </c>
      <c r="C468" s="36" t="inlineStr">
        <is>
          <t>Content</t>
        </is>
      </c>
      <c r="D468" s="36" t="inlineStr">
        <is>
          <t>DocFast</t>
        </is>
      </c>
      <c r="E468" s="36" t="inlineStr">
        <is>
          <t>Other</t>
        </is>
      </c>
      <c r="F468" s="36" t="inlineStr">
        <is>
          <t>CrowdStrike Holdings</t>
        </is>
      </c>
      <c r="G468" s="37" t="n">
        <v>13599.24</v>
      </c>
    </row>
    <row r="469">
      <c r="A469" s="38" t="inlineStr">
        <is>
          <t>820edbdf-ba5c-4551-a5ee-c844bf3c59d1</t>
        </is>
      </c>
      <c r="B469" s="40" t="n">
        <v>45909</v>
      </c>
      <c r="C469" s="38" t="inlineStr">
        <is>
          <t>Content</t>
        </is>
      </c>
      <c r="D469" s="38" t="inlineStr">
        <is>
          <t>DocFast</t>
        </is>
      </c>
      <c r="E469" s="38" t="inlineStr">
        <is>
          <t>Reselling Expenses</t>
        </is>
      </c>
      <c r="F469" s="38" t="inlineStr">
        <is>
          <t>Adobe Systems</t>
        </is>
      </c>
      <c r="G469" s="39" t="n">
        <v>2272.06</v>
      </c>
    </row>
    <row r="470">
      <c r="A470" s="36" t="inlineStr">
        <is>
          <t>69c4204e-e4c2-4f67-923e-bbfd970becdf</t>
        </is>
      </c>
      <c r="B470" s="41" t="n">
        <v>45846</v>
      </c>
      <c r="C470" s="36" t="inlineStr">
        <is>
          <t>Product Management</t>
        </is>
      </c>
      <c r="D470" s="36" t="inlineStr">
        <is>
          <t>InsureSight</t>
        </is>
      </c>
      <c r="E470" s="36" t="inlineStr">
        <is>
          <t>Advertising and Promotion Expense</t>
        </is>
      </c>
      <c r="F470" s="36" t="inlineStr">
        <is>
          <t>Accenture LLP</t>
        </is>
      </c>
      <c r="G470" s="37" t="n">
        <v>7541.79</v>
      </c>
    </row>
    <row r="471">
      <c r="A471" s="38" t="inlineStr">
        <is>
          <t>a0fc594c-ce0d-49b3-9b19-f697b1650479</t>
        </is>
      </c>
      <c r="B471" s="40" t="n">
        <v>45701</v>
      </c>
      <c r="C471" s="38" t="inlineStr">
        <is>
          <t>Support</t>
        </is>
      </c>
      <c r="D471" s="38" t="inlineStr">
        <is>
          <t>iGO</t>
        </is>
      </c>
      <c r="E471" s="38" t="inlineStr">
        <is>
          <t>Reselling Expenses</t>
        </is>
      </c>
      <c r="F471" s="38" t="inlineStr">
        <is>
          <t>CrowdStrike Holdings</t>
        </is>
      </c>
      <c r="G471" s="39" t="n">
        <v>12727.33</v>
      </c>
    </row>
    <row r="472">
      <c r="A472" s="36" t="inlineStr">
        <is>
          <t>a072fe49-2a39-470a-903f-16cfcc04de48</t>
        </is>
      </c>
      <c r="B472" s="41" t="n">
        <v>45952</v>
      </c>
      <c r="C472" s="36" t="inlineStr">
        <is>
          <t>Security</t>
        </is>
      </c>
      <c r="D472" s="36" t="inlineStr">
        <is>
          <t>Affirm</t>
        </is>
      </c>
      <c r="E472" s="36" t="inlineStr">
        <is>
          <t>Office Expenses &amp; Rent Allocation</t>
        </is>
      </c>
      <c r="F472" s="36" t="inlineStr">
        <is>
          <t>Datadog Inc.</t>
        </is>
      </c>
      <c r="G472" s="37" t="n">
        <v>2728.22</v>
      </c>
    </row>
    <row r="473">
      <c r="A473" s="38" t="inlineStr">
        <is>
          <t>4305356c-cf99-49da-845f-b5e856850086</t>
        </is>
      </c>
      <c r="B473" s="40" t="n">
        <v>45952</v>
      </c>
      <c r="C473" s="38" t="inlineStr">
        <is>
          <t>Product Management</t>
        </is>
      </c>
      <c r="D473" s="38" t="inlineStr">
        <is>
          <t>Affirm</t>
        </is>
      </c>
      <c r="E473" s="38" t="inlineStr">
        <is>
          <t>Office Expenses &amp; Rent Allocation</t>
        </is>
      </c>
      <c r="F473" s="38" t="inlineStr">
        <is>
          <t>Salesforce Inc.</t>
        </is>
      </c>
      <c r="G473" s="39" t="n">
        <v>654.28</v>
      </c>
    </row>
    <row r="474">
      <c r="A474" s="36" t="inlineStr">
        <is>
          <t>0279de9f-b3e3-473b-86a8-4071edf856b2</t>
        </is>
      </c>
      <c r="B474" s="41" t="n">
        <v>45877</v>
      </c>
      <c r="C474" s="36" t="inlineStr">
        <is>
          <t>NetOps</t>
        </is>
      </c>
      <c r="D474" s="36" t="inlineStr">
        <is>
          <t>InsureSight</t>
        </is>
      </c>
      <c r="E474" s="36" t="inlineStr">
        <is>
          <t>AWS</t>
        </is>
      </c>
      <c r="F474" s="36" t="inlineStr">
        <is>
          <t>CrowdStrike Holdings</t>
        </is>
      </c>
      <c r="G474" s="37" t="n">
        <v>689.99</v>
      </c>
    </row>
    <row r="475">
      <c r="A475" s="38" t="inlineStr">
        <is>
          <t>9c680c04-3b39-4e1c-aeeb-d6aae75d07ba</t>
        </is>
      </c>
      <c r="B475" s="40" t="n">
        <v>45764</v>
      </c>
      <c r="C475" s="38" t="inlineStr">
        <is>
          <t>Product Management</t>
        </is>
      </c>
      <c r="D475" s="38" t="inlineStr">
        <is>
          <t>InsureSight</t>
        </is>
      </c>
      <c r="E475" s="38" t="inlineStr">
        <is>
          <t>Connectivity Charges</t>
        </is>
      </c>
      <c r="F475" s="38" t="inlineStr">
        <is>
          <t>Accenture LLP</t>
        </is>
      </c>
      <c r="G475" s="39" t="n">
        <v>13772.63</v>
      </c>
    </row>
    <row r="476">
      <c r="A476" s="36" t="inlineStr">
        <is>
          <t>96e01882-7228-4839-9d24-a1c9bf1b236d</t>
        </is>
      </c>
      <c r="B476" s="41" t="n">
        <v>45659</v>
      </c>
      <c r="C476" s="36" t="inlineStr">
        <is>
          <t>R&amp;D</t>
        </is>
      </c>
      <c r="D476" s="36" t="inlineStr">
        <is>
          <t>InsureSight</t>
        </is>
      </c>
      <c r="E476" s="36" t="inlineStr">
        <is>
          <t>Professional Fees and Outsourcing Expenses</t>
        </is>
      </c>
      <c r="F476" s="36" t="inlineStr">
        <is>
          <t>Iron Mountain</t>
        </is>
      </c>
      <c r="G476" s="37" t="n">
        <v>14528.2</v>
      </c>
    </row>
    <row r="477">
      <c r="A477" s="38" t="inlineStr">
        <is>
          <t>126685e1-2bff-403d-a5da-0c320da96e10</t>
        </is>
      </c>
      <c r="B477" s="40" t="n">
        <v>45988</v>
      </c>
      <c r="C477" s="38" t="inlineStr">
        <is>
          <t>Support</t>
        </is>
      </c>
      <c r="D477" s="38" t="inlineStr">
        <is>
          <t>InsureSight</t>
        </is>
      </c>
      <c r="E477" s="38" t="inlineStr">
        <is>
          <t>Other</t>
        </is>
      </c>
      <c r="F477" s="38" t="inlineStr">
        <is>
          <t>Cognizant Technology</t>
        </is>
      </c>
      <c r="G477" s="39" t="n">
        <v>8573.889999999999</v>
      </c>
    </row>
    <row r="478">
      <c r="A478" s="36" t="inlineStr">
        <is>
          <t>6091a0a6-64e7-42a9-b33b-69edc6d16d1c</t>
        </is>
      </c>
      <c r="B478" s="41" t="n">
        <v>45859</v>
      </c>
      <c r="C478" s="36" t="inlineStr">
        <is>
          <t>Partners</t>
        </is>
      </c>
      <c r="D478" s="36" t="inlineStr">
        <is>
          <t>InsureSight</t>
        </is>
      </c>
      <c r="E478" s="36" t="inlineStr">
        <is>
          <t>Other</t>
        </is>
      </c>
      <c r="F478" s="36" t="inlineStr">
        <is>
          <t>Deloitte Consulting</t>
        </is>
      </c>
      <c r="G478" s="37" t="n">
        <v>13478.49</v>
      </c>
    </row>
    <row r="479">
      <c r="A479" s="38" t="inlineStr">
        <is>
          <t>c54c2d17-38c2-423b-add2-55793ebb5395</t>
        </is>
      </c>
      <c r="B479" s="40" t="n">
        <v>45705</v>
      </c>
      <c r="C479" s="38" t="inlineStr">
        <is>
          <t>Support</t>
        </is>
      </c>
      <c r="D479" s="38" t="inlineStr">
        <is>
          <t>DocFast</t>
        </is>
      </c>
      <c r="E479" s="38" t="inlineStr">
        <is>
          <t>Software and Maintenance Expense</t>
        </is>
      </c>
      <c r="F479" s="38" t="inlineStr">
        <is>
          <t>Cognizant Technology</t>
        </is>
      </c>
      <c r="G479" s="39" t="n">
        <v>6117.34</v>
      </c>
    </row>
    <row r="480">
      <c r="A480" s="36" t="inlineStr">
        <is>
          <t>3aa7b42c-5b99-4740-971f-7a9b4b2c5f7d</t>
        </is>
      </c>
      <c r="B480" s="41" t="n">
        <v>45824</v>
      </c>
      <c r="C480" s="36" t="inlineStr">
        <is>
          <t>Product Management</t>
        </is>
      </c>
      <c r="D480" s="36" t="inlineStr">
        <is>
          <t>DocFast</t>
        </is>
      </c>
      <c r="E480" s="36" t="inlineStr">
        <is>
          <t>Other</t>
        </is>
      </c>
      <c r="F480" s="36" t="inlineStr">
        <is>
          <t>Amazon Web Services</t>
        </is>
      </c>
      <c r="G480" s="37" t="n">
        <v>7552.46</v>
      </c>
    </row>
    <row r="481">
      <c r="A481" s="38" t="inlineStr">
        <is>
          <t>27d70e7c-7914-426a-92a3-9e2b3fc7ee2d</t>
        </is>
      </c>
      <c r="B481" s="40" t="n">
        <v>45731</v>
      </c>
      <c r="C481" s="38" t="inlineStr">
        <is>
          <t>Security</t>
        </is>
      </c>
      <c r="D481" s="38" t="inlineStr">
        <is>
          <t>Affirm</t>
        </is>
      </c>
      <c r="E481" s="38" t="inlineStr">
        <is>
          <t>Professional Fees and Outsourcing Expenses</t>
        </is>
      </c>
      <c r="F481" s="38" t="inlineStr">
        <is>
          <t>Cognizant Technology</t>
        </is>
      </c>
      <c r="G481" s="39" t="n">
        <v>9669.98</v>
      </c>
    </row>
    <row r="482">
      <c r="A482" s="36" t="inlineStr">
        <is>
          <t>4fc4e25c-74eb-4ead-89cb-11842e9c8ef1</t>
        </is>
      </c>
      <c r="B482" s="41" t="n">
        <v>45752</v>
      </c>
      <c r="C482" s="36" t="inlineStr">
        <is>
          <t>Security</t>
        </is>
      </c>
      <c r="D482" s="36" t="inlineStr">
        <is>
          <t>Affirm</t>
        </is>
      </c>
      <c r="E482" s="36" t="inlineStr">
        <is>
          <t>AWS</t>
        </is>
      </c>
      <c r="F482" s="36" t="inlineStr">
        <is>
          <t>WillisTowersWatson</t>
        </is>
      </c>
      <c r="G482" s="37" t="n">
        <v>10773.68</v>
      </c>
    </row>
    <row r="483">
      <c r="A483" s="38" t="inlineStr">
        <is>
          <t>bdeb0a1e-8cf4-4ead-98bd-ffcba14a9c51</t>
        </is>
      </c>
      <c r="B483" s="40" t="n">
        <v>45710</v>
      </c>
      <c r="C483" s="38" t="inlineStr">
        <is>
          <t>Security</t>
        </is>
      </c>
      <c r="D483" s="38" t="inlineStr">
        <is>
          <t>DocFast</t>
        </is>
      </c>
      <c r="E483" s="38" t="inlineStr">
        <is>
          <t>AWS</t>
        </is>
      </c>
      <c r="F483" s="38" t="inlineStr">
        <is>
          <t>Iron Mountain</t>
        </is>
      </c>
      <c r="G483" s="39" t="n">
        <v>1744.41</v>
      </c>
    </row>
    <row r="484">
      <c r="A484" s="36" t="inlineStr">
        <is>
          <t>bfe985de-1795-415e-89a9-86859602dd85</t>
        </is>
      </c>
      <c r="B484" s="41" t="n">
        <v>45977</v>
      </c>
      <c r="C484" s="36" t="inlineStr">
        <is>
          <t>Partners</t>
        </is>
      </c>
      <c r="D484" s="36" t="inlineStr">
        <is>
          <t>Affirm</t>
        </is>
      </c>
      <c r="E484" s="36" t="inlineStr">
        <is>
          <t>Other</t>
        </is>
      </c>
      <c r="F484" s="36" t="inlineStr">
        <is>
          <t>Datadog Inc.</t>
        </is>
      </c>
      <c r="G484" s="37" t="n">
        <v>9726.530000000001</v>
      </c>
    </row>
    <row r="485">
      <c r="A485" s="38" t="inlineStr">
        <is>
          <t>9b6a8373-1445-4c78-a89e-86d12309b2d8</t>
        </is>
      </c>
      <c r="B485" s="40" t="n">
        <v>45839</v>
      </c>
      <c r="C485" s="38" t="inlineStr">
        <is>
          <t>Security</t>
        </is>
      </c>
      <c r="D485" s="38" t="inlineStr">
        <is>
          <t>iGO</t>
        </is>
      </c>
      <c r="E485" s="38" t="inlineStr">
        <is>
          <t>Advertising and Promotion Expense</t>
        </is>
      </c>
      <c r="F485" s="38" t="inlineStr">
        <is>
          <t>WillisTowersWatson</t>
        </is>
      </c>
      <c r="G485" s="39" t="n">
        <v>8905.6</v>
      </c>
    </row>
    <row r="486">
      <c r="A486" s="36" t="inlineStr">
        <is>
          <t>c51cd108-b7f4-4dc1-a73d-2d664787e005</t>
        </is>
      </c>
      <c r="B486" s="41" t="n">
        <v>45737</v>
      </c>
      <c r="C486" s="36" t="inlineStr">
        <is>
          <t>Content</t>
        </is>
      </c>
      <c r="D486" s="36" t="inlineStr">
        <is>
          <t>iGO</t>
        </is>
      </c>
      <c r="E486" s="36" t="inlineStr">
        <is>
          <t>Other</t>
        </is>
      </c>
      <c r="F486" s="36" t="inlineStr">
        <is>
          <t>Datadog Inc.</t>
        </is>
      </c>
      <c r="G486" s="37" t="n">
        <v>885.88</v>
      </c>
    </row>
    <row r="487">
      <c r="A487" s="38" t="inlineStr">
        <is>
          <t>46252060-58f8-488d-a9a2-c599c1b382dd</t>
        </is>
      </c>
      <c r="B487" s="40" t="n">
        <v>45783</v>
      </c>
      <c r="C487" s="38" t="inlineStr">
        <is>
          <t>Content</t>
        </is>
      </c>
      <c r="D487" s="38" t="inlineStr">
        <is>
          <t>DocFast</t>
        </is>
      </c>
      <c r="E487" s="38" t="inlineStr">
        <is>
          <t>Other</t>
        </is>
      </c>
      <c r="F487" s="38" t="inlineStr">
        <is>
          <t>WillisTowersWatson</t>
        </is>
      </c>
      <c r="G487" s="39" t="n">
        <v>9582.459999999999</v>
      </c>
    </row>
    <row r="488">
      <c r="A488" s="36" t="inlineStr">
        <is>
          <t>6e594a08-3076-48e1-b81a-b0a37f590eab</t>
        </is>
      </c>
      <c r="B488" s="41" t="n">
        <v>46015</v>
      </c>
      <c r="C488" s="36" t="inlineStr">
        <is>
          <t>R&amp;D</t>
        </is>
      </c>
      <c r="D488" s="36" t="inlineStr">
        <is>
          <t>InsureSight</t>
        </is>
      </c>
      <c r="E488" s="36" t="inlineStr">
        <is>
          <t>Professional Fees and Outsourcing Expenses</t>
        </is>
      </c>
      <c r="F488" s="36" t="inlineStr">
        <is>
          <t>CrowdStrike Holdings</t>
        </is>
      </c>
      <c r="G488" s="37" t="n">
        <v>6765.59</v>
      </c>
    </row>
    <row r="489">
      <c r="A489" s="38" t="inlineStr">
        <is>
          <t>7397bdb3-30ac-413f-99a7-fdec77b5e371</t>
        </is>
      </c>
      <c r="B489" s="40" t="n">
        <v>45897</v>
      </c>
      <c r="C489" s="38" t="inlineStr">
        <is>
          <t>Partners</t>
        </is>
      </c>
      <c r="D489" s="38" t="inlineStr">
        <is>
          <t>Affirm</t>
        </is>
      </c>
      <c r="E489" s="38" t="inlineStr">
        <is>
          <t>Software and Maintenance Expense</t>
        </is>
      </c>
      <c r="F489" s="38" t="inlineStr">
        <is>
          <t>Microsoft Corp.</t>
        </is>
      </c>
      <c r="G489" s="39" t="n">
        <v>6190.96</v>
      </c>
    </row>
    <row r="490">
      <c r="A490" s="36" t="inlineStr">
        <is>
          <t>5b51fc91-43ed-4009-9ae3-7df176a3a96f</t>
        </is>
      </c>
      <c r="B490" s="41" t="n">
        <v>45742</v>
      </c>
      <c r="C490" s="36" t="inlineStr">
        <is>
          <t>Content</t>
        </is>
      </c>
      <c r="D490" s="36" t="inlineStr">
        <is>
          <t>Affirm</t>
        </is>
      </c>
      <c r="E490" s="36" t="inlineStr">
        <is>
          <t>Other</t>
        </is>
      </c>
      <c r="F490" s="36" t="inlineStr">
        <is>
          <t>Deloitte Consulting</t>
        </is>
      </c>
      <c r="G490" s="37" t="n">
        <v>7686.53</v>
      </c>
    </row>
    <row r="491">
      <c r="A491" s="38" t="inlineStr">
        <is>
          <t>3be08388-ac54-4120-938b-8c291aef424e</t>
        </is>
      </c>
      <c r="B491" s="40" t="n">
        <v>45740</v>
      </c>
      <c r="C491" s="38" t="inlineStr">
        <is>
          <t>R&amp;D</t>
        </is>
      </c>
      <c r="D491" s="38" t="inlineStr">
        <is>
          <t>InsureSight</t>
        </is>
      </c>
      <c r="E491" s="38" t="inlineStr">
        <is>
          <t>Office Expenses &amp; Rent Allocation</t>
        </is>
      </c>
      <c r="F491" s="38" t="inlineStr">
        <is>
          <t>WillisTowersWatson</t>
        </is>
      </c>
      <c r="G491" s="39" t="n">
        <v>8879.41</v>
      </c>
    </row>
    <row r="492">
      <c r="A492" s="36" t="inlineStr">
        <is>
          <t>4cb29797-0699-4b9a-bb7b-c0935735bd86</t>
        </is>
      </c>
      <c r="B492" s="41" t="n">
        <v>45760</v>
      </c>
      <c r="C492" s="36" t="inlineStr">
        <is>
          <t>Partners</t>
        </is>
      </c>
      <c r="D492" s="36" t="inlineStr">
        <is>
          <t>Affirm</t>
        </is>
      </c>
      <c r="E492" s="36" t="inlineStr">
        <is>
          <t>Professional Fees and Outsourcing Expenses</t>
        </is>
      </c>
      <c r="F492" s="36" t="inlineStr">
        <is>
          <t>Amazon Web Services</t>
        </is>
      </c>
      <c r="G492" s="37" t="n">
        <v>3075.11</v>
      </c>
    </row>
    <row r="493">
      <c r="A493" s="38" t="inlineStr">
        <is>
          <t>e0345105-47dc-4fd0-906f-10a05e4dc08d</t>
        </is>
      </c>
      <c r="B493" s="40" t="n">
        <v>45922</v>
      </c>
      <c r="C493" s="38" t="inlineStr">
        <is>
          <t>Partners</t>
        </is>
      </c>
      <c r="D493" s="38" t="inlineStr">
        <is>
          <t>Affirm</t>
        </is>
      </c>
      <c r="E493" s="38" t="inlineStr">
        <is>
          <t>Other</t>
        </is>
      </c>
      <c r="F493" s="38" t="inlineStr">
        <is>
          <t>Cloudflare Inc.</t>
        </is>
      </c>
      <c r="G493" s="39" t="n">
        <v>2702.46</v>
      </c>
    </row>
    <row r="494">
      <c r="A494" s="36" t="inlineStr">
        <is>
          <t>bc246caa-6524-4f3f-8c76-eed767f3e0fb</t>
        </is>
      </c>
      <c r="B494" s="41" t="n">
        <v>45950</v>
      </c>
      <c r="C494" s="36" t="inlineStr">
        <is>
          <t>NetOps</t>
        </is>
      </c>
      <c r="D494" s="36" t="inlineStr">
        <is>
          <t>iGO</t>
        </is>
      </c>
      <c r="E494" s="36" t="inlineStr">
        <is>
          <t>Professional Fees and Outsourcing Expenses</t>
        </is>
      </c>
      <c r="F494" s="36" t="inlineStr">
        <is>
          <t>Accenture LLP</t>
        </is>
      </c>
      <c r="G494" s="37" t="n">
        <v>9907.92</v>
      </c>
    </row>
    <row r="495">
      <c r="A495" s="38" t="inlineStr">
        <is>
          <t>286d9eb5-900d-4e72-9897-875daa81e11e</t>
        </is>
      </c>
      <c r="B495" s="40" t="n">
        <v>45948</v>
      </c>
      <c r="C495" s="38" t="inlineStr">
        <is>
          <t>Product Management</t>
        </is>
      </c>
      <c r="D495" s="38" t="inlineStr">
        <is>
          <t>iGO</t>
        </is>
      </c>
      <c r="E495" s="38" t="inlineStr">
        <is>
          <t>Reselling Expenses</t>
        </is>
      </c>
      <c r="F495" s="38" t="inlineStr">
        <is>
          <t>Deloitte Consulting</t>
        </is>
      </c>
      <c r="G495" s="39" t="n">
        <v>6500.88</v>
      </c>
    </row>
    <row r="496">
      <c r="A496" s="36" t="inlineStr">
        <is>
          <t>245e46f1-7a34-44c8-924f-5a7f1ce055d4</t>
        </is>
      </c>
      <c r="B496" s="41" t="n">
        <v>45850</v>
      </c>
      <c r="C496" s="36" t="inlineStr">
        <is>
          <t>Product Management</t>
        </is>
      </c>
      <c r="D496" s="36" t="inlineStr">
        <is>
          <t>iGO</t>
        </is>
      </c>
      <c r="E496" s="36" t="inlineStr">
        <is>
          <t>Overhead Allocation &amp; Chargebacks</t>
        </is>
      </c>
      <c r="F496" s="36" t="inlineStr">
        <is>
          <t>Zendesk Inc.</t>
        </is>
      </c>
      <c r="G496" s="37" t="n">
        <v>3480.82</v>
      </c>
    </row>
    <row r="497">
      <c r="A497" s="38" t="inlineStr">
        <is>
          <t>e5947af3-d754-4c9b-bade-d43685051ce0</t>
        </is>
      </c>
      <c r="B497" s="40" t="n">
        <v>45895</v>
      </c>
      <c r="C497" s="38" t="inlineStr">
        <is>
          <t>Product Management</t>
        </is>
      </c>
      <c r="D497" s="38" t="inlineStr">
        <is>
          <t>DocFast</t>
        </is>
      </c>
      <c r="E497" s="38" t="inlineStr">
        <is>
          <t>AWS</t>
        </is>
      </c>
      <c r="F497" s="38" t="inlineStr">
        <is>
          <t>WillisTowersWatson</t>
        </is>
      </c>
      <c r="G497" s="39" t="n">
        <v>12079.08</v>
      </c>
    </row>
    <row r="498">
      <c r="A498" s="36" t="inlineStr">
        <is>
          <t>f127d898-682b-45c1-97fa-98e35327b337</t>
        </is>
      </c>
      <c r="B498" s="41" t="n">
        <v>46010</v>
      </c>
      <c r="C498" s="36" t="inlineStr">
        <is>
          <t>NetOps</t>
        </is>
      </c>
      <c r="D498" s="36" t="inlineStr">
        <is>
          <t>DocFast</t>
        </is>
      </c>
      <c r="E498" s="36" t="inlineStr">
        <is>
          <t>Advertising and Promotion Expense</t>
        </is>
      </c>
      <c r="F498" s="36" t="inlineStr">
        <is>
          <t>Palo Alto Networks</t>
        </is>
      </c>
      <c r="G498" s="37" t="n">
        <v>7183.26</v>
      </c>
    </row>
    <row r="499">
      <c r="A499" s="38" t="inlineStr">
        <is>
          <t>c12714be-5509-4dd2-ba6e-98041333fd44</t>
        </is>
      </c>
      <c r="B499" s="40" t="n">
        <v>45775</v>
      </c>
      <c r="C499" s="38" t="inlineStr">
        <is>
          <t>NetOps</t>
        </is>
      </c>
      <c r="D499" s="38" t="inlineStr">
        <is>
          <t>InsureSight</t>
        </is>
      </c>
      <c r="E499" s="38" t="inlineStr">
        <is>
          <t>Other</t>
        </is>
      </c>
      <c r="F499" s="38" t="inlineStr">
        <is>
          <t>Atlassian Inc.</t>
        </is>
      </c>
      <c r="G499" s="39" t="n">
        <v>8178.78</v>
      </c>
    </row>
    <row r="500">
      <c r="A500" s="36" t="inlineStr">
        <is>
          <t>b92d4b0e-9f89-42f5-9cd6-3c3ae20d6327</t>
        </is>
      </c>
      <c r="B500" s="41" t="n">
        <v>45784</v>
      </c>
      <c r="C500" s="36" t="inlineStr">
        <is>
          <t>NetOps</t>
        </is>
      </c>
      <c r="D500" s="36" t="inlineStr">
        <is>
          <t>iGO</t>
        </is>
      </c>
      <c r="E500" s="36" t="inlineStr">
        <is>
          <t>Other</t>
        </is>
      </c>
      <c r="F500" s="36" t="inlineStr">
        <is>
          <t>Cognizant Technology</t>
        </is>
      </c>
      <c r="G500" s="37" t="n">
        <v>1811.54</v>
      </c>
    </row>
    <row r="501">
      <c r="A501" s="38" t="inlineStr">
        <is>
          <t>f955061b-4f08-48c5-bf45-4f5847efa431</t>
        </is>
      </c>
      <c r="B501" s="40" t="n">
        <v>45670</v>
      </c>
      <c r="C501" s="38" t="inlineStr">
        <is>
          <t>R&amp;D</t>
        </is>
      </c>
      <c r="D501" s="38" t="inlineStr">
        <is>
          <t>Affirm</t>
        </is>
      </c>
      <c r="E501" s="38" t="inlineStr">
        <is>
          <t>AWS</t>
        </is>
      </c>
      <c r="F501" s="38" t="inlineStr">
        <is>
          <t>Zendesk Inc.</t>
        </is>
      </c>
      <c r="G501" s="39" t="n">
        <v>5465.93</v>
      </c>
    </row>
    <row r="502">
      <c r="A502" s="36" t="inlineStr">
        <is>
          <t>e699ee2d-bfc5-43c4-b0cc-fb4977c98830</t>
        </is>
      </c>
      <c r="B502" s="41" t="n">
        <v>45721</v>
      </c>
      <c r="C502" s="36" t="inlineStr">
        <is>
          <t>Partners</t>
        </is>
      </c>
      <c r="D502" s="36" t="inlineStr">
        <is>
          <t>InsureSight</t>
        </is>
      </c>
      <c r="E502" s="36" t="inlineStr">
        <is>
          <t>Software and Maintenance Expense</t>
        </is>
      </c>
      <c r="F502" s="36" t="inlineStr">
        <is>
          <t>Amazon Web Services</t>
        </is>
      </c>
      <c r="G502" s="37" t="n">
        <v>3948.74</v>
      </c>
    </row>
    <row r="503">
      <c r="A503" s="38" t="inlineStr">
        <is>
          <t>bbac5b61-bce9-4684-820b-f3aee055c094</t>
        </is>
      </c>
      <c r="B503" s="40" t="n">
        <v>45782</v>
      </c>
      <c r="C503" s="38" t="inlineStr">
        <is>
          <t>Partners</t>
        </is>
      </c>
      <c r="D503" s="38" t="inlineStr">
        <is>
          <t>Affirm</t>
        </is>
      </c>
      <c r="E503" s="38" t="inlineStr">
        <is>
          <t>Reselling Expenses</t>
        </is>
      </c>
      <c r="F503" s="38" t="inlineStr">
        <is>
          <t>Deloitte Consulting</t>
        </is>
      </c>
      <c r="G503" s="39" t="n">
        <v>2185.65</v>
      </c>
    </row>
    <row r="504">
      <c r="A504" s="36" t="inlineStr">
        <is>
          <t>ede486cc-be1d-4f67-972c-41882055404e</t>
        </is>
      </c>
      <c r="B504" s="41" t="n">
        <v>45889</v>
      </c>
      <c r="C504" s="36" t="inlineStr">
        <is>
          <t>Partners</t>
        </is>
      </c>
      <c r="D504" s="36" t="inlineStr">
        <is>
          <t>Affirm</t>
        </is>
      </c>
      <c r="E504" s="36" t="inlineStr">
        <is>
          <t>Office Expenses &amp; Rent Allocation</t>
        </is>
      </c>
      <c r="F504" s="36" t="inlineStr">
        <is>
          <t>WillisTowersWatson</t>
        </is>
      </c>
      <c r="G504" s="37" t="n">
        <v>8292.440000000001</v>
      </c>
    </row>
    <row r="505">
      <c r="A505" s="38" t="inlineStr">
        <is>
          <t>19ab1346-3495-4d5c-ae33-673b57cefd7f</t>
        </is>
      </c>
      <c r="B505" s="40" t="n">
        <v>45729</v>
      </c>
      <c r="C505" s="38" t="inlineStr">
        <is>
          <t>Security</t>
        </is>
      </c>
      <c r="D505" s="38" t="inlineStr">
        <is>
          <t>iGO</t>
        </is>
      </c>
      <c r="E505" s="38" t="inlineStr">
        <is>
          <t>Overhead Allocation &amp; Chargebacks</t>
        </is>
      </c>
      <c r="F505" s="38" t="inlineStr">
        <is>
          <t>Atlassian Inc.</t>
        </is>
      </c>
      <c r="G505" s="39" t="n">
        <v>14671.72</v>
      </c>
    </row>
    <row r="506">
      <c r="A506" s="36" t="inlineStr">
        <is>
          <t>54646a60-53b0-492d-8902-9268674e59f7</t>
        </is>
      </c>
      <c r="B506" s="41" t="n">
        <v>45918</v>
      </c>
      <c r="C506" s="36" t="inlineStr">
        <is>
          <t>Partners</t>
        </is>
      </c>
      <c r="D506" s="36" t="inlineStr">
        <is>
          <t>iGO</t>
        </is>
      </c>
      <c r="E506" s="36" t="inlineStr">
        <is>
          <t>Employee Expenses</t>
        </is>
      </c>
      <c r="F506" s="36" t="inlineStr">
        <is>
          <t>Cognizant Technology</t>
        </is>
      </c>
      <c r="G506" s="37" t="n">
        <v>10846.78</v>
      </c>
    </row>
    <row r="507">
      <c r="A507" s="38" t="inlineStr">
        <is>
          <t>d3f63d16-363e-48a2-abe9-af348b962305</t>
        </is>
      </c>
      <c r="B507" s="40" t="n">
        <v>45888</v>
      </c>
      <c r="C507" s="38" t="inlineStr">
        <is>
          <t>Security</t>
        </is>
      </c>
      <c r="D507" s="38" t="inlineStr">
        <is>
          <t>Affirm</t>
        </is>
      </c>
      <c r="E507" s="38" t="inlineStr">
        <is>
          <t>Data Center Fees</t>
        </is>
      </c>
      <c r="F507" s="38" t="inlineStr">
        <is>
          <t>Deloitte Consulting</t>
        </is>
      </c>
      <c r="G507" s="39" t="n">
        <v>12429.53</v>
      </c>
    </row>
    <row r="508">
      <c r="A508" s="36" t="inlineStr">
        <is>
          <t>c18a3131-251f-41a2-95a0-9d137e460d2e</t>
        </is>
      </c>
      <c r="B508" s="41" t="n">
        <v>45701</v>
      </c>
      <c r="C508" s="36" t="inlineStr">
        <is>
          <t>Support</t>
        </is>
      </c>
      <c r="D508" s="36" t="inlineStr">
        <is>
          <t>InsureSight</t>
        </is>
      </c>
      <c r="E508" s="36" t="inlineStr">
        <is>
          <t>Employee Expenses</t>
        </is>
      </c>
      <c r="F508" s="36" t="inlineStr">
        <is>
          <t>Atlassian Inc.</t>
        </is>
      </c>
      <c r="G508" s="37" t="n">
        <v>7777.17</v>
      </c>
    </row>
    <row r="509">
      <c r="A509" s="38" t="inlineStr">
        <is>
          <t>da3ce41d-8c1e-47f7-b550-56dc6cd606ed</t>
        </is>
      </c>
      <c r="B509" s="40" t="n">
        <v>45887</v>
      </c>
      <c r="C509" s="38" t="inlineStr">
        <is>
          <t>Product Management</t>
        </is>
      </c>
      <c r="D509" s="38" t="inlineStr">
        <is>
          <t>DocFast</t>
        </is>
      </c>
      <c r="E509" s="38" t="inlineStr">
        <is>
          <t>AWS</t>
        </is>
      </c>
      <c r="F509" s="38" t="inlineStr">
        <is>
          <t>Atlassian Inc.</t>
        </is>
      </c>
      <c r="G509" s="39" t="n">
        <v>8506.48</v>
      </c>
    </row>
    <row r="510">
      <c r="A510" s="36" t="inlineStr">
        <is>
          <t>355afbec-fd6b-486b-9c72-f6807a573e66</t>
        </is>
      </c>
      <c r="B510" s="41" t="n">
        <v>45716</v>
      </c>
      <c r="C510" s="36" t="inlineStr">
        <is>
          <t>Partners</t>
        </is>
      </c>
      <c r="D510" s="36" t="inlineStr">
        <is>
          <t>Affirm</t>
        </is>
      </c>
      <c r="E510" s="36" t="inlineStr">
        <is>
          <t>Office Expenses &amp; Rent Allocation</t>
        </is>
      </c>
      <c r="F510" s="36" t="inlineStr">
        <is>
          <t>Cloudflare Inc.</t>
        </is>
      </c>
      <c r="G510" s="37" t="n">
        <v>3472.76</v>
      </c>
    </row>
    <row r="511">
      <c r="A511" s="38" t="inlineStr">
        <is>
          <t>f2af505f-d405-4549-9e3d-15c007adc640</t>
        </is>
      </c>
      <c r="B511" s="40" t="n">
        <v>45729</v>
      </c>
      <c r="C511" s="38" t="inlineStr">
        <is>
          <t>Support</t>
        </is>
      </c>
      <c r="D511" s="38" t="inlineStr">
        <is>
          <t>InsureSight</t>
        </is>
      </c>
      <c r="E511" s="38" t="inlineStr">
        <is>
          <t>Advertising and Promotion Expense</t>
        </is>
      </c>
      <c r="F511" s="38" t="inlineStr">
        <is>
          <t>Datadog Inc.</t>
        </is>
      </c>
      <c r="G511" s="39" t="n">
        <v>10946.02</v>
      </c>
    </row>
  </sheetData>
  <dataValidations count="2">
    <dataValidation sqref="C2:C512" showDropDown="0" showInputMessage="0" showErrorMessage="0" allowBlank="0" type="list">
      <formula1>"NetOps,Security,Support,Partners,Content,R&amp;D,Product Management"</formula1>
      <formula2>0</formula2>
    </dataValidation>
    <dataValidation sqref="D2:D512" showDropDown="0" showInputMessage="0" showErrorMessage="0" allowBlank="0" type="list">
      <formula1>"iGO,Affirm,InsureSight,DocFast"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FFD966"/>
    <outlinePr summaryBelow="1" summaryRight="1"/>
    <pageSetUpPr/>
  </sheetPr>
  <dimension ref="A1:D33"/>
  <sheetViews>
    <sheetView showGridLines="0" tabSelected="1" zoomScaleNormal="100" workbookViewId="0">
      <pane ySplit="5" topLeftCell="A6" activePane="bottomLeft" state="frozen"/>
      <selection pane="bottomLeft" activeCell="A1" sqref="A1"/>
    </sheetView>
  </sheetViews>
  <sheetFormatPr baseColWidth="8" defaultColWidth="8.6328125" defaultRowHeight="14.5"/>
  <cols>
    <col width="38" customWidth="1" min="1" max="1"/>
    <col width="80" customWidth="1" min="2" max="2"/>
    <col width="14" customWidth="1" min="3" max="3"/>
    <col width="55" customWidth="1" min="4" max="4"/>
  </cols>
  <sheetData>
    <row r="1" ht="15.5" customHeight="1">
      <c r="A1" s="42" t="inlineStr">
        <is>
          <t>Keystone BenefitTech, Inc.</t>
        </is>
      </c>
      <c r="D1" s="43" t="inlineStr">
        <is>
          <t>Last Updated: 2026-02-28</t>
        </is>
      </c>
    </row>
    <row r="2">
      <c r="A2" s="44" t="inlineStr">
        <is>
          <t>Assumptions &amp; Driver Table</t>
        </is>
      </c>
    </row>
    <row r="4">
      <c r="A4" s="45" t="inlineStr">
        <is>
          <t>DRIVER TABLE</t>
        </is>
      </c>
      <c r="B4" s="45" t="n"/>
      <c r="C4" s="45" t="n"/>
      <c r="D4" s="45" t="n"/>
    </row>
    <row r="5">
      <c r="A5" s="34" t="inlineStr">
        <is>
          <t>Driver Name</t>
        </is>
      </c>
      <c r="B5" s="35" t="inlineStr">
        <is>
          <t>Value</t>
        </is>
      </c>
      <c r="C5" s="35" t="inlineStr">
        <is>
          <t>Type</t>
        </is>
      </c>
      <c r="D5" s="35" t="inlineStr">
        <is>
          <t>Notes</t>
        </is>
      </c>
    </row>
    <row r="6">
      <c r="A6" s="36" t="inlineStr">
        <is>
          <t>InsureSight Software Split - InsureSight</t>
        </is>
      </c>
      <c r="B6" s="46" t="inlineStr">
        <is>
          <t>0.22</t>
        </is>
      </c>
      <c r="C6" s="46" t="inlineStr">
        <is>
          <t>Percentage</t>
        </is>
      </c>
      <c r="D6" s="46" t="inlineStr">
        <is>
          <t>22% stays on InsureSight (INTENTIONALLY stored as text for demo)</t>
        </is>
      </c>
    </row>
    <row r="7">
      <c r="A7" s="38" t="inlineStr">
        <is>
          <t>InsureSight Software Split - Other</t>
        </is>
      </c>
      <c r="B7" s="47" t="n">
        <v>0.78</v>
      </c>
      <c r="C7" s="48" t="inlineStr">
        <is>
          <t>Percentage</t>
        </is>
      </c>
      <c r="D7" s="48" t="inlineStr">
        <is>
          <t>78% allocated to iGO, DocFast, Content</t>
        </is>
      </c>
    </row>
    <row r="8">
      <c r="A8" s="36" t="inlineStr">
        <is>
          <t>iGO Revenue Share %</t>
        </is>
      </c>
      <c r="B8" s="49" t="n">
        <v>0.55</v>
      </c>
      <c r="C8" s="46" t="inlineStr">
        <is>
          <t>Percentage</t>
        </is>
      </c>
      <c r="D8" s="46" t="inlineStr">
        <is>
          <t>iGO share of total subscription + transaction revenue</t>
        </is>
      </c>
    </row>
    <row r="9">
      <c r="A9" s="38" t="inlineStr">
        <is>
          <t>Affirm Revenue Share %</t>
        </is>
      </c>
      <c r="B9" s="47" t="n">
        <v>0.28</v>
      </c>
      <c r="C9" s="48" t="inlineStr">
        <is>
          <t>Percentage</t>
        </is>
      </c>
      <c r="D9" s="48" t="inlineStr">
        <is>
          <t>Affirm share of total subscription + transaction revenue</t>
        </is>
      </c>
    </row>
    <row r="10">
      <c r="A10" s="36" t="inlineStr">
        <is>
          <t>InsureSight Revenue Share %</t>
        </is>
      </c>
      <c r="B10" s="49" t="n">
        <v>0.12</v>
      </c>
      <c r="C10" s="46" t="inlineStr">
        <is>
          <t>Percentage</t>
        </is>
      </c>
      <c r="D10" s="46" t="inlineStr">
        <is>
          <t>InsureSight share</t>
        </is>
      </c>
    </row>
    <row r="11">
      <c r="A11" s="38" t="inlineStr">
        <is>
          <t>DocFast Revenue Share %</t>
        </is>
      </c>
      <c r="B11" s="47" t="n">
        <v>0.05</v>
      </c>
      <c r="C11" s="48" t="inlineStr">
        <is>
          <t>Percentage</t>
        </is>
      </c>
      <c r="D11" s="48" t="inlineStr">
        <is>
          <t>DocFast share</t>
        </is>
      </c>
    </row>
    <row r="12">
      <c r="A12" s="36" t="inlineStr">
        <is>
          <t>AWS Shared Pool %</t>
        </is>
      </c>
      <c r="B12" s="49" t="n">
        <v>0.3</v>
      </c>
      <c r="C12" s="46" t="inlineStr">
        <is>
          <t>Percentage</t>
        </is>
      </c>
      <c r="D12" s="46" t="inlineStr">
        <is>
          <t>Percentage of AWS costs in shared pool</t>
        </is>
      </c>
    </row>
    <row r="13">
      <c r="A13" s="38" t="inlineStr">
        <is>
          <t>AWS Direct %</t>
        </is>
      </c>
      <c r="B13" s="47" t="n">
        <v>0.7</v>
      </c>
      <c r="C13" s="48" t="inlineStr">
        <is>
          <t>Percentage</t>
        </is>
      </c>
      <c r="D13" s="48" t="inlineStr">
        <is>
          <t>Percentage of AWS costs directly allocated</t>
        </is>
      </c>
    </row>
    <row r="14">
      <c r="A14" s="36" t="inlineStr">
        <is>
          <t>Monthly Growth Rate Target</t>
        </is>
      </c>
      <c r="B14" s="49" t="n">
        <v>0.02</v>
      </c>
      <c r="C14" s="46" t="inlineStr">
        <is>
          <t>Percentage</t>
        </is>
      </c>
      <c r="D14" s="46" t="inlineStr">
        <is>
          <t>Target 2% monthly revenue growth</t>
        </is>
      </c>
    </row>
    <row r="15">
      <c r="A15" s="38" t="inlineStr">
        <is>
          <t>Q4 Seasonality Uplift</t>
        </is>
      </c>
      <c r="B15" s="47" t="n">
        <v>0.05</v>
      </c>
      <c r="C15" s="48" t="inlineStr">
        <is>
          <t>Percentage</t>
        </is>
      </c>
      <c r="D15" s="48" t="inlineStr">
        <is>
          <t>5% Q4 revenue uplift</t>
        </is>
      </c>
    </row>
    <row r="16">
      <c r="A16" s="36" t="inlineStr">
        <is>
          <t>D&amp;A Rate</t>
        </is>
      </c>
      <c r="B16" s="49" t="n">
        <v>0.01</v>
      </c>
      <c r="C16" s="46" t="inlineStr">
        <is>
          <t>Percentage</t>
        </is>
      </c>
      <c r="D16" s="46" t="inlineStr">
        <is>
          <t>Depreciation &amp; amortization as % of revenue</t>
        </is>
      </c>
    </row>
    <row r="17">
      <c r="A17" s="38" t="inlineStr">
        <is>
          <t>R&amp;D Capitalization Rate</t>
        </is>
      </c>
      <c r="B17" s="47" t="n">
        <v>0.3</v>
      </c>
      <c r="C17" s="48" t="inlineStr">
        <is>
          <t>Percentage</t>
        </is>
      </c>
      <c r="D17" s="48" t="inlineStr">
        <is>
          <t>30% of R&amp;D capitalized</t>
        </is>
      </c>
    </row>
    <row r="18">
      <c r="A18" s="36" t="inlineStr">
        <is>
          <t>Employee Cost Allocation Base</t>
        </is>
      </c>
      <c r="B18" s="46" t="n">
        <v>1</v>
      </c>
      <c r="C18" s="46" t="inlineStr">
        <is>
          <t>Multiplier</t>
        </is>
      </c>
      <c r="D18" s="46" t="inlineStr">
        <is>
          <t>1.0x base for employee cost allocation</t>
        </is>
      </c>
    </row>
    <row r="19">
      <c r="A19" s="38" t="inlineStr">
        <is>
          <t>Standard Overhead Rate</t>
        </is>
      </c>
      <c r="B19" s="50" t="n">
        <v>500</v>
      </c>
      <c r="C19" s="48" t="inlineStr">
        <is>
          <t>Dollar</t>
        </is>
      </c>
      <c r="D19" s="48" t="inlineStr">
        <is>
          <t>Monthly overhead allocation per department</t>
        </is>
      </c>
    </row>
    <row r="20">
      <c r="A20" s="51" t="n"/>
      <c r="B20" s="51" t="n"/>
      <c r="C20" s="51" t="n"/>
      <c r="D20" s="51" t="n"/>
    </row>
    <row r="21">
      <c r="A21" s="51" t="n"/>
      <c r="B21" s="51" t="n"/>
      <c r="C21" s="51" t="n"/>
      <c r="D21" s="51" t="n"/>
    </row>
    <row r="22">
      <c r="A22" s="51" t="n"/>
      <c r="B22" s="51" t="n"/>
      <c r="C22" s="51" t="n"/>
      <c r="D22" s="51" t="n"/>
    </row>
    <row r="23">
      <c r="A23" s="45" t="inlineStr">
        <is>
          <t>ALLOCATION METHODOLOGY</t>
        </is>
      </c>
      <c r="B23" s="45" t="n"/>
      <c r="C23" s="45" t="n"/>
      <c r="D23" s="45" t="n"/>
    </row>
    <row r="24">
      <c r="A24" s="34" t="inlineStr">
        <is>
          <t>Department</t>
        </is>
      </c>
      <c r="B24" s="35" t="inlineStr">
        <is>
          <t>Allocation Methodology</t>
        </is>
      </c>
      <c r="C24" s="35" t="n"/>
      <c r="D24" s="35" t="n"/>
    </row>
    <row r="25" ht="45" customHeight="1">
      <c r="A25" s="36" t="inlineStr">
        <is>
          <t>Revenue</t>
        </is>
      </c>
      <c r="B25" s="52" t="inlineStr">
        <is>
          <t>Revenue has been scrubbed and reclassified. Monthly journal entries in Intacct ensure revenue is properly allocated to product lines based on contractual terms and billing records.</t>
        </is>
      </c>
      <c r="C25" s="36" t="n"/>
      <c r="D25" s="36" t="n"/>
    </row>
    <row r="26" ht="45" customHeight="1">
      <c r="A26" s="38" t="inlineStr">
        <is>
          <t>NetOps</t>
        </is>
      </c>
      <c r="B26" s="53" t="inlineStr">
        <is>
          <t>AWS costs are allocated by product line based on the AWS Allocation Tab. Shared AWS costs are distributed by compute share %. Non-AWS costs (employee, vendor) are allocated pro-rata based on subscription + transaction revenue share by product.</t>
        </is>
      </c>
      <c r="C26" s="38" t="n"/>
      <c r="D26" s="38" t="n"/>
    </row>
    <row r="27" ht="45" customHeight="1">
      <c r="A27" s="36" t="inlineStr">
        <is>
          <t>Security</t>
        </is>
      </c>
      <c r="B27" s="52" t="inlineStr">
        <is>
          <t>All costs allocated based on percentage of subscription + transaction revenue by product line. No direct employee assignment — treated as shared infrastructure cost.</t>
        </is>
      </c>
      <c r="C27" s="36" t="n"/>
      <c r="D27" s="36" t="n"/>
    </row>
    <row r="28" ht="45" customHeight="1">
      <c r="A28" s="38" t="inlineStr">
        <is>
          <t>Support</t>
        </is>
      </c>
      <c r="B28" s="53" t="inlineStr">
        <is>
          <t>Employee costs allocated by product lines assigned per management direction. Vendor costs tied to specific products. Remainder allocated pro-rata based on employee headcount by product.</t>
        </is>
      </c>
      <c r="C28" s="38" t="n"/>
      <c r="D28" s="38" t="n"/>
    </row>
    <row r="29" ht="45" customHeight="1">
      <c r="A29" s="36" t="inlineStr">
        <is>
          <t>Partners</t>
        </is>
      </c>
      <c r="B29" s="52" t="inlineStr">
        <is>
          <t>Vendor costs tied to specific products. InsureSight software costs split 22% to InsureSight and 78% allocated to iGO, DocFast, and Content based on user mix driver. Employee costs by assignment.</t>
        </is>
      </c>
      <c r="C29" s="36" t="n"/>
      <c r="D29" s="36" t="n"/>
    </row>
    <row r="30" ht="45" customHeight="1">
      <c r="A30" s="38" t="inlineStr">
        <is>
          <t>Content</t>
        </is>
      </c>
      <c r="B30" s="53" t="inlineStr">
        <is>
          <t>Employee costs allocated by product assignment. Vendor costs tied to specific products. Remainder allocated pro-rata based on employee headcount.</t>
        </is>
      </c>
      <c r="C30" s="38" t="n"/>
      <c r="D30" s="38" t="n"/>
    </row>
    <row r="31" ht="45" customHeight="1">
      <c r="A31" s="36" t="inlineStr">
        <is>
          <t>Pro Services</t>
        </is>
      </c>
      <c r="B31" s="52" t="inlineStr">
        <is>
          <t>Same pattern: employee assignment + vendor-tied + prorata remainder based on employee headcount allocation.</t>
        </is>
      </c>
      <c r="C31" s="36" t="n"/>
      <c r="D31" s="36" t="n"/>
    </row>
    <row r="32" ht="45" customHeight="1">
      <c r="A32" s="38" t="inlineStr">
        <is>
          <t>R&amp;D</t>
        </is>
      </c>
      <c r="B32" s="53" t="inlineStr">
        <is>
          <t>Same pattern: employee assignment + vendor-tied + prorata remainder based on employee headcount allocation. Includes capitalized software development costs.</t>
        </is>
      </c>
      <c r="C32" s="38" t="n"/>
      <c r="D32" s="38" t="n"/>
    </row>
    <row r="33" ht="45" customHeight="1">
      <c r="A33" s="36" t="inlineStr">
        <is>
          <t>Product Management</t>
        </is>
      </c>
      <c r="B33" s="52" t="inlineStr">
        <is>
          <t>Same pattern: employee assignment + vendor-tied + prorata remainder based on employee headcount allocation.</t>
        </is>
      </c>
      <c r="C33" s="36" t="n"/>
      <c r="D33" s="36" t="n"/>
    </row>
  </sheetData>
  <dataValidations count="1">
    <dataValidation sqref="C6:C19" showDropDown="0" showInputMessage="0" showErrorMessage="0" allowBlank="0" errorTitle="Invalid Type" error="Please select a valid type" type="list">
      <formula1>"Percentage,Dollar,Multiplier,Text"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ED7D31"/>
    <outlinePr summaryBelow="1" summaryRight="1"/>
    <pageSetUpPr/>
  </sheetPr>
  <dimension ref="A1:E54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6328125" defaultRowHeight="14.5"/>
  <cols>
    <col width="20" customWidth="1" min="1" max="1"/>
    <col width="38" customWidth="1" min="2" max="2"/>
    <col width="22" customWidth="1" min="3" max="3"/>
    <col width="22" customWidth="1" min="4" max="4"/>
    <col width="27" customWidth="1" min="5" max="5"/>
  </cols>
  <sheetData>
    <row r="1" ht="15.5" customHeight="1">
      <c r="A1" s="42" t="inlineStr">
        <is>
          <t>Keystone BenefitTech, Inc.</t>
        </is>
      </c>
      <c r="E1" s="43" t="inlineStr">
        <is>
          <t>Last Updated: 2026-02-28</t>
        </is>
      </c>
    </row>
    <row r="2">
      <c r="A2" s="44" t="inlineStr">
        <is>
          <t>Data Dictionary</t>
        </is>
      </c>
    </row>
    <row r="3">
      <c r="A3" s="51" t="n"/>
      <c r="B3" s="51" t="n"/>
      <c r="C3" s="51" t="n"/>
      <c r="D3" s="51" t="n"/>
      <c r="E3" s="51" t="n"/>
    </row>
    <row r="4">
      <c r="A4" s="45" t="inlineStr">
        <is>
          <t>PRODUCTS</t>
        </is>
      </c>
      <c r="B4" s="45" t="n"/>
      <c r="C4" s="45" t="n"/>
      <c r="D4" s="45" t="n"/>
      <c r="E4" s="45" t="n"/>
    </row>
    <row r="5">
      <c r="A5" s="34" t="inlineStr">
        <is>
          <t>Product Code</t>
        </is>
      </c>
      <c r="B5" s="35" t="inlineStr">
        <is>
          <t>Product Name</t>
        </is>
      </c>
      <c r="C5" s="35" t="inlineStr">
        <is>
          <t>Product Category</t>
        </is>
      </c>
      <c r="D5" s="35" t="inlineStr">
        <is>
          <t>Status</t>
        </is>
      </c>
      <c r="E5" s="35" t="n"/>
    </row>
    <row r="6">
      <c r="A6" s="36" t="inlineStr">
        <is>
          <t>PROD-001</t>
        </is>
      </c>
      <c r="B6" s="46" t="inlineStr">
        <is>
          <t>iGO</t>
        </is>
      </c>
      <c r="C6" s="46" t="inlineStr">
        <is>
          <t>Subscription</t>
        </is>
      </c>
      <c r="D6" s="46" t="inlineStr">
        <is>
          <t>Active</t>
        </is>
      </c>
      <c r="E6" s="46" t="n"/>
    </row>
    <row r="7">
      <c r="A7" s="38" t="inlineStr">
        <is>
          <t>PROD-002</t>
        </is>
      </c>
      <c r="B7" s="48" t="inlineStr">
        <is>
          <t>Affirm</t>
        </is>
      </c>
      <c r="C7" s="48" t="inlineStr">
        <is>
          <t>Subscription</t>
        </is>
      </c>
      <c r="D7" s="48" t="inlineStr">
        <is>
          <t>Active</t>
        </is>
      </c>
      <c r="E7" s="48" t="n"/>
    </row>
    <row r="8">
      <c r="A8" s="36" t="inlineStr">
        <is>
          <t>PROD-003</t>
        </is>
      </c>
      <c r="B8" s="46" t="inlineStr">
        <is>
          <t>InsureSight</t>
        </is>
      </c>
      <c r="C8" s="46" t="inlineStr">
        <is>
          <t>Mixed</t>
        </is>
      </c>
      <c r="D8" s="46" t="inlineStr">
        <is>
          <t>Active</t>
        </is>
      </c>
      <c r="E8" s="46" t="n"/>
    </row>
    <row r="9">
      <c r="A9" s="38" t="inlineStr">
        <is>
          <t>PROD-004</t>
        </is>
      </c>
      <c r="B9" s="48" t="inlineStr">
        <is>
          <t>DocFast</t>
        </is>
      </c>
      <c r="C9" s="48" t="inlineStr">
        <is>
          <t>Services</t>
        </is>
      </c>
      <c r="D9" s="48" t="inlineStr">
        <is>
          <t>Active</t>
        </is>
      </c>
      <c r="E9" s="48" t="n"/>
    </row>
    <row r="10">
      <c r="A10" s="51" t="n"/>
      <c r="B10" s="51" t="n"/>
      <c r="C10" s="51" t="n"/>
      <c r="D10" s="51" t="n"/>
      <c r="E10" s="51" t="n"/>
    </row>
    <row r="11">
      <c r="A11" s="51" t="n"/>
      <c r="B11" s="51" t="n"/>
      <c r="C11" s="51" t="n"/>
      <c r="D11" s="51" t="n"/>
      <c r="E11" s="51" t="n"/>
    </row>
    <row r="12">
      <c r="A12" s="45" t="inlineStr">
        <is>
          <t>DEPARTMENTS</t>
        </is>
      </c>
      <c r="B12" s="45" t="n"/>
      <c r="C12" s="45" t="n"/>
      <c r="D12" s="45" t="n"/>
      <c r="E12" s="45" t="n"/>
    </row>
    <row r="13">
      <c r="A13" s="34" t="inlineStr">
        <is>
          <t>Department Code</t>
        </is>
      </c>
      <c r="B13" s="35" t="inlineStr">
        <is>
          <t>Department Name</t>
        </is>
      </c>
      <c r="C13" s="35" t="inlineStr">
        <is>
          <t>Cost Type</t>
        </is>
      </c>
      <c r="D13" s="35" t="n"/>
      <c r="E13" s="35" t="n"/>
    </row>
    <row r="14">
      <c r="A14" s="36" t="inlineStr">
        <is>
          <t>DEPT-001</t>
        </is>
      </c>
      <c r="B14" s="46" t="inlineStr">
        <is>
          <t>NetOps</t>
        </is>
      </c>
      <c r="C14" s="46" t="inlineStr">
        <is>
          <t>Direct</t>
        </is>
      </c>
      <c r="D14" s="46" t="n"/>
      <c r="E14" s="46" t="n"/>
    </row>
    <row r="15">
      <c r="A15" s="38" t="inlineStr">
        <is>
          <t>DEPT-002</t>
        </is>
      </c>
      <c r="B15" s="48" t="inlineStr">
        <is>
          <t>Security</t>
        </is>
      </c>
      <c r="C15" s="48" t="inlineStr">
        <is>
          <t>Indirect</t>
        </is>
      </c>
      <c r="D15" s="48" t="n"/>
      <c r="E15" s="48" t="n"/>
    </row>
    <row r="16">
      <c r="A16" s="36" t="inlineStr">
        <is>
          <t>DEPT-003</t>
        </is>
      </c>
      <c r="B16" s="46" t="inlineStr">
        <is>
          <t>Support</t>
        </is>
      </c>
      <c r="C16" s="46" t="inlineStr">
        <is>
          <t>Direct</t>
        </is>
      </c>
      <c r="D16" s="46" t="n"/>
      <c r="E16" s="46" t="n"/>
    </row>
    <row r="17">
      <c r="A17" s="38" t="inlineStr">
        <is>
          <t>DEPT-004</t>
        </is>
      </c>
      <c r="B17" s="48" t="inlineStr">
        <is>
          <t>Partners</t>
        </is>
      </c>
      <c r="C17" s="48" t="inlineStr">
        <is>
          <t>Direct</t>
        </is>
      </c>
      <c r="D17" s="48" t="n"/>
      <c r="E17" s="48" t="n"/>
    </row>
    <row r="18">
      <c r="A18" s="36" t="inlineStr">
        <is>
          <t>DEPT-005</t>
        </is>
      </c>
      <c r="B18" s="46" t="inlineStr">
        <is>
          <t>Content</t>
        </is>
      </c>
      <c r="C18" s="46" t="inlineStr">
        <is>
          <t>Direct</t>
        </is>
      </c>
      <c r="D18" s="46" t="n"/>
      <c r="E18" s="46" t="n"/>
    </row>
    <row r="19">
      <c r="A19" s="38" t="inlineStr">
        <is>
          <t>DEPT-006</t>
        </is>
      </c>
      <c r="B19" s="48" t="inlineStr">
        <is>
          <t>R&amp;D</t>
        </is>
      </c>
      <c r="C19" s="48" t="inlineStr">
        <is>
          <t>Indirect</t>
        </is>
      </c>
      <c r="D19" s="48" t="n"/>
      <c r="E19" s="48" t="n"/>
    </row>
    <row r="20">
      <c r="A20" s="36" t="inlineStr">
        <is>
          <t>DEPT-007</t>
        </is>
      </c>
      <c r="B20" s="46" t="inlineStr">
        <is>
          <t>Product Management</t>
        </is>
      </c>
      <c r="C20" s="46" t="inlineStr">
        <is>
          <t>Overhead</t>
        </is>
      </c>
      <c r="D20" s="46" t="n"/>
      <c r="E20" s="46" t="n"/>
    </row>
    <row r="21">
      <c r="A21" s="51" t="n"/>
      <c r="B21" s="51" t="n"/>
      <c r="C21" s="51" t="n"/>
      <c r="D21" s="51" t="n"/>
      <c r="E21" s="51" t="n"/>
    </row>
    <row r="22">
      <c r="A22" s="51" t="n"/>
      <c r="B22" s="51" t="n"/>
      <c r="C22" s="51" t="n"/>
      <c r="D22" s="51" t="n"/>
      <c r="E22" s="51" t="n"/>
    </row>
    <row r="23">
      <c r="A23" s="45" t="inlineStr">
        <is>
          <t>EXPENSE CATEGORIES</t>
        </is>
      </c>
      <c r="B23" s="45" t="n"/>
      <c r="C23" s="45" t="n"/>
      <c r="D23" s="45" t="n"/>
      <c r="E23" s="45" t="n"/>
    </row>
    <row r="24">
      <c r="A24" s="34" t="inlineStr">
        <is>
          <t>Category Code</t>
        </is>
      </c>
      <c r="B24" s="35" t="inlineStr">
        <is>
          <t>Category Name</t>
        </is>
      </c>
      <c r="C24" s="35" t="inlineStr">
        <is>
          <t>GL Account Range</t>
        </is>
      </c>
      <c r="D24" s="35" t="inlineStr">
        <is>
          <t>Typical Department</t>
        </is>
      </c>
      <c r="E24" s="35" t="n"/>
    </row>
    <row r="25">
      <c r="A25" s="36" t="inlineStr">
        <is>
          <t>EXP-001</t>
        </is>
      </c>
      <c r="B25" s="46" t="inlineStr">
        <is>
          <t>Employee Expenses</t>
        </is>
      </c>
      <c r="C25" s="46" t="inlineStr">
        <is>
          <t>5000-5199</t>
        </is>
      </c>
      <c r="D25" s="46" t="inlineStr">
        <is>
          <t>All</t>
        </is>
      </c>
      <c r="E25" s="46" t="n"/>
    </row>
    <row r="26">
      <c r="A26" s="38" t="inlineStr">
        <is>
          <t>EXP-002</t>
        </is>
      </c>
      <c r="B26" s="48" t="inlineStr">
        <is>
          <t>Professional Fees and Outsourcing Expenses</t>
        </is>
      </c>
      <c r="C26" s="48" t="inlineStr">
        <is>
          <t>5200-5299</t>
        </is>
      </c>
      <c r="D26" s="48" t="inlineStr">
        <is>
          <t>All</t>
        </is>
      </c>
      <c r="E26" s="48" t="n"/>
    </row>
    <row r="27">
      <c r="A27" s="36" t="inlineStr">
        <is>
          <t>EXP-003</t>
        </is>
      </c>
      <c r="B27" s="46" t="inlineStr">
        <is>
          <t>Advertising and Promotion Expense</t>
        </is>
      </c>
      <c r="C27" s="46" t="inlineStr">
        <is>
          <t>5300-5399</t>
        </is>
      </c>
      <c r="D27" s="46" t="inlineStr">
        <is>
          <t>R&amp;D</t>
        </is>
      </c>
      <c r="E27" s="46" t="n"/>
    </row>
    <row r="28">
      <c r="A28" s="38" t="inlineStr">
        <is>
          <t>EXP-004</t>
        </is>
      </c>
      <c r="B28" s="48" t="inlineStr">
        <is>
          <t>Software and Maintenance Expense</t>
        </is>
      </c>
      <c r="C28" s="48" t="inlineStr">
        <is>
          <t>5400-5499</t>
        </is>
      </c>
      <c r="D28" s="48" t="inlineStr">
        <is>
          <t>All</t>
        </is>
      </c>
      <c r="E28" s="48" t="n"/>
    </row>
    <row r="29">
      <c r="A29" s="36" t="inlineStr">
        <is>
          <t>EXP-005</t>
        </is>
      </c>
      <c r="B29" s="46" t="inlineStr">
        <is>
          <t>Data Center Fees</t>
        </is>
      </c>
      <c r="C29" s="46" t="inlineStr">
        <is>
          <t>5500-5549</t>
        </is>
      </c>
      <c r="D29" s="46" t="inlineStr">
        <is>
          <t>NetOps</t>
        </is>
      </c>
      <c r="E29" s="46" t="n"/>
    </row>
    <row r="30">
      <c r="A30" s="38" t="inlineStr">
        <is>
          <t>EXP-006</t>
        </is>
      </c>
      <c r="B30" s="48" t="inlineStr">
        <is>
          <t>AWS</t>
        </is>
      </c>
      <c r="C30" s="48" t="inlineStr">
        <is>
          <t>5550-5599</t>
        </is>
      </c>
      <c r="D30" s="48" t="inlineStr">
        <is>
          <t>NetOps</t>
        </is>
      </c>
      <c r="E30" s="48" t="n"/>
    </row>
    <row r="31">
      <c r="A31" s="36" t="inlineStr">
        <is>
          <t>EXP-007</t>
        </is>
      </c>
      <c r="B31" s="46" t="inlineStr">
        <is>
          <t>Connectivity Charges</t>
        </is>
      </c>
      <c r="C31" s="46" t="inlineStr">
        <is>
          <t>5600-5649</t>
        </is>
      </c>
      <c r="D31" s="46" t="inlineStr">
        <is>
          <t>NetOps</t>
        </is>
      </c>
      <c r="E31" s="46" t="n"/>
    </row>
    <row r="32">
      <c r="A32" s="38" t="inlineStr">
        <is>
          <t>EXP-008</t>
        </is>
      </c>
      <c r="B32" s="48" t="inlineStr">
        <is>
          <t>Office Expenses &amp; Rent Allocation</t>
        </is>
      </c>
      <c r="C32" s="48" t="inlineStr">
        <is>
          <t>5700-5799</t>
        </is>
      </c>
      <c r="D32" s="48" t="inlineStr">
        <is>
          <t>All</t>
        </is>
      </c>
      <c r="E32" s="48" t="n"/>
    </row>
    <row r="33">
      <c r="A33" s="36" t="inlineStr">
        <is>
          <t>EXP-009</t>
        </is>
      </c>
      <c r="B33" s="46" t="inlineStr">
        <is>
          <t>Overhead Allocation &amp; Chargebacks</t>
        </is>
      </c>
      <c r="C33" s="46" t="inlineStr">
        <is>
          <t>5800-5899</t>
        </is>
      </c>
      <c r="D33" s="46" t="inlineStr">
        <is>
          <t>All</t>
        </is>
      </c>
      <c r="E33" s="46" t="n"/>
    </row>
    <row r="34">
      <c r="A34" s="38" t="inlineStr">
        <is>
          <t>EXP-010</t>
        </is>
      </c>
      <c r="B34" s="48" t="inlineStr">
        <is>
          <t>Other</t>
        </is>
      </c>
      <c r="C34" s="48" t="inlineStr">
        <is>
          <t>5900-5999</t>
        </is>
      </c>
      <c r="D34" s="48" t="inlineStr">
        <is>
          <t>All</t>
        </is>
      </c>
      <c r="E34" s="48" t="n"/>
    </row>
    <row r="35">
      <c r="A35" s="36" t="inlineStr">
        <is>
          <t>EXP-011</t>
        </is>
      </c>
      <c r="B35" s="46" t="inlineStr">
        <is>
          <t>Reselling Expenses</t>
        </is>
      </c>
      <c r="C35" s="46" t="inlineStr">
        <is>
          <t>6000-6099</t>
        </is>
      </c>
      <c r="D35" s="46" t="inlineStr">
        <is>
          <t>Partners</t>
        </is>
      </c>
      <c r="E35" s="46" t="n"/>
    </row>
    <row r="36">
      <c r="A36" s="51" t="n"/>
      <c r="B36" s="51" t="n"/>
      <c r="C36" s="51" t="n"/>
      <c r="D36" s="51" t="n"/>
      <c r="E36" s="51" t="n"/>
    </row>
    <row r="37">
      <c r="A37" s="51" t="n"/>
      <c r="B37" s="51" t="n"/>
      <c r="C37" s="51" t="n"/>
      <c r="D37" s="51" t="n"/>
      <c r="E37" s="51" t="n"/>
    </row>
    <row r="38">
      <c r="A38" s="45" t="inlineStr">
        <is>
          <t>VENDORS</t>
        </is>
      </c>
      <c r="B38" s="45" t="n"/>
      <c r="C38" s="45" t="n"/>
      <c r="D38" s="45" t="n"/>
      <c r="E38" s="45" t="n"/>
    </row>
    <row r="39">
      <c r="A39" s="34" t="inlineStr">
        <is>
          <t>Vendor Code</t>
        </is>
      </c>
      <c r="B39" s="35" t="inlineStr">
        <is>
          <t>Vendor Name</t>
        </is>
      </c>
      <c r="C39" s="35" t="inlineStr">
        <is>
          <t>Primary Department</t>
        </is>
      </c>
      <c r="D39" s="35" t="inlineStr">
        <is>
          <t>Primary Product</t>
        </is>
      </c>
      <c r="E39" s="35" t="n"/>
    </row>
    <row r="40">
      <c r="A40" s="36" t="inlineStr">
        <is>
          <t>VEND-001</t>
        </is>
      </c>
      <c r="B40" s="46" t="inlineStr">
        <is>
          <t>Amazon Web Services</t>
        </is>
      </c>
      <c r="C40" s="46" t="inlineStr">
        <is>
          <t>NetOps</t>
        </is>
      </c>
      <c r="D40" s="46" t="inlineStr">
        <is>
          <t>All</t>
        </is>
      </c>
      <c r="E40" s="46" t="n"/>
    </row>
    <row r="41">
      <c r="A41" s="38" t="inlineStr">
        <is>
          <t>VEND-002</t>
        </is>
      </c>
      <c r="B41" s="48" t="inlineStr">
        <is>
          <t>Cloudflare Inc.</t>
        </is>
      </c>
      <c r="C41" s="48" t="inlineStr">
        <is>
          <t>NetOps</t>
        </is>
      </c>
      <c r="D41" s="48" t="inlineStr">
        <is>
          <t>All</t>
        </is>
      </c>
      <c r="E41" s="48" t="n"/>
    </row>
    <row r="42">
      <c r="A42" s="36" t="inlineStr">
        <is>
          <t>VEND-003</t>
        </is>
      </c>
      <c r="B42" s="46" t="inlineStr">
        <is>
          <t>Datadog Inc.</t>
        </is>
      </c>
      <c r="C42" s="46" t="inlineStr">
        <is>
          <t>NetOps</t>
        </is>
      </c>
      <c r="D42" s="46" t="inlineStr">
        <is>
          <t>All</t>
        </is>
      </c>
      <c r="E42" s="46" t="n"/>
    </row>
    <row r="43">
      <c r="A43" s="38" t="inlineStr">
        <is>
          <t>VEND-004</t>
        </is>
      </c>
      <c r="B43" s="48" t="inlineStr">
        <is>
          <t>CrowdStrike Holdings</t>
        </is>
      </c>
      <c r="C43" s="48" t="inlineStr">
        <is>
          <t>Security</t>
        </is>
      </c>
      <c r="D43" s="48" t="inlineStr">
        <is>
          <t>All</t>
        </is>
      </c>
      <c r="E43" s="48" t="n"/>
    </row>
    <row r="44">
      <c r="A44" s="36" t="inlineStr">
        <is>
          <t>VEND-005</t>
        </is>
      </c>
      <c r="B44" s="46" t="inlineStr">
        <is>
          <t>Palo Alto Networks</t>
        </is>
      </c>
      <c r="C44" s="46" t="inlineStr">
        <is>
          <t>Security</t>
        </is>
      </c>
      <c r="D44" s="46" t="inlineStr">
        <is>
          <t>All</t>
        </is>
      </c>
      <c r="E44" s="46" t="n"/>
    </row>
    <row r="45">
      <c r="A45" s="38" t="inlineStr">
        <is>
          <t>VEND-006</t>
        </is>
      </c>
      <c r="B45" s="48" t="inlineStr">
        <is>
          <t>Salesforce Inc.</t>
        </is>
      </c>
      <c r="C45" s="48" t="inlineStr">
        <is>
          <t>Support</t>
        </is>
      </c>
      <c r="D45" s="48" t="inlineStr">
        <is>
          <t>iGO</t>
        </is>
      </c>
      <c r="E45" s="48" t="n"/>
    </row>
    <row r="46">
      <c r="A46" s="36" t="inlineStr">
        <is>
          <t>VEND-007</t>
        </is>
      </c>
      <c r="B46" s="46" t="inlineStr">
        <is>
          <t>Zendesk Inc.</t>
        </is>
      </c>
      <c r="C46" s="46" t="inlineStr">
        <is>
          <t>Support</t>
        </is>
      </c>
      <c r="D46" s="46" t="inlineStr">
        <is>
          <t>Affirm</t>
        </is>
      </c>
      <c r="E46" s="46" t="n"/>
    </row>
    <row r="47">
      <c r="A47" s="38" t="inlineStr">
        <is>
          <t>VEND-008</t>
        </is>
      </c>
      <c r="B47" s="48" t="inlineStr">
        <is>
          <t>Accenture LLP</t>
        </is>
      </c>
      <c r="C47" s="48" t="inlineStr">
        <is>
          <t>R&amp;D</t>
        </is>
      </c>
      <c r="D47" s="48" t="inlineStr">
        <is>
          <t>All</t>
        </is>
      </c>
      <c r="E47" s="48" t="n"/>
    </row>
    <row r="48">
      <c r="A48" s="36" t="inlineStr">
        <is>
          <t>VEND-009</t>
        </is>
      </c>
      <c r="B48" s="46" t="inlineStr">
        <is>
          <t>Cognizant Technology</t>
        </is>
      </c>
      <c r="C48" s="46" t="inlineStr">
        <is>
          <t>R&amp;D</t>
        </is>
      </c>
      <c r="D48" s="46" t="inlineStr">
        <is>
          <t>InsureSight</t>
        </is>
      </c>
      <c r="E48" s="46" t="n"/>
    </row>
    <row r="49">
      <c r="A49" s="38" t="inlineStr">
        <is>
          <t>VEND-010</t>
        </is>
      </c>
      <c r="B49" s="48" t="inlineStr">
        <is>
          <t>WillisTowersWatson</t>
        </is>
      </c>
      <c r="C49" s="48" t="inlineStr">
        <is>
          <t>Partners</t>
        </is>
      </c>
      <c r="D49" s="48" t="inlineStr">
        <is>
          <t>InsureSight</t>
        </is>
      </c>
      <c r="E49" s="48" t="n"/>
    </row>
    <row r="50">
      <c r="A50" s="36" t="inlineStr">
        <is>
          <t>VEND-011</t>
        </is>
      </c>
      <c r="B50" s="46" t="inlineStr">
        <is>
          <t>Deloitte Consulting</t>
        </is>
      </c>
      <c r="C50" s="46" t="inlineStr">
        <is>
          <t>Partners</t>
        </is>
      </c>
      <c r="D50" s="46" t="inlineStr">
        <is>
          <t>All</t>
        </is>
      </c>
      <c r="E50" s="46" t="n"/>
    </row>
    <row r="51">
      <c r="A51" s="38" t="inlineStr">
        <is>
          <t>VEND-012</t>
        </is>
      </c>
      <c r="B51" s="48" t="inlineStr">
        <is>
          <t>Iron Mountain</t>
        </is>
      </c>
      <c r="C51" s="48" t="inlineStr">
        <is>
          <t>Content</t>
        </is>
      </c>
      <c r="D51" s="48" t="inlineStr">
        <is>
          <t>DocFast</t>
        </is>
      </c>
      <c r="E51" s="48" t="n"/>
    </row>
    <row r="52">
      <c r="A52" s="36" t="inlineStr">
        <is>
          <t>VEND-013</t>
        </is>
      </c>
      <c r="B52" s="46" t="inlineStr">
        <is>
          <t>Adobe Systems</t>
        </is>
      </c>
      <c r="C52" s="46" t="inlineStr">
        <is>
          <t>Content</t>
        </is>
      </c>
      <c r="D52" s="46" t="inlineStr">
        <is>
          <t>All</t>
        </is>
      </c>
      <c r="E52" s="46" t="n"/>
    </row>
    <row r="53">
      <c r="A53" s="38" t="inlineStr">
        <is>
          <t>VEND-014</t>
        </is>
      </c>
      <c r="B53" s="48" t="inlineStr">
        <is>
          <t>Microsoft Corp.</t>
        </is>
      </c>
      <c r="C53" s="48" t="inlineStr">
        <is>
          <t>Product Management</t>
        </is>
      </c>
      <c r="D53" s="48" t="inlineStr">
        <is>
          <t>All</t>
        </is>
      </c>
      <c r="E53" s="48" t="n"/>
    </row>
    <row r="54">
      <c r="A54" s="36" t="inlineStr">
        <is>
          <t>VEND-015</t>
        </is>
      </c>
      <c r="B54" s="46" t="inlineStr">
        <is>
          <t>Atlassian Inc.</t>
        </is>
      </c>
      <c r="C54" s="46" t="inlineStr">
        <is>
          <t>Product Management</t>
        </is>
      </c>
      <c r="D54" s="46" t="inlineStr">
        <is>
          <t>All</t>
        </is>
      </c>
      <c r="E54" s="46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2E8B8B"/>
    <outlinePr summaryBelow="1" summaryRight="1"/>
    <pageSetUpPr/>
  </sheetPr>
  <dimension ref="A1:F42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6328125" defaultRowHeight="14.5"/>
  <cols>
    <col width="38" customWidth="1" min="1" max="1"/>
    <col width="22" customWidth="1" min="2" max="2"/>
    <col width="22" customWidth="1" min="3" max="6"/>
    <col width="14" customWidth="1" min="4" max="4"/>
    <col width="14" customWidth="1" min="5" max="5"/>
    <col width="22" customWidth="1" min="6" max="6"/>
  </cols>
  <sheetData>
    <row r="1" ht="15.5" customHeight="1">
      <c r="A1" s="42" t="inlineStr">
        <is>
          <t>Keystone BenefitTech, Inc.</t>
        </is>
      </c>
      <c r="F1" s="43" t="inlineStr">
        <is>
          <t>Last Updated: 2026-02-28</t>
        </is>
      </c>
    </row>
    <row r="2">
      <c r="A2" s="44" t="inlineStr">
        <is>
          <t>AWS Cost Allocation Model</t>
        </is>
      </c>
    </row>
    <row r="3">
      <c r="A3" s="51" t="n"/>
      <c r="B3" s="51" t="n"/>
      <c r="C3" s="51" t="n"/>
      <c r="D3" s="51" t="n"/>
      <c r="E3" s="51" t="n"/>
      <c r="F3" s="51" t="n"/>
    </row>
    <row r="4">
      <c r="A4" s="45" t="inlineStr">
        <is>
          <t>SECTION 1: Product Compute Shares</t>
        </is>
      </c>
      <c r="B4" s="45" t="n"/>
      <c r="C4" s="45" t="n"/>
      <c r="D4" s="45" t="n"/>
      <c r="E4" s="45" t="n"/>
      <c r="F4" s="45" t="n"/>
    </row>
    <row r="5">
      <c r="A5" s="34" t="inlineStr">
        <is>
          <t>Product</t>
        </is>
      </c>
      <c r="B5" s="35" t="inlineStr">
        <is>
          <t>Compute Share %</t>
        </is>
      </c>
      <c r="C5" s="35" t="inlineStr">
        <is>
          <t>Monthly AWS Pool ($)</t>
        </is>
      </c>
      <c r="D5" s="35" t="n"/>
      <c r="E5" s="35" t="n"/>
      <c r="F5" s="35" t="n"/>
    </row>
    <row r="6">
      <c r="A6" s="36" t="inlineStr">
        <is>
          <t>iGO</t>
        </is>
      </c>
      <c r="B6" s="49" t="n">
        <v>0.45</v>
      </c>
      <c r="C6" s="49" t="inlineStr">
        <is>
          <t>See Section 2</t>
        </is>
      </c>
      <c r="D6" s="46" t="n"/>
      <c r="E6" s="46" t="n"/>
      <c r="F6" s="46" t="n"/>
    </row>
    <row r="7">
      <c r="A7" s="38" t="inlineStr">
        <is>
          <t>Affirm</t>
        </is>
      </c>
      <c r="B7" s="47" t="n">
        <v>0.25</v>
      </c>
      <c r="C7" s="47" t="inlineStr">
        <is>
          <t>See Section 2</t>
        </is>
      </c>
      <c r="D7" s="48" t="n"/>
      <c r="E7" s="48" t="n"/>
      <c r="F7" s="48" t="n"/>
    </row>
    <row r="8">
      <c r="A8" s="36" t="inlineStr">
        <is>
          <t>InsureSight</t>
        </is>
      </c>
      <c r="B8" s="49" t="n">
        <v>0.2</v>
      </c>
      <c r="C8" s="49" t="inlineStr">
        <is>
          <t>See Section 2</t>
        </is>
      </c>
      <c r="D8" s="46" t="n"/>
      <c r="E8" s="46" t="n"/>
      <c r="F8" s="46" t="n"/>
    </row>
    <row r="9">
      <c r="A9" s="38" t="inlineStr">
        <is>
          <t>DocFast</t>
        </is>
      </c>
      <c r="B9" s="47" t="n">
        <v>0.1</v>
      </c>
      <c r="C9" s="47" t="inlineStr">
        <is>
          <t>See Section 2</t>
        </is>
      </c>
      <c r="D9" s="48" t="n"/>
      <c r="E9" s="48" t="n"/>
      <c r="F9" s="48" t="n"/>
    </row>
    <row r="10">
      <c r="A10" s="54" t="inlineStr">
        <is>
          <t>Total</t>
        </is>
      </c>
      <c r="B10" s="55">
        <f>SUM(B6:B9)</f>
        <v/>
      </c>
      <c r="C10" s="56" t="n"/>
      <c r="D10" s="56" t="n"/>
      <c r="E10" s="56" t="n"/>
      <c r="F10" s="56" t="n"/>
    </row>
    <row r="11">
      <c r="A11" s="51" t="n"/>
      <c r="B11" s="51" t="n"/>
      <c r="C11" s="51" t="n"/>
      <c r="D11" s="51" t="n"/>
      <c r="E11" s="51" t="n"/>
      <c r="F11" s="51" t="n"/>
    </row>
    <row r="12">
      <c r="A12" s="51" t="n"/>
      <c r="B12" s="51" t="n"/>
      <c r="C12" s="51" t="n"/>
      <c r="D12" s="51" t="n"/>
      <c r="E12" s="51" t="n"/>
      <c r="F12" s="51" t="n"/>
    </row>
    <row r="13">
      <c r="A13" s="45" t="inlineStr">
        <is>
          <t>SECTION 2: Monthly AWS Cost Pool</t>
        </is>
      </c>
      <c r="B13" s="45" t="n"/>
      <c r="C13" s="45" t="n"/>
      <c r="D13" s="45" t="n"/>
      <c r="E13" s="45" t="n"/>
      <c r="F13" s="45" t="n"/>
    </row>
    <row r="14">
      <c r="A14" s="34" t="inlineStr">
        <is>
          <t>Month</t>
        </is>
      </c>
      <c r="B14" s="35" t="inlineStr">
        <is>
          <t>Total AWS Cost Pool ($)</t>
        </is>
      </c>
      <c r="C14" s="35" t="inlineStr">
        <is>
          <t>Shared AWS %</t>
        </is>
      </c>
      <c r="D14" s="35" t="inlineStr">
        <is>
          <t>Direct AWS %</t>
        </is>
      </c>
      <c r="E14" s="35" t="n"/>
      <c r="F14" s="35" t="n"/>
    </row>
    <row r="15">
      <c r="A15" s="36" t="inlineStr">
        <is>
          <t>Jan 2025</t>
        </is>
      </c>
      <c r="B15" s="37" t="n">
        <v>1907.66</v>
      </c>
      <c r="C15" s="49" t="n">
        <v>0.3</v>
      </c>
      <c r="D15" s="49" t="n">
        <v>0.7</v>
      </c>
      <c r="E15" s="46" t="n"/>
      <c r="F15" s="46" t="n"/>
    </row>
    <row r="16">
      <c r="A16" s="38" t="inlineStr">
        <is>
          <t>Feb 2025</t>
        </is>
      </c>
      <c r="B16" s="39" t="n">
        <v>1808.49</v>
      </c>
      <c r="C16" s="47" t="n">
        <v>0.3</v>
      </c>
      <c r="D16" s="47" t="n">
        <v>0.7</v>
      </c>
      <c r="E16" s="48" t="n"/>
      <c r="F16" s="48" t="n"/>
    </row>
    <row r="17">
      <c r="A17" s="36" t="inlineStr">
        <is>
          <t>Mar 2025</t>
        </is>
      </c>
      <c r="B17" s="37" t="n">
        <v>2120.48</v>
      </c>
      <c r="C17" s="49" t="n">
        <v>0.3</v>
      </c>
      <c r="D17" s="49" t="n">
        <v>0.7</v>
      </c>
      <c r="E17" s="46" t="n"/>
      <c r="F17" s="46" t="n"/>
    </row>
    <row r="18">
      <c r="A18" s="38" t="inlineStr">
        <is>
          <t>Apr 2025</t>
        </is>
      </c>
      <c r="B18" s="39" t="n">
        <v>1964.59</v>
      </c>
      <c r="C18" s="47" t="n">
        <v>0.3</v>
      </c>
      <c r="D18" s="47" t="n">
        <v>0.7</v>
      </c>
      <c r="E18" s="48" t="n"/>
      <c r="F18" s="48" t="n"/>
    </row>
    <row r="19">
      <c r="A19" s="36" t="inlineStr">
        <is>
          <t>May 2025</t>
        </is>
      </c>
      <c r="B19" s="37" t="n">
        <v>2384.58</v>
      </c>
      <c r="C19" s="49" t="n">
        <v>0.3</v>
      </c>
      <c r="D19" s="49" t="n">
        <v>0.7</v>
      </c>
      <c r="E19" s="46" t="n"/>
      <c r="F19" s="46" t="n"/>
    </row>
    <row r="20">
      <c r="A20" s="38" t="inlineStr">
        <is>
          <t>Jun 2025</t>
        </is>
      </c>
      <c r="B20" s="39" t="n">
        <v>2132.02</v>
      </c>
      <c r="C20" s="47" t="n">
        <v>0.3</v>
      </c>
      <c r="D20" s="47" t="n">
        <v>0.7</v>
      </c>
      <c r="E20" s="48" t="n"/>
      <c r="F20" s="48" t="n"/>
    </row>
    <row r="21">
      <c r="A21" s="36" t="inlineStr">
        <is>
          <t>Jul 2025</t>
        </is>
      </c>
      <c r="B21" s="37" t="n">
        <v>2218.45</v>
      </c>
      <c r="C21" s="49" t="n">
        <v>0.3</v>
      </c>
      <c r="D21" s="49" t="n">
        <v>0.7</v>
      </c>
      <c r="E21" s="46" t="n"/>
      <c r="F21" s="46" t="n"/>
    </row>
    <row r="22">
      <c r="A22" s="38" t="inlineStr">
        <is>
          <t>Aug 2025</t>
        </is>
      </c>
      <c r="B22" s="39" t="n">
        <v>1875.77</v>
      </c>
      <c r="C22" s="47" t="n">
        <v>0.3</v>
      </c>
      <c r="D22" s="47" t="n">
        <v>0.7</v>
      </c>
      <c r="E22" s="48" t="n"/>
      <c r="F22" s="48" t="n"/>
    </row>
    <row r="23">
      <c r="A23" s="36" t="inlineStr">
        <is>
          <t>Sep 2025</t>
        </is>
      </c>
      <c r="B23" s="37" t="n">
        <v>2321.08</v>
      </c>
      <c r="C23" s="49" t="n">
        <v>0.3</v>
      </c>
      <c r="D23" s="49" t="n">
        <v>0.7</v>
      </c>
      <c r="E23" s="46" t="n"/>
      <c r="F23" s="46" t="n"/>
    </row>
    <row r="24">
      <c r="A24" s="38" t="inlineStr">
        <is>
          <t>Oct 2025</t>
        </is>
      </c>
      <c r="B24" s="39" t="n">
        <v>2094.53</v>
      </c>
      <c r="C24" s="47" t="n">
        <v>0.3</v>
      </c>
      <c r="D24" s="47" t="n">
        <v>0.7</v>
      </c>
      <c r="E24" s="48" t="n"/>
      <c r="F24" s="48" t="n"/>
    </row>
    <row r="25">
      <c r="A25" s="36" t="inlineStr">
        <is>
          <t>Nov 2025</t>
        </is>
      </c>
      <c r="B25" s="37" t="n">
        <v>2323.63</v>
      </c>
      <c r="C25" s="49" t="n">
        <v>0.3</v>
      </c>
      <c r="D25" s="49" t="n">
        <v>0.7</v>
      </c>
      <c r="E25" s="46" t="n"/>
      <c r="F25" s="46" t="n"/>
    </row>
    <row r="26">
      <c r="A26" s="38" t="inlineStr">
        <is>
          <t>Dec 2025</t>
        </is>
      </c>
      <c r="B26" s="39" t="n">
        <v>2144.44</v>
      </c>
      <c r="C26" s="47" t="n">
        <v>0.3</v>
      </c>
      <c r="D26" s="47" t="n">
        <v>0.7</v>
      </c>
      <c r="E26" s="48" t="n"/>
      <c r="F26" s="48" t="n"/>
    </row>
    <row r="27">
      <c r="A27" s="51" t="n"/>
      <c r="B27" s="51" t="n"/>
      <c r="C27" s="51" t="n"/>
      <c r="D27" s="51" t="n"/>
      <c r="E27" s="51" t="n"/>
      <c r="F27" s="51" t="n"/>
    </row>
    <row r="28">
      <c r="A28" s="51" t="n"/>
      <c r="B28" s="51" t="n"/>
      <c r="C28" s="51" t="n"/>
      <c r="D28" s="51" t="n"/>
      <c r="E28" s="51" t="n"/>
      <c r="F28" s="51" t="n"/>
    </row>
    <row r="29">
      <c r="A29" s="45" t="inlineStr">
        <is>
          <t>SECTION 3: Allocated AWS by Product by Month</t>
        </is>
      </c>
      <c r="B29" s="45" t="n"/>
      <c r="C29" s="45" t="n"/>
      <c r="D29" s="45" t="n"/>
      <c r="E29" s="45" t="n"/>
      <c r="F29" s="45" t="n"/>
    </row>
    <row r="30">
      <c r="A30" s="34" t="inlineStr">
        <is>
          <t>Month</t>
        </is>
      </c>
      <c r="B30" s="35" t="inlineStr">
        <is>
          <t>iGO</t>
        </is>
      </c>
      <c r="C30" s="35" t="inlineStr">
        <is>
          <t>Affirm</t>
        </is>
      </c>
      <c r="D30" s="35" t="inlineStr">
        <is>
          <t>InsureSight</t>
        </is>
      </c>
      <c r="E30" s="35" t="inlineStr">
        <is>
          <t>DocFast</t>
        </is>
      </c>
      <c r="F30" s="35" t="inlineStr">
        <is>
          <t>Total</t>
        </is>
      </c>
    </row>
    <row r="31">
      <c r="A31" s="36" t="inlineStr">
        <is>
          <t>Jan 2025</t>
        </is>
      </c>
      <c r="B31" s="37">
        <f>$B$6*$B$15</f>
        <v/>
      </c>
      <c r="C31" s="37">
        <f>$B$7*$B$15</f>
        <v/>
      </c>
      <c r="D31" s="37">
        <f>$B$8*$B$15</f>
        <v/>
      </c>
      <c r="E31" s="37">
        <f>$B$9*$B$15</f>
        <v/>
      </c>
      <c r="F31" s="37">
        <f>SUM(B31:E31)</f>
        <v/>
      </c>
    </row>
    <row r="32">
      <c r="A32" s="38" t="inlineStr">
        <is>
          <t>Feb 2025</t>
        </is>
      </c>
      <c r="B32" s="39">
        <f>$B$6*$B$16</f>
        <v/>
      </c>
      <c r="C32" s="39">
        <f>$B$7*$B$16</f>
        <v/>
      </c>
      <c r="D32" s="39">
        <f>$B$8*$B$16</f>
        <v/>
      </c>
      <c r="E32" s="39">
        <f>$B$9*$B$16</f>
        <v/>
      </c>
      <c r="F32" s="39">
        <f>SUM(B32:E32)</f>
        <v/>
      </c>
    </row>
    <row r="33">
      <c r="A33" s="36" t="inlineStr">
        <is>
          <t>Mar 2025</t>
        </is>
      </c>
      <c r="B33" s="37">
        <f>$B$6*$B$17</f>
        <v/>
      </c>
      <c r="C33" s="37">
        <f>$B$7*$B$17</f>
        <v/>
      </c>
      <c r="D33" s="37">
        <f>$B$8*$B$17</f>
        <v/>
      </c>
      <c r="E33" s="37">
        <f>$B$9*$B$17</f>
        <v/>
      </c>
      <c r="F33" s="37">
        <f>SUM(B33:E33)</f>
        <v/>
      </c>
    </row>
    <row r="34">
      <c r="A34" s="38" t="inlineStr">
        <is>
          <t>Apr 2025</t>
        </is>
      </c>
      <c r="B34" s="39">
        <f>$B$6*$B$18</f>
        <v/>
      </c>
      <c r="C34" s="39">
        <f>$B$7*$B$18</f>
        <v/>
      </c>
      <c r="D34" s="39">
        <f>$B$8*$B$18</f>
        <v/>
      </c>
      <c r="E34" s="39">
        <f>$B$9*$B$18</f>
        <v/>
      </c>
      <c r="F34" s="39">
        <f>SUM(B34:E34)</f>
        <v/>
      </c>
    </row>
    <row r="35">
      <c r="A35" s="36" t="inlineStr">
        <is>
          <t>May 2025</t>
        </is>
      </c>
      <c r="B35" s="37">
        <f>$B$6*$B$19</f>
        <v/>
      </c>
      <c r="C35" s="37">
        <f>$B$7*$B$19</f>
        <v/>
      </c>
      <c r="D35" s="37">
        <f>$B$8*$B$19</f>
        <v/>
      </c>
      <c r="E35" s="37">
        <f>$B$9*$B$19</f>
        <v/>
      </c>
      <c r="F35" s="37">
        <f>SUM(B35:E35)</f>
        <v/>
      </c>
    </row>
    <row r="36">
      <c r="A36" s="38" t="inlineStr">
        <is>
          <t>Jun 2025</t>
        </is>
      </c>
      <c r="B36" s="39">
        <f>$B$6*$B$20</f>
        <v/>
      </c>
      <c r="C36" s="39">
        <f>$B$7*$B$20</f>
        <v/>
      </c>
      <c r="D36" s="39">
        <f>$B$8*$B$20</f>
        <v/>
      </c>
      <c r="E36" s="39">
        <f>$B$9*$B$20</f>
        <v/>
      </c>
      <c r="F36" s="39">
        <f>SUM(B36:E36)</f>
        <v/>
      </c>
    </row>
    <row r="37">
      <c r="A37" s="36" t="inlineStr">
        <is>
          <t>Jul 2025</t>
        </is>
      </c>
      <c r="B37" s="37">
        <f>$B$6*$B$21</f>
        <v/>
      </c>
      <c r="C37" s="37">
        <f>$B$7*$B$21</f>
        <v/>
      </c>
      <c r="D37" s="37">
        <f>$B$8*$B$21</f>
        <v/>
      </c>
      <c r="E37" s="37">
        <f>$B$9*$B$21</f>
        <v/>
      </c>
      <c r="F37" s="37">
        <f>SUM(B37:E37)</f>
        <v/>
      </c>
    </row>
    <row r="38">
      <c r="A38" s="38" t="inlineStr">
        <is>
          <t>Aug 2025</t>
        </is>
      </c>
      <c r="B38" s="39">
        <f>$B$6*$B$22</f>
        <v/>
      </c>
      <c r="C38" s="39">
        <f>$B$7*$B$22</f>
        <v/>
      </c>
      <c r="D38" s="39">
        <f>$B$8*$B$22</f>
        <v/>
      </c>
      <c r="E38" s="39">
        <f>$B$9*$B$22</f>
        <v/>
      </c>
      <c r="F38" s="39">
        <f>SUM(B38:E38)</f>
        <v/>
      </c>
    </row>
    <row r="39">
      <c r="A39" s="36" t="inlineStr">
        <is>
          <t>Sep 2025</t>
        </is>
      </c>
      <c r="B39" s="37">
        <f>$B$6*$B$23</f>
        <v/>
      </c>
      <c r="C39" s="37">
        <f>$B$7*$B$23</f>
        <v/>
      </c>
      <c r="D39" s="37">
        <f>$B$8*$B$23</f>
        <v/>
      </c>
      <c r="E39" s="37">
        <f>$B$9*$B$23</f>
        <v/>
      </c>
      <c r="F39" s="37">
        <f>SUM(B39:E39)</f>
        <v/>
      </c>
    </row>
    <row r="40">
      <c r="A40" s="38" t="inlineStr">
        <is>
          <t>Oct 2025</t>
        </is>
      </c>
      <c r="B40" s="39">
        <f>$B$6*$B$24</f>
        <v/>
      </c>
      <c r="C40" s="39">
        <f>$B$7*$B$24</f>
        <v/>
      </c>
      <c r="D40" s="39">
        <f>$B$8*$B$24</f>
        <v/>
      </c>
      <c r="E40" s="39">
        <f>$B$9*$B$24</f>
        <v/>
      </c>
      <c r="F40" s="39">
        <f>SUM(B40:E40)</f>
        <v/>
      </c>
    </row>
    <row r="41">
      <c r="A41" s="36" t="inlineStr">
        <is>
          <t>Nov 2025</t>
        </is>
      </c>
      <c r="B41" s="37">
        <f>$B$6*$B$25</f>
        <v/>
      </c>
      <c r="C41" s="37">
        <f>$B$7*$B$25</f>
        <v/>
      </c>
      <c r="D41" s="37">
        <f>$B$8*$B$25</f>
        <v/>
      </c>
      <c r="E41" s="37">
        <f>$B$9*$B$25</f>
        <v/>
      </c>
      <c r="F41" s="37">
        <f>SUM(B41:E41)</f>
        <v/>
      </c>
    </row>
    <row r="42">
      <c r="A42" s="38" t="inlineStr">
        <is>
          <t>Dec 2025</t>
        </is>
      </c>
      <c r="B42" s="39">
        <f>$B$6*$B$26</f>
        <v/>
      </c>
      <c r="C42" s="39">
        <f>$B$7*$B$26</f>
        <v/>
      </c>
      <c r="D42" s="39">
        <f>$B$8*$B$26</f>
        <v/>
      </c>
      <c r="E42" s="39">
        <f>$B$9*$B$26</f>
        <v/>
      </c>
      <c r="F42" s="39">
        <f>SUM(B42:E42)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D9D9D9"/>
    <outlinePr summaryBelow="1" summaryRight="1"/>
    <pageSetUpPr/>
  </sheetPr>
  <dimension ref="A1:J26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4" customWidth="1" min="1" max="1"/>
    <col width="55" customWidth="1" min="2" max="2"/>
    <col width="18" customWidth="1" min="3" max="3"/>
    <col width="18" customWidth="1" min="4" max="6"/>
    <col width="18" customWidth="1" min="5" max="5"/>
    <col width="18" customWidth="1" min="6" max="6"/>
    <col width="18" customWidth="1" min="7" max="7"/>
    <col width="4" customWidth="1" min="8" max="8"/>
  </cols>
  <sheetData>
    <row r="1" ht="45" customHeight="1">
      <c r="A1" s="84" t="inlineStr">
        <is>
          <t>Keystone BenefitTech, Inc.</t>
        </is>
      </c>
      <c r="I1" s="59" t="n"/>
      <c r="J1" s="59" t="n"/>
    </row>
    <row r="2" ht="28" customHeight="1">
      <c r="A2" s="85" t="inlineStr">
        <is>
          <t>P&amp;L Reporting &amp; Allocation Model — FY2025</t>
        </is>
      </c>
      <c r="I2" s="59" t="n"/>
      <c r="J2" s="59" t="n"/>
    </row>
    <row r="3" ht="22" customHeight="1">
      <c r="A3" s="86" t="inlineStr">
        <is>
          <t>Last Updated: 2026-02-28</t>
        </is>
      </c>
      <c r="I3" s="59" t="n"/>
      <c r="J3" s="59" t="n"/>
    </row>
    <row r="4" ht="18.5" customHeight="1">
      <c r="A4" s="59" t="n"/>
      <c r="B4" s="59" t="n"/>
      <c r="C4" s="59" t="n"/>
      <c r="D4" s="59" t="n"/>
      <c r="E4" s="59" t="n"/>
      <c r="F4" s="59" t="n"/>
      <c r="G4" s="59" t="n"/>
      <c r="H4" s="59" t="n"/>
      <c r="I4" s="59" t="n"/>
      <c r="J4" s="59" t="n"/>
    </row>
    <row r="5">
      <c r="A5" s="108" t="inlineStr">
        <is>
          <t>EXECUTIVE SUMMARY</t>
        </is>
      </c>
      <c r="B5" s="87" t="n"/>
      <c r="C5" s="87" t="n"/>
      <c r="D5" s="87" t="n"/>
      <c r="E5" s="87" t="n"/>
      <c r="F5" s="87" t="n"/>
      <c r="G5" s="87" t="n"/>
      <c r="H5" s="87" t="n"/>
      <c r="I5" s="59" t="n"/>
      <c r="J5" s="59" t="n"/>
    </row>
    <row r="6">
      <c r="A6" s="59" t="n"/>
      <c r="B6" s="59" t="n"/>
      <c r="C6" s="63" t="n"/>
      <c r="D6" s="59" t="n"/>
      <c r="E6" s="59" t="n"/>
      <c r="F6" s="59" t="n"/>
      <c r="G6" s="59" t="n"/>
      <c r="H6" s="59" t="n"/>
      <c r="I6" s="59" t="n"/>
      <c r="J6" s="59" t="n"/>
    </row>
    <row r="7" ht="28" customHeight="1">
      <c r="A7" s="59" t="n"/>
      <c r="B7" s="64" t="inlineStr">
        <is>
          <t>FULL YEAR REVENUE</t>
        </is>
      </c>
      <c r="C7" s="88" t="n"/>
      <c r="D7" s="66" t="inlineStr">
        <is>
          <t>CONTRIBUTION MARGIN %</t>
        </is>
      </c>
      <c r="E7" s="88" t="n"/>
      <c r="F7" s="64" t="inlineStr">
        <is>
          <t>TOP PRODUCT BY REVENUE</t>
        </is>
      </c>
      <c r="G7" s="88" t="n"/>
      <c r="H7" s="59" t="n"/>
      <c r="I7" s="59" t="n"/>
      <c r="J7" s="59" t="n"/>
    </row>
    <row r="8" ht="52" customHeight="1">
      <c r="A8" s="59" t="n"/>
      <c r="B8" s="68">
        <f>'P&amp;L - Monthly Trend'!R7</f>
        <v/>
      </c>
      <c r="C8" s="88" t="n"/>
      <c r="D8" s="69">
        <f>'P&amp;L - Monthly Trend'!R10</f>
        <v/>
      </c>
      <c r="E8" s="88" t="n"/>
      <c r="F8" s="70" t="inlineStr">
        <is>
          <t>iGO</t>
        </is>
      </c>
      <c r="G8" s="88" t="n"/>
      <c r="H8" s="59" t="n"/>
      <c r="I8" s="59" t="n"/>
      <c r="J8" s="59" t="n"/>
    </row>
    <row r="9">
      <c r="A9" s="59" t="n"/>
      <c r="B9" s="59" t="n"/>
      <c r="C9" s="59" t="n"/>
      <c r="D9" s="59" t="n"/>
      <c r="E9" s="59" t="n"/>
      <c r="F9" s="59" t="n"/>
      <c r="G9" s="59" t="n"/>
      <c r="H9" s="59" t="n"/>
      <c r="I9" s="59" t="n"/>
      <c r="J9" s="59" t="n"/>
    </row>
    <row r="10" ht="28" customHeight="1">
      <c r="A10" s="59" t="n"/>
      <c r="B10" s="66" t="inlineStr">
        <is>
          <t>BEST MONTH (REVENUE)</t>
        </is>
      </c>
      <c r="C10" s="88" t="n"/>
      <c r="D10" s="64" t="inlineStr">
        <is>
          <t>TOTAL COST OF REVENUE</t>
        </is>
      </c>
      <c r="E10" s="88" t="n"/>
      <c r="F10" s="66" t="inlineStr">
        <is>
          <t>Q4 vs Q1 REVENUE GROWTH</t>
        </is>
      </c>
      <c r="G10" s="88" t="n"/>
      <c r="H10" s="59" t="n"/>
      <c r="I10" s="59" t="n"/>
      <c r="J10" s="59" t="n"/>
    </row>
    <row r="11" ht="52" customHeight="1">
      <c r="A11" s="59" t="n"/>
      <c r="B11" s="71" t="inlineStr">
        <is>
          <t>December</t>
        </is>
      </c>
      <c r="C11" s="88" t="n"/>
      <c r="D11" s="68">
        <f>'P&amp;L - Monthly Trend'!R8</f>
        <v/>
      </c>
      <c r="E11" s="88" t="n"/>
      <c r="F11" s="69">
        <f>('P&amp;L - Monthly Trend'!Q7-'P&amp;L - Monthly Trend'!N7)/'P&amp;L - Monthly Trend'!N7</f>
        <v/>
      </c>
      <c r="G11" s="88" t="n"/>
      <c r="H11" s="59" t="n"/>
      <c r="I11" s="59" t="n"/>
      <c r="J11" s="59" t="n"/>
    </row>
    <row r="12">
      <c r="A12" s="59" t="n"/>
      <c r="B12" s="59" t="inlineStr">
        <is>
          <t>file:///C:\Users\connor.atlee\Downloads\KeystoneBenefitTech_PL_Model.xlsx</t>
        </is>
      </c>
      <c r="C12" s="59" t="n"/>
      <c r="D12" s="59" t="n"/>
      <c r="E12" s="59" t="n"/>
      <c r="F12" s="59" t="n"/>
      <c r="G12" s="59" t="n"/>
      <c r="H12" s="59" t="n"/>
      <c r="I12" s="59" t="n"/>
      <c r="J12" s="59" t="n"/>
    </row>
    <row r="13">
      <c r="A13" s="59" t="n"/>
      <c r="B13" s="108" t="inlineStr">
        <is>
          <t>TABLE OF CONTENTS</t>
        </is>
      </c>
      <c r="C13" s="87" t="n"/>
      <c r="D13" s="87" t="n"/>
      <c r="E13" s="87" t="n"/>
      <c r="F13" s="87" t="n"/>
      <c r="G13" s="87" t="n"/>
      <c r="H13" s="59" t="n"/>
      <c r="I13" s="59" t="n"/>
      <c r="J13" s="59" t="n"/>
    </row>
    <row r="14">
      <c r="A14" s="59" t="n"/>
      <c r="B14" s="59" t="inlineStr">
        <is>
          <t>file:///C:\Users\connor.atlee\Downloads\KeystoneBenefitTech_PL_Model.xlsx</t>
        </is>
      </c>
      <c r="C14" s="59" t="n"/>
      <c r="D14" s="59" t="n"/>
      <c r="E14" s="59" t="n"/>
      <c r="F14" s="59" t="n"/>
      <c r="G14" s="59" t="n"/>
      <c r="H14" s="59" t="n"/>
      <c r="I14" s="59" t="n"/>
      <c r="J14" s="59" t="n"/>
    </row>
    <row r="15">
      <c r="A15" s="36" t="n"/>
      <c r="B15" s="72" t="inlineStr">
        <is>
          <t>Assumptions &amp; Driver Table</t>
        </is>
      </c>
      <c r="C15" s="36" t="n"/>
      <c r="D15" s="36" t="n"/>
      <c r="E15" s="36" t="n"/>
      <c r="F15" s="36" t="n"/>
      <c r="G15" s="36" t="n"/>
      <c r="H15" s="36" t="n"/>
      <c r="I15" s="59" t="n"/>
      <c r="J15" s="59" t="n"/>
    </row>
    <row r="16">
      <c r="A16" s="38" t="n"/>
      <c r="B16" s="73" t="inlineStr">
        <is>
          <t>Data Dictionary — Products, Departments, Vendors</t>
        </is>
      </c>
      <c r="C16" s="38" t="n"/>
      <c r="D16" s="38" t="n"/>
      <c r="E16" s="38" t="n"/>
      <c r="F16" s="38" t="n"/>
      <c r="G16" s="38" t="n"/>
      <c r="H16" s="38" t="n"/>
      <c r="I16" s="59" t="n"/>
      <c r="J16" s="59" t="n"/>
    </row>
    <row r="17">
      <c r="A17" s="36" t="n"/>
      <c r="B17" s="72" t="inlineStr">
        <is>
          <t>AWS Cost Allocation Model</t>
        </is>
      </c>
      <c r="C17" s="36" t="n"/>
      <c r="D17" s="36" t="n"/>
      <c r="E17" s="36" t="n"/>
      <c r="F17" s="36" t="n"/>
      <c r="G17" s="36" t="n"/>
      <c r="H17" s="36" t="n"/>
      <c r="I17" s="59" t="n"/>
      <c r="J17" s="59" t="n"/>
    </row>
    <row r="18">
      <c r="A18" s="38" t="n"/>
      <c r="B18" s="73" t="inlineStr">
        <is>
          <t>P&amp;L Monthly Trend — Consolidated &amp; By Product</t>
        </is>
      </c>
      <c r="C18" s="38" t="n"/>
      <c r="D18" s="38" t="n"/>
      <c r="E18" s="38" t="n"/>
      <c r="F18" s="38" t="n"/>
      <c r="G18" s="38" t="n"/>
      <c r="H18" s="38" t="n"/>
      <c r="I18" s="59" t="n"/>
      <c r="J18" s="59" t="n"/>
    </row>
    <row r="19">
      <c r="A19" s="36" t="n"/>
      <c r="B19" s="72" t="inlineStr">
        <is>
          <t>Product Line Summary — Revenue &amp; Expenses</t>
        </is>
      </c>
      <c r="C19" s="36" t="n"/>
      <c r="D19" s="36" t="n"/>
      <c r="E19" s="36" t="n"/>
      <c r="F19" s="36" t="n"/>
      <c r="G19" s="36" t="n"/>
      <c r="H19" s="36" t="n"/>
      <c r="I19" s="59" t="n"/>
      <c r="J19" s="59" t="n"/>
    </row>
    <row r="20">
      <c r="A20" s="38" t="n"/>
      <c r="B20" s="73" t="inlineStr">
        <is>
          <t>Functional P&amp;L — Monthly Trend by Product</t>
        </is>
      </c>
      <c r="C20" s="38" t="n"/>
      <c r="D20" s="38" t="n"/>
      <c r="E20" s="38" t="n"/>
      <c r="F20" s="38" t="n"/>
      <c r="G20" s="38" t="n"/>
      <c r="H20" s="38" t="n"/>
      <c r="I20" s="59" t="n"/>
      <c r="J20" s="59" t="n"/>
    </row>
    <row r="21">
      <c r="A21" s="36" t="n"/>
      <c r="B21" s="72" t="inlineStr">
        <is>
          <t>Functional P&amp;L Summary — January 2025</t>
        </is>
      </c>
      <c r="C21" s="36" t="n"/>
      <c r="D21" s="36" t="n"/>
      <c r="E21" s="36" t="n"/>
      <c r="F21" s="36" t="n"/>
      <c r="G21" s="36" t="n"/>
      <c r="H21" s="36" t="n"/>
      <c r="I21" s="59" t="n"/>
      <c r="J21" s="59" t="n"/>
    </row>
    <row r="22">
      <c r="A22" s="38" t="n"/>
      <c r="B22" s="73" t="inlineStr">
        <is>
          <t>Functional P&amp;L Summary — February 2025</t>
        </is>
      </c>
      <c r="C22" s="38" t="n"/>
      <c r="D22" s="38" t="n"/>
      <c r="E22" s="38" t="n"/>
      <c r="F22" s="38" t="n"/>
      <c r="G22" s="38" t="n"/>
      <c r="H22" s="38" t="n"/>
      <c r="I22" s="59" t="n"/>
      <c r="J22" s="59" t="n"/>
    </row>
    <row r="23">
      <c r="A23" s="74" t="n"/>
      <c r="B23" s="72" t="inlineStr">
        <is>
          <t>Functional P&amp;L Summary — March 2025</t>
        </is>
      </c>
      <c r="C23" s="74" t="n"/>
      <c r="D23" s="74" t="n"/>
      <c r="E23" s="74" t="n"/>
      <c r="F23" s="74" t="n"/>
      <c r="G23" s="74" t="n"/>
      <c r="H23" s="74" t="n"/>
    </row>
    <row r="24">
      <c r="A24" s="75" t="n"/>
      <c r="B24" s="73" t="inlineStr">
        <is>
          <t>US Natural P&amp;L — January 2025</t>
        </is>
      </c>
      <c r="C24" s="75" t="n"/>
      <c r="D24" s="75" t="n"/>
      <c r="E24" s="75" t="n"/>
      <c r="F24" s="75" t="n"/>
      <c r="G24" s="75" t="n"/>
      <c r="H24" s="75" t="n"/>
    </row>
    <row r="25">
      <c r="A25" s="74" t="n"/>
      <c r="B25" s="72" t="inlineStr">
        <is>
          <t>Charts &amp; Visuals — FY2025</t>
        </is>
      </c>
      <c r="C25" s="74" t="n"/>
      <c r="D25" s="74" t="n"/>
      <c r="E25" s="74" t="n"/>
      <c r="F25" s="74" t="n"/>
      <c r="G25" s="74" t="n"/>
      <c r="H25" s="74" t="n"/>
    </row>
    <row r="26">
      <c r="A26" s="75" t="n"/>
      <c r="B26" s="73" t="inlineStr">
        <is>
          <t>Reconciliation Checks — Model Health</t>
        </is>
      </c>
      <c r="C26" s="75" t="n"/>
      <c r="D26" s="75" t="n"/>
      <c r="E26" s="75" t="n"/>
      <c r="F26" s="75" t="n"/>
      <c r="G26" s="75" t="n"/>
      <c r="H26" s="75" t="n"/>
    </row>
  </sheetData>
  <mergeCells count="17">
    <mergeCell ref="D8:E8"/>
    <mergeCell ref="A3:H3"/>
    <mergeCell ref="F11:G11"/>
    <mergeCell ref="D10:E10"/>
    <mergeCell ref="D7:E7"/>
    <mergeCell ref="B7:C7"/>
    <mergeCell ref="F10:G10"/>
    <mergeCell ref="B11:C11"/>
    <mergeCell ref="D11:E11"/>
    <mergeCell ref="A2:H2"/>
    <mergeCell ref="A5:H5"/>
    <mergeCell ref="B10:C10"/>
    <mergeCell ref="B13:G13"/>
    <mergeCell ref="A1:H1"/>
    <mergeCell ref="B8:C8"/>
    <mergeCell ref="F7:G7"/>
    <mergeCell ref="F8:G8"/>
  </mergeCells>
  <hyperlinks>
    <hyperlink xmlns:r="http://schemas.openxmlformats.org/officeDocument/2006/relationships" ref="B10" location="'CrossfireHiddenWorksheet'!A1" r:id="rId1"/>
    <hyperlink xmlns:r="http://schemas.openxmlformats.org/officeDocument/2006/relationships" ref="B11" location="'Assumptions'!A1" r:id="rId2"/>
    <hyperlink xmlns:r="http://schemas.openxmlformats.org/officeDocument/2006/relationships" ref="B12" location="'Data%20Dictionary'!A1" r:id="rId3"/>
    <hyperlink xmlns:r="http://schemas.openxmlformats.org/officeDocument/2006/relationships" ref="B13" location="'AWS%20Allocation'!A1" r:id="rId4"/>
    <hyperlink xmlns:r="http://schemas.openxmlformats.org/officeDocument/2006/relationships" ref="B14" location="'Report--%3E'!A1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2" r:id="rId13"/>
    <hyperlink xmlns:r="http://schemas.openxmlformats.org/officeDocument/2006/relationships" ref="B23" r:id="rId14"/>
    <hyperlink xmlns:r="http://schemas.openxmlformats.org/officeDocument/2006/relationships" ref="B24" r:id="rId15"/>
    <hyperlink xmlns:r="http://schemas.openxmlformats.org/officeDocument/2006/relationships" ref="B25" r:id="rId16"/>
    <hyperlink xmlns:r="http://schemas.openxmlformats.org/officeDocument/2006/relationships" ref="B26" r:id="rId17"/>
  </hyperlink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1F4E79"/>
    <outlinePr summaryBelow="1" summaryRight="1"/>
    <pageSetUpPr/>
  </sheetPr>
  <dimension ref="A1:R44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38" customWidth="1" min="1" max="1"/>
    <col width="22" customWidth="1" min="2" max="18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 ht="15.5" customHeight="1">
      <c r="A1" s="42" t="inlineStr">
        <is>
          <t>Keystone BenefitTech, Inc.</t>
        </is>
      </c>
      <c r="R1" s="43" t="inlineStr">
        <is>
          <t>Last Updated: 2026-02-28</t>
        </is>
      </c>
    </row>
    <row r="2">
      <c r="A2" s="44" t="inlineStr">
        <is>
          <t>P&amp;L - Monthly Trend</t>
        </is>
      </c>
    </row>
    <row r="4">
      <c r="A4" s="34" t="inlineStr">
        <is>
          <t>Line Item</t>
        </is>
      </c>
      <c r="B4" s="35" t="inlineStr">
        <is>
          <t>Jan 2025</t>
        </is>
      </c>
      <c r="C4" s="35" t="inlineStr">
        <is>
          <t>Feb 2025</t>
        </is>
      </c>
      <c r="D4" s="35" t="inlineStr">
        <is>
          <t>Mar 2025</t>
        </is>
      </c>
      <c r="E4" s="35" t="inlineStr">
        <is>
          <t>Apr 2025</t>
        </is>
      </c>
      <c r="F4" s="35" t="inlineStr">
        <is>
          <t>May 2025</t>
        </is>
      </c>
      <c r="G4" s="35" t="inlineStr">
        <is>
          <t>Jun 2025</t>
        </is>
      </c>
      <c r="H4" s="35" t="inlineStr">
        <is>
          <t>Jul 2025</t>
        </is>
      </c>
      <c r="I4" s="35" t="inlineStr">
        <is>
          <t>Aug 2025</t>
        </is>
      </c>
      <c r="J4" s="35" t="inlineStr">
        <is>
          <t>Sep 2025</t>
        </is>
      </c>
      <c r="K4" s="35" t="inlineStr">
        <is>
          <t>Oct 2025</t>
        </is>
      </c>
      <c r="L4" s="35" t="inlineStr">
        <is>
          <t>Nov 2025</t>
        </is>
      </c>
      <c r="M4" s="35" t="inlineStr">
        <is>
          <t>Dec 2025</t>
        </is>
      </c>
      <c r="N4" s="35" t="inlineStr">
        <is>
          <t>Q1 2025</t>
        </is>
      </c>
      <c r="O4" s="35" t="inlineStr">
        <is>
          <t>Q2 2025</t>
        </is>
      </c>
      <c r="P4" s="35" t="inlineStr">
        <is>
          <t>Q3 2025</t>
        </is>
      </c>
      <c r="Q4" s="35" t="inlineStr">
        <is>
          <t>Q4 2025</t>
        </is>
      </c>
      <c r="R4" s="35" t="inlineStr">
        <is>
          <t>2025 Total</t>
        </is>
      </c>
    </row>
    <row r="5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</row>
    <row r="6" ht="15.5" customHeight="1">
      <c r="A6" s="45" t="inlineStr">
        <is>
          <t>Consolidated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</row>
    <row r="7">
      <c r="A7" s="54" t="inlineStr">
        <is>
          <t>Revenue</t>
        </is>
      </c>
      <c r="B7" s="76">
        <f>B15+B23+B31+B39</f>
        <v/>
      </c>
      <c r="C7" s="76">
        <f>C15+C23+C31+C39</f>
        <v/>
      </c>
      <c r="D7" s="76">
        <f>D15+D23+D31+D39</f>
        <v/>
      </c>
      <c r="E7" s="76">
        <f>E15+E23+E31+E39</f>
        <v/>
      </c>
      <c r="F7" s="76">
        <f>F15+F23+F31+F39</f>
        <v/>
      </c>
      <c r="G7" s="76">
        <f>G15+G23+G31+G39</f>
        <v/>
      </c>
      <c r="H7" s="76">
        <f>H15+H23+H31+H39</f>
        <v/>
      </c>
      <c r="I7" s="76">
        <f>I15+I23+I31+I39</f>
        <v/>
      </c>
      <c r="J7" s="76">
        <f>J15+J23+J31+J39</f>
        <v/>
      </c>
      <c r="K7" s="76">
        <f>K15+K23+K31+K39</f>
        <v/>
      </c>
      <c r="L7" s="76">
        <f>L15+L23+L31+L39</f>
        <v/>
      </c>
      <c r="M7" s="76">
        <f>M15+M23+M31+M39</f>
        <v/>
      </c>
      <c r="N7" s="76">
        <f>N15+N23+N31+N39</f>
        <v/>
      </c>
      <c r="O7" s="76">
        <f>O15+O23+O31+O39</f>
        <v/>
      </c>
      <c r="P7" s="76">
        <f>P15+P23+P31+P39</f>
        <v/>
      </c>
      <c r="Q7" s="76">
        <f>Q15+Q23+Q31+Q39</f>
        <v/>
      </c>
      <c r="R7" s="76">
        <f>R15+R23+R31+R39</f>
        <v/>
      </c>
    </row>
    <row r="8">
      <c r="A8" s="36" t="inlineStr">
        <is>
          <t>Cost of Revenue</t>
        </is>
      </c>
      <c r="B8" s="37">
        <f>B16+B24+B32+B40</f>
        <v/>
      </c>
      <c r="C8" s="37">
        <f>C16+C24+C32+C40</f>
        <v/>
      </c>
      <c r="D8" s="37">
        <f>D16+D24+D32+D40</f>
        <v/>
      </c>
      <c r="E8" s="37">
        <f>E16+E24+E32+E40</f>
        <v/>
      </c>
      <c r="F8" s="37">
        <f>F16+F24+F32+F40</f>
        <v/>
      </c>
      <c r="G8" s="37">
        <f>G16+G24+G32+G40</f>
        <v/>
      </c>
      <c r="H8" s="37">
        <f>H16+H24+H32+H40</f>
        <v/>
      </c>
      <c r="I8" s="37">
        <f>I16+I24+I32+I40</f>
        <v/>
      </c>
      <c r="J8" s="37">
        <f>J16+J24+J32+J40</f>
        <v/>
      </c>
      <c r="K8" s="37">
        <f>K16+K24+K32+K40</f>
        <v/>
      </c>
      <c r="L8" s="37">
        <f>L16+L24+L32+L40</f>
        <v/>
      </c>
      <c r="M8" s="37">
        <f>M16+M24+M32+M40</f>
        <v/>
      </c>
      <c r="N8" s="37">
        <f>N16+N24+N32+N40</f>
        <v/>
      </c>
      <c r="O8" s="37">
        <f>O16+O24+O32+O40</f>
        <v/>
      </c>
      <c r="P8" s="37">
        <f>P16+P24+P32+P40</f>
        <v/>
      </c>
      <c r="Q8" s="37">
        <f>Q16+Q24+Q32+Q40</f>
        <v/>
      </c>
      <c r="R8" s="37">
        <f>R16+R24+R32+R40</f>
        <v/>
      </c>
    </row>
    <row r="9">
      <c r="A9" s="54" t="inlineStr">
        <is>
          <t>Contribution Margin $</t>
        </is>
      </c>
      <c r="B9" s="76">
        <f>B17+B25+B33+B41</f>
        <v/>
      </c>
      <c r="C9" s="76">
        <f>C17+C25+C33+C41</f>
        <v/>
      </c>
      <c r="D9" s="76">
        <f>D17+D25+D33+D41</f>
        <v/>
      </c>
      <c r="E9" s="76">
        <f>E17+E25+E33+E41</f>
        <v/>
      </c>
      <c r="F9" s="76">
        <f>F17+F25+F33+F41</f>
        <v/>
      </c>
      <c r="G9" s="76">
        <f>G17+G25+G33+G41</f>
        <v/>
      </c>
      <c r="H9" s="76">
        <f>H17+H25+H33+H41</f>
        <v/>
      </c>
      <c r="I9" s="76">
        <f>I17+I25+I33+I41</f>
        <v/>
      </c>
      <c r="J9" s="76">
        <f>J17+J25+J33+J41</f>
        <v/>
      </c>
      <c r="K9" s="76">
        <f>K17+K25+K33+K41</f>
        <v/>
      </c>
      <c r="L9" s="76">
        <f>L17+L25+L33+L41</f>
        <v/>
      </c>
      <c r="M9" s="76">
        <f>M17+M25+M33+M41</f>
        <v/>
      </c>
      <c r="N9" s="76">
        <f>N17+N25+N33+N41</f>
        <v/>
      </c>
      <c r="O9" s="76">
        <f>O17+O25+O33+O41</f>
        <v/>
      </c>
      <c r="P9" s="76">
        <f>P17+P25+P33+P41</f>
        <v/>
      </c>
      <c r="Q9" s="76">
        <f>Q17+Q25+Q33+Q41</f>
        <v/>
      </c>
      <c r="R9" s="76">
        <f>R17+R25+R33+R41</f>
        <v/>
      </c>
    </row>
    <row r="10">
      <c r="A10" s="38" t="inlineStr">
        <is>
          <t>Contribution Margin %</t>
        </is>
      </c>
      <c r="B10" s="47">
        <f>IFERROR(B9/B7,0)</f>
        <v/>
      </c>
      <c r="C10" s="47">
        <f>IFERROR(C9/C7,0)</f>
        <v/>
      </c>
      <c r="D10" s="47">
        <f>IFERROR(D9/D7,0)</f>
        <v/>
      </c>
      <c r="E10" s="47">
        <f>IFERROR(E9/E7,0)</f>
        <v/>
      </c>
      <c r="F10" s="47">
        <f>IFERROR(F9/F7,0)</f>
        <v/>
      </c>
      <c r="G10" s="47">
        <f>IFERROR(G9/G7,0)</f>
        <v/>
      </c>
      <c r="H10" s="47">
        <f>IFERROR(H9/H7,0)</f>
        <v/>
      </c>
      <c r="I10" s="47">
        <f>IFERROR(I9/I7,0)</f>
        <v/>
      </c>
      <c r="J10" s="47">
        <f>IFERROR(J9/J7,0)</f>
        <v/>
      </c>
      <c r="K10" s="47">
        <f>IFERROR(K9/K7,0)</f>
        <v/>
      </c>
      <c r="L10" s="47">
        <f>IFERROR(L9/L7,0)</f>
        <v/>
      </c>
      <c r="M10" s="47">
        <f>IFERROR(M9/M7,0)</f>
        <v/>
      </c>
      <c r="N10" s="47">
        <f>IFERROR(N9/N7,0)</f>
        <v/>
      </c>
      <c r="O10" s="47">
        <f>IFERROR(O9/O7,0)</f>
        <v/>
      </c>
      <c r="P10" s="47">
        <f>IFERROR(P9/P7,0)</f>
        <v/>
      </c>
      <c r="Q10" s="47">
        <f>IFERROR(Q9/Q7,0)</f>
        <v/>
      </c>
      <c r="R10" s="47">
        <f>IFERROR(R9/R7,0)</f>
        <v/>
      </c>
    </row>
    <row r="11">
      <c r="A11" s="36" t="inlineStr">
        <is>
          <t>Contribution Margin + R&amp;D $</t>
        </is>
      </c>
      <c r="B11" s="37">
        <f>B19+B27+B35+B43</f>
        <v/>
      </c>
      <c r="C11" s="37">
        <f>C19+C27+C35+C43</f>
        <v/>
      </c>
      <c r="D11" s="37">
        <f>D19+D27+D35+D43</f>
        <v/>
      </c>
      <c r="E11" s="37">
        <f>E19+E27+E35+E43</f>
        <v/>
      </c>
      <c r="F11" s="37">
        <f>F19+F27+F35+F43</f>
        <v/>
      </c>
      <c r="G11" s="37">
        <f>G19+G27+G35+G43</f>
        <v/>
      </c>
      <c r="H11" s="37">
        <f>H19+H27+H35+H43</f>
        <v/>
      </c>
      <c r="I11" s="37">
        <f>I19+I27+I35+I43</f>
        <v/>
      </c>
      <c r="J11" s="37">
        <f>J19+J27+J35+J43</f>
        <v/>
      </c>
      <c r="K11" s="37">
        <f>K19+K27+K35+K43</f>
        <v/>
      </c>
      <c r="L11" s="37">
        <f>L19+L27+L35+L43</f>
        <v/>
      </c>
      <c r="M11" s="37">
        <f>M19+M27+M35+M43</f>
        <v/>
      </c>
      <c r="N11" s="37">
        <f>N19+N27+N35+N43</f>
        <v/>
      </c>
      <c r="O11" s="37">
        <f>O19+O27+O35+O43</f>
        <v/>
      </c>
      <c r="P11" s="37">
        <f>P19+P27+P35+P43</f>
        <v/>
      </c>
      <c r="Q11" s="37">
        <f>Q19+Q27+Q35+Q43</f>
        <v/>
      </c>
      <c r="R11" s="37">
        <f>R19+R27+R35+R43</f>
        <v/>
      </c>
    </row>
    <row r="12">
      <c r="A12" s="38" t="inlineStr">
        <is>
          <t>Contribution Margin + R&amp;D %</t>
        </is>
      </c>
      <c r="B12" s="47">
        <f>IFERROR(B11/B7,0)</f>
        <v/>
      </c>
      <c r="C12" s="47">
        <f>IFERROR(C11/C7,0)</f>
        <v/>
      </c>
      <c r="D12" s="47">
        <f>IFERROR(D11/D7,0)</f>
        <v/>
      </c>
      <c r="E12" s="47">
        <f>IFERROR(E11/E7,0)</f>
        <v/>
      </c>
      <c r="F12" s="47">
        <f>IFERROR(F11/F7,0)</f>
        <v/>
      </c>
      <c r="G12" s="47">
        <f>IFERROR(G11/G7,0)</f>
        <v/>
      </c>
      <c r="H12" s="47">
        <f>IFERROR(H11/H7,0)</f>
        <v/>
      </c>
      <c r="I12" s="47">
        <f>IFERROR(I11/I7,0)</f>
        <v/>
      </c>
      <c r="J12" s="47">
        <f>IFERROR(J11/J7,0)</f>
        <v/>
      </c>
      <c r="K12" s="47">
        <f>IFERROR(K11/K7,0)</f>
        <v/>
      </c>
      <c r="L12" s="47">
        <f>IFERROR(L11/L7,0)</f>
        <v/>
      </c>
      <c r="M12" s="47">
        <f>IFERROR(M11/M7,0)</f>
        <v/>
      </c>
      <c r="N12" s="47">
        <f>IFERROR(N11/N7,0)</f>
        <v/>
      </c>
      <c r="O12" s="47">
        <f>IFERROR(O11/O7,0)</f>
        <v/>
      </c>
      <c r="P12" s="47">
        <f>IFERROR(P11/P7,0)</f>
        <v/>
      </c>
      <c r="Q12" s="47">
        <f>IFERROR(Q11/Q7,0)</f>
        <v/>
      </c>
      <c r="R12" s="47">
        <f>IFERROR(R11/R7,0)</f>
        <v/>
      </c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</row>
    <row r="14" ht="15.5" customHeight="1">
      <c r="A14" s="45" t="inlineStr">
        <is>
          <t>iGO</t>
        </is>
      </c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</row>
    <row r="15">
      <c r="A15" s="54" t="inlineStr">
        <is>
          <t>Revenue</t>
        </is>
      </c>
      <c r="B15" s="76">
        <f>'Functional P&amp;L - Monthly Trend'!B11</f>
        <v/>
      </c>
      <c r="C15" s="76">
        <f>'Functional P&amp;L - Monthly Trend'!C11</f>
        <v/>
      </c>
      <c r="D15" s="76">
        <f>'Functional P&amp;L - Monthly Trend'!D11</f>
        <v/>
      </c>
      <c r="E15" s="76">
        <f>'Functional P&amp;L - Monthly Trend'!E11</f>
        <v/>
      </c>
      <c r="F15" s="76">
        <f>'Functional P&amp;L - Monthly Trend'!F11</f>
        <v/>
      </c>
      <c r="G15" s="76">
        <f>'Functional P&amp;L - Monthly Trend'!G11</f>
        <v/>
      </c>
      <c r="H15" s="76">
        <f>'Functional P&amp;L - Monthly Trend'!H11</f>
        <v/>
      </c>
      <c r="I15" s="76">
        <f>'Functional P&amp;L - Monthly Trend'!I11</f>
        <v/>
      </c>
      <c r="J15" s="76">
        <f>'Functional P&amp;L - Monthly Trend'!J11</f>
        <v/>
      </c>
      <c r="K15" s="76">
        <f>'Functional P&amp;L - Monthly Trend'!K11</f>
        <v/>
      </c>
      <c r="L15" s="76">
        <f>'Functional P&amp;L - Monthly Trend'!L11</f>
        <v/>
      </c>
      <c r="M15" s="76">
        <f>'Functional P&amp;L - Monthly Trend'!M11</f>
        <v/>
      </c>
      <c r="N15" s="76">
        <f>'Functional P&amp;L - Monthly Trend'!N11</f>
        <v/>
      </c>
      <c r="O15" s="76">
        <f>'Functional P&amp;L - Monthly Trend'!O11</f>
        <v/>
      </c>
      <c r="P15" s="76">
        <f>'Functional P&amp;L - Monthly Trend'!P11</f>
        <v/>
      </c>
      <c r="Q15" s="76">
        <f>'Functional P&amp;L - Monthly Trend'!Q11</f>
        <v/>
      </c>
      <c r="R15" s="76">
        <f>'Functional P&amp;L - Monthly Trend'!R11</f>
        <v/>
      </c>
    </row>
    <row r="16">
      <c r="A16" s="36" t="inlineStr">
        <is>
          <t>Cost of Revenue</t>
        </is>
      </c>
      <c r="B16" s="37">
        <f>'Functional P&amp;L - Monthly Trend'!B21</f>
        <v/>
      </c>
      <c r="C16" s="37">
        <f>'Functional P&amp;L - Monthly Trend'!C21</f>
        <v/>
      </c>
      <c r="D16" s="37">
        <f>'Functional P&amp;L - Monthly Trend'!D21</f>
        <v/>
      </c>
      <c r="E16" s="37">
        <f>'Functional P&amp;L - Monthly Trend'!E21</f>
        <v/>
      </c>
      <c r="F16" s="37">
        <f>'Functional P&amp;L - Monthly Trend'!F21</f>
        <v/>
      </c>
      <c r="G16" s="37">
        <f>'Functional P&amp;L - Monthly Trend'!G21</f>
        <v/>
      </c>
      <c r="H16" s="37">
        <f>'Functional P&amp;L - Monthly Trend'!H21</f>
        <v/>
      </c>
      <c r="I16" s="37">
        <f>'Functional P&amp;L - Monthly Trend'!I21</f>
        <v/>
      </c>
      <c r="J16" s="37">
        <f>'Functional P&amp;L - Monthly Trend'!J21</f>
        <v/>
      </c>
      <c r="K16" s="37">
        <f>'Functional P&amp;L - Monthly Trend'!K21</f>
        <v/>
      </c>
      <c r="L16" s="37">
        <f>'Functional P&amp;L - Monthly Trend'!L21</f>
        <v/>
      </c>
      <c r="M16" s="37">
        <f>'Functional P&amp;L - Monthly Trend'!M21</f>
        <v/>
      </c>
      <c r="N16" s="37">
        <f>'Functional P&amp;L - Monthly Trend'!N21</f>
        <v/>
      </c>
      <c r="O16" s="37">
        <f>'Functional P&amp;L - Monthly Trend'!O21</f>
        <v/>
      </c>
      <c r="P16" s="37">
        <f>'Functional P&amp;L - Monthly Trend'!P21</f>
        <v/>
      </c>
      <c r="Q16" s="37">
        <f>'Functional P&amp;L - Monthly Trend'!Q21</f>
        <v/>
      </c>
      <c r="R16" s="37">
        <f>'Functional P&amp;L - Monthly Trend'!R21</f>
        <v/>
      </c>
    </row>
    <row r="17">
      <c r="A17" s="54" t="inlineStr">
        <is>
          <t>Contribution Margin $</t>
        </is>
      </c>
      <c r="B17" s="76">
        <f>'Functional P&amp;L - Monthly Trend'!B25</f>
        <v/>
      </c>
      <c r="C17" s="76">
        <f>'Functional P&amp;L - Monthly Trend'!C25</f>
        <v/>
      </c>
      <c r="D17" s="76">
        <f>'Functional P&amp;L - Monthly Trend'!D25</f>
        <v/>
      </c>
      <c r="E17" s="76">
        <f>'Functional P&amp;L - Monthly Trend'!E25</f>
        <v/>
      </c>
      <c r="F17" s="76">
        <f>'Functional P&amp;L - Monthly Trend'!F25</f>
        <v/>
      </c>
      <c r="G17" s="76">
        <f>'Functional P&amp;L - Monthly Trend'!G25</f>
        <v/>
      </c>
      <c r="H17" s="76">
        <f>'Functional P&amp;L - Monthly Trend'!H25</f>
        <v/>
      </c>
      <c r="I17" s="76">
        <f>'Functional P&amp;L - Monthly Trend'!I25</f>
        <v/>
      </c>
      <c r="J17" s="76">
        <f>'Functional P&amp;L - Monthly Trend'!J25</f>
        <v/>
      </c>
      <c r="K17" s="76">
        <f>'Functional P&amp;L - Monthly Trend'!K25</f>
        <v/>
      </c>
      <c r="L17" s="76">
        <f>'Functional P&amp;L - Monthly Trend'!L25</f>
        <v/>
      </c>
      <c r="M17" s="76">
        <f>'Functional P&amp;L - Monthly Trend'!M25</f>
        <v/>
      </c>
      <c r="N17" s="76">
        <f>'Functional P&amp;L - Monthly Trend'!N25</f>
        <v/>
      </c>
      <c r="O17" s="76">
        <f>'Functional P&amp;L - Monthly Trend'!O25</f>
        <v/>
      </c>
      <c r="P17" s="76">
        <f>'Functional P&amp;L - Monthly Trend'!P25</f>
        <v/>
      </c>
      <c r="Q17" s="76">
        <f>'Functional P&amp;L - Monthly Trend'!Q25</f>
        <v/>
      </c>
      <c r="R17" s="76">
        <f>'Functional P&amp;L - Monthly Trend'!R25</f>
        <v/>
      </c>
    </row>
    <row r="18">
      <c r="A18" s="38" t="inlineStr">
        <is>
          <t>Contribution Margin %</t>
        </is>
      </c>
      <c r="B18" s="47">
        <f>'Functional P&amp;L - Monthly Trend'!B30</f>
        <v/>
      </c>
      <c r="C18" s="47">
        <f>'Functional P&amp;L - Monthly Trend'!C30</f>
        <v/>
      </c>
      <c r="D18" s="47">
        <f>'Functional P&amp;L - Monthly Trend'!D30</f>
        <v/>
      </c>
      <c r="E18" s="47">
        <f>'Functional P&amp;L - Monthly Trend'!E30</f>
        <v/>
      </c>
      <c r="F18" s="47">
        <f>'Functional P&amp;L - Monthly Trend'!F30</f>
        <v/>
      </c>
      <c r="G18" s="47">
        <f>'Functional P&amp;L - Monthly Trend'!G30</f>
        <v/>
      </c>
      <c r="H18" s="47">
        <f>'Functional P&amp;L - Monthly Trend'!H30</f>
        <v/>
      </c>
      <c r="I18" s="47">
        <f>'Functional P&amp;L - Monthly Trend'!I30</f>
        <v/>
      </c>
      <c r="J18" s="47">
        <f>'Functional P&amp;L - Monthly Trend'!J30</f>
        <v/>
      </c>
      <c r="K18" s="47">
        <f>'Functional P&amp;L - Monthly Trend'!K30</f>
        <v/>
      </c>
      <c r="L18" s="47">
        <f>'Functional P&amp;L - Monthly Trend'!L30</f>
        <v/>
      </c>
      <c r="M18" s="47">
        <f>'Functional P&amp;L - Monthly Trend'!M30</f>
        <v/>
      </c>
      <c r="N18" s="47">
        <f>'Functional P&amp;L - Monthly Trend'!N30</f>
        <v/>
      </c>
      <c r="O18" s="47">
        <f>'Functional P&amp;L - Monthly Trend'!O30</f>
        <v/>
      </c>
      <c r="P18" s="47">
        <f>'Functional P&amp;L - Monthly Trend'!P30</f>
        <v/>
      </c>
      <c r="Q18" s="47">
        <f>'Functional P&amp;L - Monthly Trend'!Q30</f>
        <v/>
      </c>
      <c r="R18" s="47">
        <f>'Functional P&amp;L - Monthly Trend'!R30</f>
        <v/>
      </c>
    </row>
    <row r="19">
      <c r="A19" s="36" t="inlineStr">
        <is>
          <t>Contribution Margin + R&amp;D $</t>
        </is>
      </c>
      <c r="B19" s="37">
        <f>'Functional P&amp;L - Monthly Trend'!B38</f>
        <v/>
      </c>
      <c r="C19" s="37">
        <f>'Functional P&amp;L - Monthly Trend'!C38</f>
        <v/>
      </c>
      <c r="D19" s="37">
        <f>'Functional P&amp;L - Monthly Trend'!D38</f>
        <v/>
      </c>
      <c r="E19" s="37">
        <f>'Functional P&amp;L - Monthly Trend'!E38</f>
        <v/>
      </c>
      <c r="F19" s="37">
        <f>'Functional P&amp;L - Monthly Trend'!F38</f>
        <v/>
      </c>
      <c r="G19" s="37">
        <f>'Functional P&amp;L - Monthly Trend'!G38</f>
        <v/>
      </c>
      <c r="H19" s="37">
        <f>'Functional P&amp;L - Monthly Trend'!H38</f>
        <v/>
      </c>
      <c r="I19" s="37">
        <f>'Functional P&amp;L - Monthly Trend'!I38</f>
        <v/>
      </c>
      <c r="J19" s="37">
        <f>'Functional P&amp;L - Monthly Trend'!J38</f>
        <v/>
      </c>
      <c r="K19" s="37">
        <f>'Functional P&amp;L - Monthly Trend'!K38</f>
        <v/>
      </c>
      <c r="L19" s="37">
        <f>'Functional P&amp;L - Monthly Trend'!L38</f>
        <v/>
      </c>
      <c r="M19" s="37">
        <f>'Functional P&amp;L - Monthly Trend'!M38</f>
        <v/>
      </c>
      <c r="N19" s="37">
        <f>'Functional P&amp;L - Monthly Trend'!N38</f>
        <v/>
      </c>
      <c r="O19" s="37">
        <f>'Functional P&amp;L - Monthly Trend'!O38</f>
        <v/>
      </c>
      <c r="P19" s="37">
        <f>'Functional P&amp;L - Monthly Trend'!P38</f>
        <v/>
      </c>
      <c r="Q19" s="37">
        <f>'Functional P&amp;L - Monthly Trend'!Q38</f>
        <v/>
      </c>
      <c r="R19" s="37">
        <f>'Functional P&amp;L - Monthly Trend'!R38</f>
        <v/>
      </c>
    </row>
    <row r="20">
      <c r="A20" s="38" t="inlineStr">
        <is>
          <t>Contribution Margin + R&amp;D %</t>
        </is>
      </c>
      <c r="B20" s="47">
        <f>'Functional P&amp;L - Monthly Trend'!B39</f>
        <v/>
      </c>
      <c r="C20" s="47">
        <f>'Functional P&amp;L - Monthly Trend'!C39</f>
        <v/>
      </c>
      <c r="D20" s="47">
        <f>'Functional P&amp;L - Monthly Trend'!D39</f>
        <v/>
      </c>
      <c r="E20" s="47">
        <f>'Functional P&amp;L - Monthly Trend'!E39</f>
        <v/>
      </c>
      <c r="F20" s="47">
        <f>'Functional P&amp;L - Monthly Trend'!F39</f>
        <v/>
      </c>
      <c r="G20" s="47">
        <f>'Functional P&amp;L - Monthly Trend'!G39</f>
        <v/>
      </c>
      <c r="H20" s="47">
        <f>'Functional P&amp;L - Monthly Trend'!H39</f>
        <v/>
      </c>
      <c r="I20" s="47">
        <f>'Functional P&amp;L - Monthly Trend'!I39</f>
        <v/>
      </c>
      <c r="J20" s="47">
        <f>'Functional P&amp;L - Monthly Trend'!J39</f>
        <v/>
      </c>
      <c r="K20" s="47">
        <f>'Functional P&amp;L - Monthly Trend'!K39</f>
        <v/>
      </c>
      <c r="L20" s="47">
        <f>'Functional P&amp;L - Monthly Trend'!L39</f>
        <v/>
      </c>
      <c r="M20" s="47">
        <f>'Functional P&amp;L - Monthly Trend'!M39</f>
        <v/>
      </c>
      <c r="N20" s="47">
        <f>'Functional P&amp;L - Monthly Trend'!N39</f>
        <v/>
      </c>
      <c r="O20" s="47">
        <f>'Functional P&amp;L - Monthly Trend'!O39</f>
        <v/>
      </c>
      <c r="P20" s="47">
        <f>'Functional P&amp;L - Monthly Trend'!P39</f>
        <v/>
      </c>
      <c r="Q20" s="47">
        <f>'Functional P&amp;L - Monthly Trend'!Q39</f>
        <v/>
      </c>
      <c r="R20" s="47">
        <f>'Functional P&amp;L - Monthly Trend'!R39</f>
        <v/>
      </c>
    </row>
    <row r="21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</row>
    <row r="22" ht="15.5" customHeight="1">
      <c r="A22" s="45" t="inlineStr">
        <is>
          <t>Affirm</t>
        </is>
      </c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</row>
    <row r="23">
      <c r="A23" s="54" t="inlineStr">
        <is>
          <t>Revenue</t>
        </is>
      </c>
      <c r="B23" s="76">
        <f>'Functional P&amp;L - Monthly Trend'!B47</f>
        <v/>
      </c>
      <c r="C23" s="76">
        <f>'Functional P&amp;L - Monthly Trend'!C47</f>
        <v/>
      </c>
      <c r="D23" s="76">
        <f>'Functional P&amp;L - Monthly Trend'!D47</f>
        <v/>
      </c>
      <c r="E23" s="76">
        <f>'Functional P&amp;L - Monthly Trend'!E47</f>
        <v/>
      </c>
      <c r="F23" s="76">
        <f>'Functional P&amp;L - Monthly Trend'!F47</f>
        <v/>
      </c>
      <c r="G23" s="76">
        <f>'Functional P&amp;L - Monthly Trend'!G47</f>
        <v/>
      </c>
      <c r="H23" s="76">
        <f>'Functional P&amp;L - Monthly Trend'!H47</f>
        <v/>
      </c>
      <c r="I23" s="76">
        <f>'Functional P&amp;L - Monthly Trend'!I47</f>
        <v/>
      </c>
      <c r="J23" s="76">
        <f>'Functional P&amp;L - Monthly Trend'!J47</f>
        <v/>
      </c>
      <c r="K23" s="76">
        <f>'Functional P&amp;L - Monthly Trend'!K47</f>
        <v/>
      </c>
      <c r="L23" s="76">
        <f>'Functional P&amp;L - Monthly Trend'!L47</f>
        <v/>
      </c>
      <c r="M23" s="76">
        <f>'Functional P&amp;L - Monthly Trend'!M47</f>
        <v/>
      </c>
      <c r="N23" s="76">
        <f>'Functional P&amp;L - Monthly Trend'!N47</f>
        <v/>
      </c>
      <c r="O23" s="76">
        <f>'Functional P&amp;L - Monthly Trend'!O47</f>
        <v/>
      </c>
      <c r="P23" s="76">
        <f>'Functional P&amp;L - Monthly Trend'!P47</f>
        <v/>
      </c>
      <c r="Q23" s="76">
        <f>'Functional P&amp;L - Monthly Trend'!Q47</f>
        <v/>
      </c>
      <c r="R23" s="76">
        <f>'Functional P&amp;L - Monthly Trend'!R47</f>
        <v/>
      </c>
    </row>
    <row r="24">
      <c r="A24" s="36" t="inlineStr">
        <is>
          <t>Cost of Revenue</t>
        </is>
      </c>
      <c r="B24" s="37">
        <f>'Functional P&amp;L - Monthly Trend'!B57</f>
        <v/>
      </c>
      <c r="C24" s="37">
        <f>'Functional P&amp;L - Monthly Trend'!C57</f>
        <v/>
      </c>
      <c r="D24" s="37">
        <f>'Functional P&amp;L - Monthly Trend'!D57</f>
        <v/>
      </c>
      <c r="E24" s="37">
        <f>'Functional P&amp;L - Monthly Trend'!E57</f>
        <v/>
      </c>
      <c r="F24" s="37">
        <f>'Functional P&amp;L - Monthly Trend'!F57</f>
        <v/>
      </c>
      <c r="G24" s="37">
        <f>'Functional P&amp;L - Monthly Trend'!G57</f>
        <v/>
      </c>
      <c r="H24" s="37">
        <f>'Functional P&amp;L - Monthly Trend'!H57</f>
        <v/>
      </c>
      <c r="I24" s="37">
        <f>'Functional P&amp;L - Monthly Trend'!I57</f>
        <v/>
      </c>
      <c r="J24" s="37">
        <f>'Functional P&amp;L - Monthly Trend'!J57</f>
        <v/>
      </c>
      <c r="K24" s="37">
        <f>'Functional P&amp;L - Monthly Trend'!K57</f>
        <v/>
      </c>
      <c r="L24" s="37">
        <f>'Functional P&amp;L - Monthly Trend'!L57</f>
        <v/>
      </c>
      <c r="M24" s="37">
        <f>'Functional P&amp;L - Monthly Trend'!M57</f>
        <v/>
      </c>
      <c r="N24" s="37">
        <f>'Functional P&amp;L - Monthly Trend'!N57</f>
        <v/>
      </c>
      <c r="O24" s="37">
        <f>'Functional P&amp;L - Monthly Trend'!O57</f>
        <v/>
      </c>
      <c r="P24" s="37">
        <f>'Functional P&amp;L - Monthly Trend'!P57</f>
        <v/>
      </c>
      <c r="Q24" s="37">
        <f>'Functional P&amp;L - Monthly Trend'!Q57</f>
        <v/>
      </c>
      <c r="R24" s="37">
        <f>'Functional P&amp;L - Monthly Trend'!R57</f>
        <v/>
      </c>
    </row>
    <row r="25">
      <c r="A25" s="54" t="inlineStr">
        <is>
          <t>Contribution Margin $</t>
        </is>
      </c>
      <c r="B25" s="76">
        <f>'Functional P&amp;L - Monthly Trend'!B61</f>
        <v/>
      </c>
      <c r="C25" s="76">
        <f>'Functional P&amp;L - Monthly Trend'!C61</f>
        <v/>
      </c>
      <c r="D25" s="76">
        <f>'Functional P&amp;L - Monthly Trend'!D61</f>
        <v/>
      </c>
      <c r="E25" s="76">
        <f>'Functional P&amp;L - Monthly Trend'!E61</f>
        <v/>
      </c>
      <c r="F25" s="76">
        <f>'Functional P&amp;L - Monthly Trend'!F61</f>
        <v/>
      </c>
      <c r="G25" s="76">
        <f>'Functional P&amp;L - Monthly Trend'!G61</f>
        <v/>
      </c>
      <c r="H25" s="76">
        <f>'Functional P&amp;L - Monthly Trend'!H61</f>
        <v/>
      </c>
      <c r="I25" s="76">
        <f>'Functional P&amp;L - Monthly Trend'!I61</f>
        <v/>
      </c>
      <c r="J25" s="76">
        <f>'Functional P&amp;L - Monthly Trend'!J61</f>
        <v/>
      </c>
      <c r="K25" s="76">
        <f>'Functional P&amp;L - Monthly Trend'!K61</f>
        <v/>
      </c>
      <c r="L25" s="76">
        <f>'Functional P&amp;L - Monthly Trend'!L61</f>
        <v/>
      </c>
      <c r="M25" s="76">
        <f>'Functional P&amp;L - Monthly Trend'!M61</f>
        <v/>
      </c>
      <c r="N25" s="76">
        <f>'Functional P&amp;L - Monthly Trend'!N61</f>
        <v/>
      </c>
      <c r="O25" s="76">
        <f>'Functional P&amp;L - Monthly Trend'!O61</f>
        <v/>
      </c>
      <c r="P25" s="76">
        <f>'Functional P&amp;L - Monthly Trend'!P61</f>
        <v/>
      </c>
      <c r="Q25" s="76">
        <f>'Functional P&amp;L - Monthly Trend'!Q61</f>
        <v/>
      </c>
      <c r="R25" s="76">
        <f>'Functional P&amp;L - Monthly Trend'!R61</f>
        <v/>
      </c>
    </row>
    <row r="26">
      <c r="A26" s="38" t="inlineStr">
        <is>
          <t>Contribution Margin %</t>
        </is>
      </c>
      <c r="B26" s="47">
        <f>'Functional P&amp;L - Monthly Trend'!B66</f>
        <v/>
      </c>
      <c r="C26" s="47">
        <f>'Functional P&amp;L - Monthly Trend'!C66</f>
        <v/>
      </c>
      <c r="D26" s="47">
        <f>'Functional P&amp;L - Monthly Trend'!D66</f>
        <v/>
      </c>
      <c r="E26" s="47">
        <f>'Functional P&amp;L - Monthly Trend'!E66</f>
        <v/>
      </c>
      <c r="F26" s="47">
        <f>'Functional P&amp;L - Monthly Trend'!F66</f>
        <v/>
      </c>
      <c r="G26" s="47">
        <f>'Functional P&amp;L - Monthly Trend'!G66</f>
        <v/>
      </c>
      <c r="H26" s="47">
        <f>'Functional P&amp;L - Monthly Trend'!H66</f>
        <v/>
      </c>
      <c r="I26" s="47">
        <f>'Functional P&amp;L - Monthly Trend'!I66</f>
        <v/>
      </c>
      <c r="J26" s="47">
        <f>'Functional P&amp;L - Monthly Trend'!J66</f>
        <v/>
      </c>
      <c r="K26" s="47">
        <f>'Functional P&amp;L - Monthly Trend'!K66</f>
        <v/>
      </c>
      <c r="L26" s="47">
        <f>'Functional P&amp;L - Monthly Trend'!L66</f>
        <v/>
      </c>
      <c r="M26" s="47">
        <f>'Functional P&amp;L - Monthly Trend'!M66</f>
        <v/>
      </c>
      <c r="N26" s="47">
        <f>'Functional P&amp;L - Monthly Trend'!N66</f>
        <v/>
      </c>
      <c r="O26" s="47">
        <f>'Functional P&amp;L - Monthly Trend'!O66</f>
        <v/>
      </c>
      <c r="P26" s="47">
        <f>'Functional P&amp;L - Monthly Trend'!P66</f>
        <v/>
      </c>
      <c r="Q26" s="47">
        <f>'Functional P&amp;L - Monthly Trend'!Q66</f>
        <v/>
      </c>
      <c r="R26" s="47">
        <f>'Functional P&amp;L - Monthly Trend'!R66</f>
        <v/>
      </c>
    </row>
    <row r="27">
      <c r="A27" s="36" t="inlineStr">
        <is>
          <t>Contribution Margin + R&amp;D $</t>
        </is>
      </c>
      <c r="B27" s="37">
        <f>'Functional P&amp;L - Monthly Trend'!B74</f>
        <v/>
      </c>
      <c r="C27" s="37">
        <f>'Functional P&amp;L - Monthly Trend'!C74</f>
        <v/>
      </c>
      <c r="D27" s="37">
        <f>'Functional P&amp;L - Monthly Trend'!D74</f>
        <v/>
      </c>
      <c r="E27" s="37">
        <f>'Functional P&amp;L - Monthly Trend'!E74</f>
        <v/>
      </c>
      <c r="F27" s="37">
        <f>'Functional P&amp;L - Monthly Trend'!F74</f>
        <v/>
      </c>
      <c r="G27" s="37">
        <f>'Functional P&amp;L - Monthly Trend'!G74</f>
        <v/>
      </c>
      <c r="H27" s="37">
        <f>'Functional P&amp;L - Monthly Trend'!H74</f>
        <v/>
      </c>
      <c r="I27" s="37">
        <f>'Functional P&amp;L - Monthly Trend'!I74</f>
        <v/>
      </c>
      <c r="J27" s="37">
        <f>'Functional P&amp;L - Monthly Trend'!J74</f>
        <v/>
      </c>
      <c r="K27" s="37">
        <f>'Functional P&amp;L - Monthly Trend'!K74</f>
        <v/>
      </c>
      <c r="L27" s="37">
        <f>'Functional P&amp;L - Monthly Trend'!L74</f>
        <v/>
      </c>
      <c r="M27" s="37">
        <f>'Functional P&amp;L - Monthly Trend'!M74</f>
        <v/>
      </c>
      <c r="N27" s="37">
        <f>'Functional P&amp;L - Monthly Trend'!N74</f>
        <v/>
      </c>
      <c r="O27" s="37">
        <f>'Functional P&amp;L - Monthly Trend'!O74</f>
        <v/>
      </c>
      <c r="P27" s="37">
        <f>'Functional P&amp;L - Monthly Trend'!P74</f>
        <v/>
      </c>
      <c r="Q27" s="37">
        <f>'Functional P&amp;L - Monthly Trend'!Q74</f>
        <v/>
      </c>
      <c r="R27" s="37">
        <f>'Functional P&amp;L - Monthly Trend'!R74</f>
        <v/>
      </c>
    </row>
    <row r="28">
      <c r="A28" s="38" t="inlineStr">
        <is>
          <t>Contribution Margin + R&amp;D %</t>
        </is>
      </c>
      <c r="B28" s="47">
        <f>'Functional P&amp;L - Monthly Trend'!B75</f>
        <v/>
      </c>
      <c r="C28" s="47">
        <f>'Functional P&amp;L - Monthly Trend'!C75</f>
        <v/>
      </c>
      <c r="D28" s="47">
        <f>'Functional P&amp;L - Monthly Trend'!D75</f>
        <v/>
      </c>
      <c r="E28" s="47">
        <f>'Functional P&amp;L - Monthly Trend'!E75</f>
        <v/>
      </c>
      <c r="F28" s="47">
        <f>'Functional P&amp;L - Monthly Trend'!F75</f>
        <v/>
      </c>
      <c r="G28" s="47">
        <f>'Functional P&amp;L - Monthly Trend'!G75</f>
        <v/>
      </c>
      <c r="H28" s="47">
        <f>'Functional P&amp;L - Monthly Trend'!H75</f>
        <v/>
      </c>
      <c r="I28" s="47">
        <f>'Functional P&amp;L - Monthly Trend'!I75</f>
        <v/>
      </c>
      <c r="J28" s="47">
        <f>'Functional P&amp;L - Monthly Trend'!J75</f>
        <v/>
      </c>
      <c r="K28" s="47">
        <f>'Functional P&amp;L - Monthly Trend'!K75</f>
        <v/>
      </c>
      <c r="L28" s="47">
        <f>'Functional P&amp;L - Monthly Trend'!L75</f>
        <v/>
      </c>
      <c r="M28" s="47">
        <f>'Functional P&amp;L - Monthly Trend'!M75</f>
        <v/>
      </c>
      <c r="N28" s="47">
        <f>'Functional P&amp;L - Monthly Trend'!N75</f>
        <v/>
      </c>
      <c r="O28" s="47">
        <f>'Functional P&amp;L - Monthly Trend'!O75</f>
        <v/>
      </c>
      <c r="P28" s="47">
        <f>'Functional P&amp;L - Monthly Trend'!P75</f>
        <v/>
      </c>
      <c r="Q28" s="47">
        <f>'Functional P&amp;L - Monthly Trend'!Q75</f>
        <v/>
      </c>
      <c r="R28" s="47">
        <f>'Functional P&amp;L - Monthly Trend'!R75</f>
        <v/>
      </c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</row>
    <row r="30" ht="15.5" customHeight="1">
      <c r="A30" s="45" t="inlineStr">
        <is>
          <t>InsureSight</t>
        </is>
      </c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</row>
    <row r="31">
      <c r="A31" s="54" t="inlineStr">
        <is>
          <t>Revenue</t>
        </is>
      </c>
      <c r="B31" s="76">
        <f>'Functional P&amp;L - Monthly Trend'!B83</f>
        <v/>
      </c>
      <c r="C31" s="76">
        <f>'Functional P&amp;L - Monthly Trend'!C83</f>
        <v/>
      </c>
      <c r="D31" s="76">
        <f>'Functional P&amp;L - Monthly Trend'!D83</f>
        <v/>
      </c>
      <c r="E31" s="76">
        <f>'Functional P&amp;L - Monthly Trend'!E83</f>
        <v/>
      </c>
      <c r="F31" s="76">
        <f>'Functional P&amp;L - Monthly Trend'!F83</f>
        <v/>
      </c>
      <c r="G31" s="76">
        <f>'Functional P&amp;L - Monthly Trend'!G83</f>
        <v/>
      </c>
      <c r="H31" s="76">
        <f>'Functional P&amp;L - Monthly Trend'!H83</f>
        <v/>
      </c>
      <c r="I31" s="76">
        <f>'Functional P&amp;L - Monthly Trend'!I83</f>
        <v/>
      </c>
      <c r="J31" s="76">
        <f>'Functional P&amp;L - Monthly Trend'!J83</f>
        <v/>
      </c>
      <c r="K31" s="76">
        <f>'Functional P&amp;L - Monthly Trend'!K83</f>
        <v/>
      </c>
      <c r="L31" s="76">
        <f>'Functional P&amp;L - Monthly Trend'!L83</f>
        <v/>
      </c>
      <c r="M31" s="76">
        <f>'Functional P&amp;L - Monthly Trend'!M83</f>
        <v/>
      </c>
      <c r="N31" s="76">
        <f>'Functional P&amp;L - Monthly Trend'!N83</f>
        <v/>
      </c>
      <c r="O31" s="76">
        <f>'Functional P&amp;L - Monthly Trend'!O83</f>
        <v/>
      </c>
      <c r="P31" s="76">
        <f>'Functional P&amp;L - Monthly Trend'!P83</f>
        <v/>
      </c>
      <c r="Q31" s="76">
        <f>'Functional P&amp;L - Monthly Trend'!Q83</f>
        <v/>
      </c>
      <c r="R31" s="76">
        <f>'Functional P&amp;L - Monthly Trend'!R83</f>
        <v/>
      </c>
    </row>
    <row r="32">
      <c r="A32" s="36" t="inlineStr">
        <is>
          <t>Cost of Revenue</t>
        </is>
      </c>
      <c r="B32" s="37">
        <f>'Functional P&amp;L - Monthly Trend'!B93</f>
        <v/>
      </c>
      <c r="C32" s="37">
        <f>'Functional P&amp;L - Monthly Trend'!C93</f>
        <v/>
      </c>
      <c r="D32" s="37">
        <f>'Functional P&amp;L - Monthly Trend'!D93</f>
        <v/>
      </c>
      <c r="E32" s="37">
        <f>'Functional P&amp;L - Monthly Trend'!E93</f>
        <v/>
      </c>
      <c r="F32" s="37">
        <f>'Functional P&amp;L - Monthly Trend'!F93</f>
        <v/>
      </c>
      <c r="G32" s="37">
        <f>'Functional P&amp;L - Monthly Trend'!G93</f>
        <v/>
      </c>
      <c r="H32" s="37">
        <f>'Functional P&amp;L - Monthly Trend'!H93</f>
        <v/>
      </c>
      <c r="I32" s="37">
        <f>'Functional P&amp;L - Monthly Trend'!I93</f>
        <v/>
      </c>
      <c r="J32" s="37">
        <f>'Functional P&amp;L - Monthly Trend'!J93</f>
        <v/>
      </c>
      <c r="K32" s="37">
        <f>'Functional P&amp;L - Monthly Trend'!K93</f>
        <v/>
      </c>
      <c r="L32" s="37">
        <f>'Functional P&amp;L - Monthly Trend'!L93</f>
        <v/>
      </c>
      <c r="M32" s="37">
        <f>'Functional P&amp;L - Monthly Trend'!M93</f>
        <v/>
      </c>
      <c r="N32" s="37">
        <f>'Functional P&amp;L - Monthly Trend'!N93</f>
        <v/>
      </c>
      <c r="O32" s="37">
        <f>'Functional P&amp;L - Monthly Trend'!O93</f>
        <v/>
      </c>
      <c r="P32" s="37">
        <f>'Functional P&amp;L - Monthly Trend'!P93</f>
        <v/>
      </c>
      <c r="Q32" s="37">
        <f>'Functional P&amp;L - Monthly Trend'!Q93</f>
        <v/>
      </c>
      <c r="R32" s="37">
        <f>'Functional P&amp;L - Monthly Trend'!R93</f>
        <v/>
      </c>
    </row>
    <row r="33">
      <c r="A33" s="54" t="inlineStr">
        <is>
          <t>Contribution Margin $</t>
        </is>
      </c>
      <c r="B33" s="76">
        <f>'Functional P&amp;L - Monthly Trend'!B97</f>
        <v/>
      </c>
      <c r="C33" s="76">
        <f>'Functional P&amp;L - Monthly Trend'!C97</f>
        <v/>
      </c>
      <c r="D33" s="76">
        <f>'Functional P&amp;L - Monthly Trend'!D97</f>
        <v/>
      </c>
      <c r="E33" s="76">
        <f>'Functional P&amp;L - Monthly Trend'!E97</f>
        <v/>
      </c>
      <c r="F33" s="76">
        <f>'Functional P&amp;L - Monthly Trend'!F97</f>
        <v/>
      </c>
      <c r="G33" s="76">
        <f>'Functional P&amp;L - Monthly Trend'!G97</f>
        <v/>
      </c>
      <c r="H33" s="76">
        <f>'Functional P&amp;L - Monthly Trend'!H97</f>
        <v/>
      </c>
      <c r="I33" s="76">
        <f>'Functional P&amp;L - Monthly Trend'!I97</f>
        <v/>
      </c>
      <c r="J33" s="76">
        <f>'Functional P&amp;L - Monthly Trend'!J97</f>
        <v/>
      </c>
      <c r="K33" s="76">
        <f>'Functional P&amp;L - Monthly Trend'!K97</f>
        <v/>
      </c>
      <c r="L33" s="76">
        <f>'Functional P&amp;L - Monthly Trend'!L97</f>
        <v/>
      </c>
      <c r="M33" s="76">
        <f>'Functional P&amp;L - Monthly Trend'!M97</f>
        <v/>
      </c>
      <c r="N33" s="76">
        <f>'Functional P&amp;L - Monthly Trend'!N97</f>
        <v/>
      </c>
      <c r="O33" s="76">
        <f>'Functional P&amp;L - Monthly Trend'!O97</f>
        <v/>
      </c>
      <c r="P33" s="76">
        <f>'Functional P&amp;L - Monthly Trend'!P97</f>
        <v/>
      </c>
      <c r="Q33" s="76">
        <f>'Functional P&amp;L - Monthly Trend'!Q97</f>
        <v/>
      </c>
      <c r="R33" s="76">
        <f>'Functional P&amp;L - Monthly Trend'!R97</f>
        <v/>
      </c>
    </row>
    <row r="34">
      <c r="A34" s="38" t="inlineStr">
        <is>
          <t>Contribution Margin %</t>
        </is>
      </c>
      <c r="B34" s="47">
        <f>'Functional P&amp;L - Monthly Trend'!B102</f>
        <v/>
      </c>
      <c r="C34" s="47">
        <f>'Functional P&amp;L - Monthly Trend'!C102</f>
        <v/>
      </c>
      <c r="D34" s="47">
        <f>'Functional P&amp;L - Monthly Trend'!D102</f>
        <v/>
      </c>
      <c r="E34" s="47">
        <f>'Functional P&amp;L - Monthly Trend'!E102</f>
        <v/>
      </c>
      <c r="F34" s="47">
        <f>'Functional P&amp;L - Monthly Trend'!F102</f>
        <v/>
      </c>
      <c r="G34" s="47">
        <f>'Functional P&amp;L - Monthly Trend'!G102</f>
        <v/>
      </c>
      <c r="H34" s="47">
        <f>'Functional P&amp;L - Monthly Trend'!H102</f>
        <v/>
      </c>
      <c r="I34" s="47">
        <f>'Functional P&amp;L - Monthly Trend'!I102</f>
        <v/>
      </c>
      <c r="J34" s="47">
        <f>'Functional P&amp;L - Monthly Trend'!J102</f>
        <v/>
      </c>
      <c r="K34" s="47">
        <f>'Functional P&amp;L - Monthly Trend'!K102</f>
        <v/>
      </c>
      <c r="L34" s="47">
        <f>'Functional P&amp;L - Monthly Trend'!L102</f>
        <v/>
      </c>
      <c r="M34" s="47">
        <f>'Functional P&amp;L - Monthly Trend'!M102</f>
        <v/>
      </c>
      <c r="N34" s="47">
        <f>'Functional P&amp;L - Monthly Trend'!N102</f>
        <v/>
      </c>
      <c r="O34" s="47">
        <f>'Functional P&amp;L - Monthly Trend'!O102</f>
        <v/>
      </c>
      <c r="P34" s="47">
        <f>'Functional P&amp;L - Monthly Trend'!P102</f>
        <v/>
      </c>
      <c r="Q34" s="47">
        <f>'Functional P&amp;L - Monthly Trend'!Q102</f>
        <v/>
      </c>
      <c r="R34" s="47">
        <f>'Functional P&amp;L - Monthly Trend'!R102</f>
        <v/>
      </c>
    </row>
    <row r="35">
      <c r="A35" s="36" t="inlineStr">
        <is>
          <t>Contribution Margin + R&amp;D $</t>
        </is>
      </c>
      <c r="B35" s="37">
        <f>'Functional P&amp;L - Monthly Trend'!B110</f>
        <v/>
      </c>
      <c r="C35" s="37">
        <f>'Functional P&amp;L - Monthly Trend'!C110</f>
        <v/>
      </c>
      <c r="D35" s="37">
        <f>'Functional P&amp;L - Monthly Trend'!D110</f>
        <v/>
      </c>
      <c r="E35" s="37">
        <f>'Functional P&amp;L - Monthly Trend'!E110</f>
        <v/>
      </c>
      <c r="F35" s="37">
        <f>'Functional P&amp;L - Monthly Trend'!F110</f>
        <v/>
      </c>
      <c r="G35" s="37">
        <f>'Functional P&amp;L - Monthly Trend'!G110</f>
        <v/>
      </c>
      <c r="H35" s="37">
        <f>'Functional P&amp;L - Monthly Trend'!H110</f>
        <v/>
      </c>
      <c r="I35" s="37">
        <f>'Functional P&amp;L - Monthly Trend'!I110</f>
        <v/>
      </c>
      <c r="J35" s="37">
        <f>'Functional P&amp;L - Monthly Trend'!J110</f>
        <v/>
      </c>
      <c r="K35" s="37">
        <f>'Functional P&amp;L - Monthly Trend'!K110</f>
        <v/>
      </c>
      <c r="L35" s="37">
        <f>'Functional P&amp;L - Monthly Trend'!L110</f>
        <v/>
      </c>
      <c r="M35" s="37">
        <f>'Functional P&amp;L - Monthly Trend'!M110</f>
        <v/>
      </c>
      <c r="N35" s="37">
        <f>'Functional P&amp;L - Monthly Trend'!N110</f>
        <v/>
      </c>
      <c r="O35" s="37">
        <f>'Functional P&amp;L - Monthly Trend'!O110</f>
        <v/>
      </c>
      <c r="P35" s="37">
        <f>'Functional P&amp;L - Monthly Trend'!P110</f>
        <v/>
      </c>
      <c r="Q35" s="37">
        <f>'Functional P&amp;L - Monthly Trend'!Q110</f>
        <v/>
      </c>
      <c r="R35" s="37">
        <f>'Functional P&amp;L - Monthly Trend'!R110</f>
        <v/>
      </c>
    </row>
    <row r="36">
      <c r="A36" s="38" t="inlineStr">
        <is>
          <t>Contribution Margin + R&amp;D %</t>
        </is>
      </c>
      <c r="B36" s="47">
        <f>'Functional P&amp;L - Monthly Trend'!B111</f>
        <v/>
      </c>
      <c r="C36" s="47">
        <f>'Functional P&amp;L - Monthly Trend'!C111</f>
        <v/>
      </c>
      <c r="D36" s="47">
        <f>'Functional P&amp;L - Monthly Trend'!D111</f>
        <v/>
      </c>
      <c r="E36" s="47">
        <f>'Functional P&amp;L - Monthly Trend'!E111</f>
        <v/>
      </c>
      <c r="F36" s="47">
        <f>'Functional P&amp;L - Monthly Trend'!F111</f>
        <v/>
      </c>
      <c r="G36" s="47">
        <f>'Functional P&amp;L - Monthly Trend'!G111</f>
        <v/>
      </c>
      <c r="H36" s="47">
        <f>'Functional P&amp;L - Monthly Trend'!H111</f>
        <v/>
      </c>
      <c r="I36" s="47">
        <f>'Functional P&amp;L - Monthly Trend'!I111</f>
        <v/>
      </c>
      <c r="J36" s="47">
        <f>'Functional P&amp;L - Monthly Trend'!J111</f>
        <v/>
      </c>
      <c r="K36" s="47">
        <f>'Functional P&amp;L - Monthly Trend'!K111</f>
        <v/>
      </c>
      <c r="L36" s="47">
        <f>'Functional P&amp;L - Monthly Trend'!L111</f>
        <v/>
      </c>
      <c r="M36" s="47">
        <f>'Functional P&amp;L - Monthly Trend'!M111</f>
        <v/>
      </c>
      <c r="N36" s="47">
        <f>'Functional P&amp;L - Monthly Trend'!N111</f>
        <v/>
      </c>
      <c r="O36" s="47">
        <f>'Functional P&amp;L - Monthly Trend'!O111</f>
        <v/>
      </c>
      <c r="P36" s="47">
        <f>'Functional P&amp;L - Monthly Trend'!P111</f>
        <v/>
      </c>
      <c r="Q36" s="47">
        <f>'Functional P&amp;L - Monthly Trend'!Q111</f>
        <v/>
      </c>
      <c r="R36" s="47">
        <f>'Functional P&amp;L - Monthly Trend'!R111</f>
        <v/>
      </c>
    </row>
    <row r="37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</row>
    <row r="38" ht="15.5" customHeight="1">
      <c r="A38" s="45" t="inlineStr">
        <is>
          <t>DocFast</t>
        </is>
      </c>
      <c r="B38" s="45" t="n"/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</row>
    <row r="39">
      <c r="A39" s="54" t="inlineStr">
        <is>
          <t>Revenue</t>
        </is>
      </c>
      <c r="B39" s="76">
        <f>'Functional P&amp;L - Monthly Trend'!B119</f>
        <v/>
      </c>
      <c r="C39" s="76">
        <f>'Functional P&amp;L - Monthly Trend'!C119</f>
        <v/>
      </c>
      <c r="D39" s="76">
        <f>'Functional P&amp;L - Monthly Trend'!D119</f>
        <v/>
      </c>
      <c r="E39" s="76">
        <f>'Functional P&amp;L - Monthly Trend'!E119</f>
        <v/>
      </c>
      <c r="F39" s="76">
        <f>'Functional P&amp;L - Monthly Trend'!F119</f>
        <v/>
      </c>
      <c r="G39" s="76">
        <f>'Functional P&amp;L - Monthly Trend'!G119</f>
        <v/>
      </c>
      <c r="H39" s="76">
        <f>'Functional P&amp;L - Monthly Trend'!H119</f>
        <v/>
      </c>
      <c r="I39" s="76">
        <f>'Functional P&amp;L - Monthly Trend'!I119</f>
        <v/>
      </c>
      <c r="J39" s="76">
        <f>'Functional P&amp;L - Monthly Trend'!J119</f>
        <v/>
      </c>
      <c r="K39" s="76">
        <f>'Functional P&amp;L - Monthly Trend'!K119</f>
        <v/>
      </c>
      <c r="L39" s="76">
        <f>'Functional P&amp;L - Monthly Trend'!L119</f>
        <v/>
      </c>
      <c r="M39" s="76">
        <f>'Functional P&amp;L - Monthly Trend'!M119</f>
        <v/>
      </c>
      <c r="N39" s="76">
        <f>'Functional P&amp;L - Monthly Trend'!N119</f>
        <v/>
      </c>
      <c r="O39" s="76">
        <f>'Functional P&amp;L - Monthly Trend'!O119</f>
        <v/>
      </c>
      <c r="P39" s="76">
        <f>'Functional P&amp;L - Monthly Trend'!P119</f>
        <v/>
      </c>
      <c r="Q39" s="76">
        <f>'Functional P&amp;L - Monthly Trend'!Q119</f>
        <v/>
      </c>
      <c r="R39" s="76">
        <f>'Functional P&amp;L - Monthly Trend'!R119</f>
        <v/>
      </c>
    </row>
    <row r="40">
      <c r="A40" s="36" t="inlineStr">
        <is>
          <t>Cost of Revenue</t>
        </is>
      </c>
      <c r="B40" s="37">
        <f>'Functional P&amp;L - Monthly Trend'!B129</f>
        <v/>
      </c>
      <c r="C40" s="37">
        <f>'Functional P&amp;L - Monthly Trend'!C129</f>
        <v/>
      </c>
      <c r="D40" s="37">
        <f>'Functional P&amp;L - Monthly Trend'!D129</f>
        <v/>
      </c>
      <c r="E40" s="37">
        <f>'Functional P&amp;L - Monthly Trend'!E129</f>
        <v/>
      </c>
      <c r="F40" s="37">
        <f>'Functional P&amp;L - Monthly Trend'!F129</f>
        <v/>
      </c>
      <c r="G40" s="37">
        <f>'Functional P&amp;L - Monthly Trend'!G129</f>
        <v/>
      </c>
      <c r="H40" s="37">
        <f>'Functional P&amp;L - Monthly Trend'!H129</f>
        <v/>
      </c>
      <c r="I40" s="37">
        <f>'Functional P&amp;L - Monthly Trend'!I129</f>
        <v/>
      </c>
      <c r="J40" s="37">
        <f>'Functional P&amp;L - Monthly Trend'!J129</f>
        <v/>
      </c>
      <c r="K40" s="37">
        <f>'Functional P&amp;L - Monthly Trend'!K129</f>
        <v/>
      </c>
      <c r="L40" s="37">
        <f>'Functional P&amp;L - Monthly Trend'!L129</f>
        <v/>
      </c>
      <c r="M40" s="37">
        <f>'Functional P&amp;L - Monthly Trend'!M129</f>
        <v/>
      </c>
      <c r="N40" s="37">
        <f>'Functional P&amp;L - Monthly Trend'!N129</f>
        <v/>
      </c>
      <c r="O40" s="37">
        <f>'Functional P&amp;L - Monthly Trend'!O129</f>
        <v/>
      </c>
      <c r="P40" s="37">
        <f>'Functional P&amp;L - Monthly Trend'!P129</f>
        <v/>
      </c>
      <c r="Q40" s="37">
        <f>'Functional P&amp;L - Monthly Trend'!Q129</f>
        <v/>
      </c>
      <c r="R40" s="37">
        <f>'Functional P&amp;L - Monthly Trend'!R129</f>
        <v/>
      </c>
    </row>
    <row r="41">
      <c r="A41" s="54" t="inlineStr">
        <is>
          <t>Contribution Margin $</t>
        </is>
      </c>
      <c r="B41" s="76">
        <f>'Functional P&amp;L - Monthly Trend'!B133</f>
        <v/>
      </c>
      <c r="C41" s="76">
        <f>'Functional P&amp;L - Monthly Trend'!C133</f>
        <v/>
      </c>
      <c r="D41" s="76">
        <f>'Functional P&amp;L - Monthly Trend'!D133</f>
        <v/>
      </c>
      <c r="E41" s="76">
        <f>'Functional P&amp;L - Monthly Trend'!E133</f>
        <v/>
      </c>
      <c r="F41" s="76">
        <f>'Functional P&amp;L - Monthly Trend'!F133</f>
        <v/>
      </c>
      <c r="G41" s="76">
        <f>'Functional P&amp;L - Monthly Trend'!G133</f>
        <v/>
      </c>
      <c r="H41" s="76">
        <f>'Functional P&amp;L - Monthly Trend'!H133</f>
        <v/>
      </c>
      <c r="I41" s="76">
        <f>'Functional P&amp;L - Monthly Trend'!I133</f>
        <v/>
      </c>
      <c r="J41" s="76">
        <f>'Functional P&amp;L - Monthly Trend'!J133</f>
        <v/>
      </c>
      <c r="K41" s="76">
        <f>'Functional P&amp;L - Monthly Trend'!K133</f>
        <v/>
      </c>
      <c r="L41" s="76">
        <f>'Functional P&amp;L - Monthly Trend'!L133</f>
        <v/>
      </c>
      <c r="M41" s="76">
        <f>'Functional P&amp;L - Monthly Trend'!M133</f>
        <v/>
      </c>
      <c r="N41" s="76">
        <f>'Functional P&amp;L - Monthly Trend'!N133</f>
        <v/>
      </c>
      <c r="O41" s="76">
        <f>'Functional P&amp;L - Monthly Trend'!O133</f>
        <v/>
      </c>
      <c r="P41" s="76">
        <f>'Functional P&amp;L - Monthly Trend'!P133</f>
        <v/>
      </c>
      <c r="Q41" s="76">
        <f>'Functional P&amp;L - Monthly Trend'!Q133</f>
        <v/>
      </c>
      <c r="R41" s="76">
        <f>'Functional P&amp;L - Monthly Trend'!R133</f>
        <v/>
      </c>
    </row>
    <row r="42">
      <c r="A42" s="38" t="inlineStr">
        <is>
          <t>Contribution Margin %</t>
        </is>
      </c>
      <c r="B42" s="47">
        <f>'Functional P&amp;L - Monthly Trend'!B138</f>
        <v/>
      </c>
      <c r="C42" s="47">
        <f>'Functional P&amp;L - Monthly Trend'!C138</f>
        <v/>
      </c>
      <c r="D42" s="47">
        <f>'Functional P&amp;L - Monthly Trend'!D138</f>
        <v/>
      </c>
      <c r="E42" s="47">
        <f>'Functional P&amp;L - Monthly Trend'!E138</f>
        <v/>
      </c>
      <c r="F42" s="47">
        <f>'Functional P&amp;L - Monthly Trend'!F138</f>
        <v/>
      </c>
      <c r="G42" s="47">
        <f>'Functional P&amp;L - Monthly Trend'!G138</f>
        <v/>
      </c>
      <c r="H42" s="47">
        <f>'Functional P&amp;L - Monthly Trend'!H138</f>
        <v/>
      </c>
      <c r="I42" s="47">
        <f>'Functional P&amp;L - Monthly Trend'!I138</f>
        <v/>
      </c>
      <c r="J42" s="47">
        <f>'Functional P&amp;L - Monthly Trend'!J138</f>
        <v/>
      </c>
      <c r="K42" s="47">
        <f>'Functional P&amp;L - Monthly Trend'!K138</f>
        <v/>
      </c>
      <c r="L42" s="47">
        <f>'Functional P&amp;L - Monthly Trend'!L138</f>
        <v/>
      </c>
      <c r="M42" s="47">
        <f>'Functional P&amp;L - Monthly Trend'!M138</f>
        <v/>
      </c>
      <c r="N42" s="47">
        <f>'Functional P&amp;L - Monthly Trend'!N138</f>
        <v/>
      </c>
      <c r="O42" s="47">
        <f>'Functional P&amp;L - Monthly Trend'!O138</f>
        <v/>
      </c>
      <c r="P42" s="47">
        <f>'Functional P&amp;L - Monthly Trend'!P138</f>
        <v/>
      </c>
      <c r="Q42" s="47">
        <f>'Functional P&amp;L - Monthly Trend'!Q138</f>
        <v/>
      </c>
      <c r="R42" s="47">
        <f>'Functional P&amp;L - Monthly Trend'!R138</f>
        <v/>
      </c>
    </row>
    <row r="43">
      <c r="A43" s="36" t="inlineStr">
        <is>
          <t>Contribution Margin + R&amp;D $</t>
        </is>
      </c>
      <c r="B43" s="37">
        <f>'Functional P&amp;L - Monthly Trend'!B146</f>
        <v/>
      </c>
      <c r="C43" s="37">
        <f>'Functional P&amp;L - Monthly Trend'!C146</f>
        <v/>
      </c>
      <c r="D43" s="37">
        <f>'Functional P&amp;L - Monthly Trend'!D146</f>
        <v/>
      </c>
      <c r="E43" s="37">
        <f>'Functional P&amp;L - Monthly Trend'!E146</f>
        <v/>
      </c>
      <c r="F43" s="37">
        <f>'Functional P&amp;L - Monthly Trend'!F146</f>
        <v/>
      </c>
      <c r="G43" s="37">
        <f>'Functional P&amp;L - Monthly Trend'!G146</f>
        <v/>
      </c>
      <c r="H43" s="37">
        <f>'Functional P&amp;L - Monthly Trend'!H146</f>
        <v/>
      </c>
      <c r="I43" s="37">
        <f>'Functional P&amp;L - Monthly Trend'!I146</f>
        <v/>
      </c>
      <c r="J43" s="37">
        <f>'Functional P&amp;L - Monthly Trend'!J146</f>
        <v/>
      </c>
      <c r="K43" s="37">
        <f>'Functional P&amp;L - Monthly Trend'!K146</f>
        <v/>
      </c>
      <c r="L43" s="37">
        <f>'Functional P&amp;L - Monthly Trend'!L146</f>
        <v/>
      </c>
      <c r="M43" s="37">
        <f>'Functional P&amp;L - Monthly Trend'!M146</f>
        <v/>
      </c>
      <c r="N43" s="37">
        <f>'Functional P&amp;L - Monthly Trend'!N146</f>
        <v/>
      </c>
      <c r="O43" s="37">
        <f>'Functional P&amp;L - Monthly Trend'!O146</f>
        <v/>
      </c>
      <c r="P43" s="37">
        <f>'Functional P&amp;L - Monthly Trend'!P146</f>
        <v/>
      </c>
      <c r="Q43" s="37">
        <f>'Functional P&amp;L - Monthly Trend'!Q146</f>
        <v/>
      </c>
      <c r="R43" s="37">
        <f>'Functional P&amp;L - Monthly Trend'!R146</f>
        <v/>
      </c>
    </row>
    <row r="44">
      <c r="A44" s="38" t="inlineStr">
        <is>
          <t>Contribution Margin + R&amp;D %</t>
        </is>
      </c>
      <c r="B44" s="47">
        <f>'Functional P&amp;L - Monthly Trend'!B147</f>
        <v/>
      </c>
      <c r="C44" s="47">
        <f>'Functional P&amp;L - Monthly Trend'!C147</f>
        <v/>
      </c>
      <c r="D44" s="47">
        <f>'Functional P&amp;L - Monthly Trend'!D147</f>
        <v/>
      </c>
      <c r="E44" s="47">
        <f>'Functional P&amp;L - Monthly Trend'!E147</f>
        <v/>
      </c>
      <c r="F44" s="47">
        <f>'Functional P&amp;L - Monthly Trend'!F147</f>
        <v/>
      </c>
      <c r="G44" s="47">
        <f>'Functional P&amp;L - Monthly Trend'!G147</f>
        <v/>
      </c>
      <c r="H44" s="47">
        <f>'Functional P&amp;L - Monthly Trend'!H147</f>
        <v/>
      </c>
      <c r="I44" s="47">
        <f>'Functional P&amp;L - Monthly Trend'!I147</f>
        <v/>
      </c>
      <c r="J44" s="47">
        <f>'Functional P&amp;L - Monthly Trend'!J147</f>
        <v/>
      </c>
      <c r="K44" s="47">
        <f>'Functional P&amp;L - Monthly Trend'!K147</f>
        <v/>
      </c>
      <c r="L44" s="47">
        <f>'Functional P&amp;L - Monthly Trend'!L147</f>
        <v/>
      </c>
      <c r="M44" s="47">
        <f>'Functional P&amp;L - Monthly Trend'!M147</f>
        <v/>
      </c>
      <c r="N44" s="47">
        <f>'Functional P&amp;L - Monthly Trend'!N147</f>
        <v/>
      </c>
      <c r="O44" s="47">
        <f>'Functional P&amp;L - Monthly Trend'!O147</f>
        <v/>
      </c>
      <c r="P44" s="47">
        <f>'Functional P&amp;L - Monthly Trend'!P147</f>
        <v/>
      </c>
      <c r="Q44" s="47">
        <f>'Functional P&amp;L - Monthly Trend'!Q147</f>
        <v/>
      </c>
      <c r="R44" s="47">
        <f>'Functional P&amp;L - Monthly Trend'!R147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1F4E79"/>
    <outlinePr summaryBelow="1" summaryRight="1"/>
    <pageSetUpPr/>
  </sheetPr>
  <dimension ref="A1:R80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38" customWidth="1" min="1" max="1"/>
    <col width="22" customWidth="1" min="2" max="18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 ht="15.5" customHeight="1">
      <c r="A1" s="42" t="inlineStr">
        <is>
          <t>Keystone BenefitTech, Inc.</t>
        </is>
      </c>
      <c r="R1" s="43" t="inlineStr">
        <is>
          <t>Last Updated: 2026-02-28</t>
        </is>
      </c>
    </row>
    <row r="2">
      <c r="A2" s="44" t="inlineStr">
        <is>
          <t>Product Line Summary — FY2025</t>
        </is>
      </c>
    </row>
    <row r="4">
      <c r="A4" s="34" t="inlineStr">
        <is>
          <t>Line Item</t>
        </is>
      </c>
      <c r="B4" s="35" t="inlineStr">
        <is>
          <t>Jan 2025</t>
        </is>
      </c>
      <c r="C4" s="35" t="inlineStr">
        <is>
          <t>Feb 2025</t>
        </is>
      </c>
      <c r="D4" s="35" t="inlineStr">
        <is>
          <t>Mar 2025</t>
        </is>
      </c>
      <c r="E4" s="35" t="inlineStr">
        <is>
          <t>Apr 2025</t>
        </is>
      </c>
      <c r="F4" s="35" t="inlineStr">
        <is>
          <t>May 2025</t>
        </is>
      </c>
      <c r="G4" s="35" t="inlineStr">
        <is>
          <t>Jun 2025</t>
        </is>
      </c>
      <c r="H4" s="35" t="inlineStr">
        <is>
          <t>Jul 2025</t>
        </is>
      </c>
      <c r="I4" s="35" t="inlineStr">
        <is>
          <t>Aug 2025</t>
        </is>
      </c>
      <c r="J4" s="35" t="inlineStr">
        <is>
          <t>Sep 2025</t>
        </is>
      </c>
      <c r="K4" s="35" t="inlineStr">
        <is>
          <t>Oct 2025</t>
        </is>
      </c>
      <c r="L4" s="35" t="inlineStr">
        <is>
          <t>Nov 2025</t>
        </is>
      </c>
      <c r="M4" s="35" t="inlineStr">
        <is>
          <t>Dec 2025</t>
        </is>
      </c>
      <c r="N4" s="35" t="inlineStr">
        <is>
          <t>Q1 2025</t>
        </is>
      </c>
      <c r="O4" s="35" t="inlineStr">
        <is>
          <t>Q2 2025</t>
        </is>
      </c>
      <c r="P4" s="35" t="inlineStr">
        <is>
          <t>Q3 2025</t>
        </is>
      </c>
      <c r="Q4" s="35" t="inlineStr">
        <is>
          <t>Q4 2025</t>
        </is>
      </c>
      <c r="R4" s="35" t="inlineStr">
        <is>
          <t>2025 Total</t>
        </is>
      </c>
    </row>
    <row r="5">
      <c r="A5" s="45" t="inlineStr">
        <is>
          <t>SECTION 1: P&amp;L Summary</t>
        </is>
      </c>
      <c r="B5" s="45" t="n"/>
      <c r="C5" s="45" t="n"/>
      <c r="D5" s="45" t="n"/>
      <c r="E5" s="45" t="n"/>
      <c r="F5" s="45" t="n"/>
      <c r="G5" s="45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</row>
    <row r="6">
      <c r="A6" s="51" t="n"/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</row>
    <row r="7">
      <c r="A7" s="45" t="inlineStr">
        <is>
          <t>iGO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</row>
    <row r="8">
      <c r="A8" s="54" t="inlineStr">
        <is>
          <t>Revenue</t>
        </is>
      </c>
      <c r="B8" s="76">
        <f>'Functional P&amp;L - Monthly Trend'!B11</f>
        <v/>
      </c>
      <c r="C8" s="76">
        <f>'Functional P&amp;L - Monthly Trend'!C11</f>
        <v/>
      </c>
      <c r="D8" s="76">
        <f>'Functional P&amp;L - Monthly Trend'!D11</f>
        <v/>
      </c>
      <c r="E8" s="76">
        <f>'Functional P&amp;L - Monthly Trend'!E11</f>
        <v/>
      </c>
      <c r="F8" s="76">
        <f>'Functional P&amp;L - Monthly Trend'!F11</f>
        <v/>
      </c>
      <c r="G8" s="76">
        <f>'Functional P&amp;L - Monthly Trend'!G11</f>
        <v/>
      </c>
      <c r="H8" s="76">
        <f>'Functional P&amp;L - Monthly Trend'!H11</f>
        <v/>
      </c>
      <c r="I8" s="76">
        <f>'Functional P&amp;L - Monthly Trend'!I11</f>
        <v/>
      </c>
      <c r="J8" s="76">
        <f>'Functional P&amp;L - Monthly Trend'!J11</f>
        <v/>
      </c>
      <c r="K8" s="76">
        <f>'Functional P&amp;L - Monthly Trend'!K11</f>
        <v/>
      </c>
      <c r="L8" s="76">
        <f>'Functional P&amp;L - Monthly Trend'!L11</f>
        <v/>
      </c>
      <c r="M8" s="76">
        <f>'Functional P&amp;L - Monthly Trend'!M11</f>
        <v/>
      </c>
      <c r="N8" s="76">
        <f>'Functional P&amp;L - Monthly Trend'!N11</f>
        <v/>
      </c>
      <c r="O8" s="76">
        <f>'Functional P&amp;L - Monthly Trend'!O11</f>
        <v/>
      </c>
      <c r="P8" s="76">
        <f>'Functional P&amp;L - Monthly Trend'!P11</f>
        <v/>
      </c>
      <c r="Q8" s="76">
        <f>'Functional P&amp;L - Monthly Trend'!Q11</f>
        <v/>
      </c>
      <c r="R8" s="76">
        <f>'Functional P&amp;L - Monthly Trend'!R11</f>
        <v/>
      </c>
    </row>
    <row r="9">
      <c r="A9" s="36" t="inlineStr">
        <is>
          <t>Cost of Revenue</t>
        </is>
      </c>
      <c r="B9" s="37">
        <f>'Functional P&amp;L - Monthly Trend'!B21</f>
        <v/>
      </c>
      <c r="C9" s="37">
        <f>'Functional P&amp;L - Monthly Trend'!C21</f>
        <v/>
      </c>
      <c r="D9" s="37">
        <f>'Functional P&amp;L - Monthly Trend'!D21</f>
        <v/>
      </c>
      <c r="E9" s="37">
        <f>'Functional P&amp;L - Monthly Trend'!E21</f>
        <v/>
      </c>
      <c r="F9" s="37">
        <f>'Functional P&amp;L - Monthly Trend'!F21</f>
        <v/>
      </c>
      <c r="G9" s="37">
        <f>'Functional P&amp;L - Monthly Trend'!G21</f>
        <v/>
      </c>
      <c r="H9" s="37">
        <f>'Functional P&amp;L - Monthly Trend'!H21</f>
        <v/>
      </c>
      <c r="I9" s="37">
        <f>'Functional P&amp;L - Monthly Trend'!I21</f>
        <v/>
      </c>
      <c r="J9" s="37">
        <f>'Functional P&amp;L - Monthly Trend'!J21</f>
        <v/>
      </c>
      <c r="K9" s="37">
        <f>'Functional P&amp;L - Monthly Trend'!K21</f>
        <v/>
      </c>
      <c r="L9" s="37">
        <f>'Functional P&amp;L - Monthly Trend'!L21</f>
        <v/>
      </c>
      <c r="M9" s="37">
        <f>'Functional P&amp;L - Monthly Trend'!M21</f>
        <v/>
      </c>
      <c r="N9" s="37">
        <f>'Functional P&amp;L - Monthly Trend'!N21</f>
        <v/>
      </c>
      <c r="O9" s="37">
        <f>'Functional P&amp;L - Monthly Trend'!O21</f>
        <v/>
      </c>
      <c r="P9" s="37">
        <f>'Functional P&amp;L - Monthly Trend'!P21</f>
        <v/>
      </c>
      <c r="Q9" s="37">
        <f>'Functional P&amp;L - Monthly Trend'!Q21</f>
        <v/>
      </c>
      <c r="R9" s="37">
        <f>'Functional P&amp;L - Monthly Trend'!R21</f>
        <v/>
      </c>
    </row>
    <row r="10">
      <c r="A10" s="54" t="inlineStr">
        <is>
          <t>Contribution Margin $</t>
        </is>
      </c>
      <c r="B10" s="76">
        <f>'Functional P&amp;L - Monthly Trend'!B25</f>
        <v/>
      </c>
      <c r="C10" s="76">
        <f>'Functional P&amp;L - Monthly Trend'!C25</f>
        <v/>
      </c>
      <c r="D10" s="76">
        <f>'Functional P&amp;L - Monthly Trend'!D25</f>
        <v/>
      </c>
      <c r="E10" s="76">
        <f>'Functional P&amp;L - Monthly Trend'!E25</f>
        <v/>
      </c>
      <c r="F10" s="76">
        <f>'Functional P&amp;L - Monthly Trend'!F25</f>
        <v/>
      </c>
      <c r="G10" s="76">
        <f>'Functional P&amp;L - Monthly Trend'!G25</f>
        <v/>
      </c>
      <c r="H10" s="76">
        <f>'Functional P&amp;L - Monthly Trend'!H25</f>
        <v/>
      </c>
      <c r="I10" s="76">
        <f>'Functional P&amp;L - Monthly Trend'!I25</f>
        <v/>
      </c>
      <c r="J10" s="76">
        <f>'Functional P&amp;L - Monthly Trend'!J25</f>
        <v/>
      </c>
      <c r="K10" s="76">
        <f>'Functional P&amp;L - Monthly Trend'!K25</f>
        <v/>
      </c>
      <c r="L10" s="76">
        <f>'Functional P&amp;L - Monthly Trend'!L25</f>
        <v/>
      </c>
      <c r="M10" s="76">
        <f>'Functional P&amp;L - Monthly Trend'!M25</f>
        <v/>
      </c>
      <c r="N10" s="76">
        <f>'Functional P&amp;L - Monthly Trend'!N25</f>
        <v/>
      </c>
      <c r="O10" s="76">
        <f>'Functional P&amp;L - Monthly Trend'!O25</f>
        <v/>
      </c>
      <c r="P10" s="76">
        <f>'Functional P&amp;L - Monthly Trend'!P25</f>
        <v/>
      </c>
      <c r="Q10" s="76">
        <f>'Functional P&amp;L - Monthly Trend'!Q25</f>
        <v/>
      </c>
      <c r="R10" s="76">
        <f>'Functional P&amp;L - Monthly Trend'!R25</f>
        <v/>
      </c>
    </row>
    <row r="11">
      <c r="A11" s="38" t="inlineStr">
        <is>
          <t>Contribution Margin %</t>
        </is>
      </c>
      <c r="B11" s="47">
        <f>'Functional P&amp;L - Monthly Trend'!B30</f>
        <v/>
      </c>
      <c r="C11" s="47">
        <f>'Functional P&amp;L - Monthly Trend'!C30</f>
        <v/>
      </c>
      <c r="D11" s="47">
        <f>'Functional P&amp;L - Monthly Trend'!D30</f>
        <v/>
      </c>
      <c r="E11" s="47">
        <f>'Functional P&amp;L - Monthly Trend'!E30</f>
        <v/>
      </c>
      <c r="F11" s="47">
        <f>'Functional P&amp;L - Monthly Trend'!F30</f>
        <v/>
      </c>
      <c r="G11" s="47">
        <f>'Functional P&amp;L - Monthly Trend'!G30</f>
        <v/>
      </c>
      <c r="H11" s="47">
        <f>'Functional P&amp;L - Monthly Trend'!H30</f>
        <v/>
      </c>
      <c r="I11" s="47">
        <f>'Functional P&amp;L - Monthly Trend'!I30</f>
        <v/>
      </c>
      <c r="J11" s="47">
        <f>'Functional P&amp;L - Monthly Trend'!J30</f>
        <v/>
      </c>
      <c r="K11" s="47">
        <f>'Functional P&amp;L - Monthly Trend'!K30</f>
        <v/>
      </c>
      <c r="L11" s="47">
        <f>'Functional P&amp;L - Monthly Trend'!L30</f>
        <v/>
      </c>
      <c r="M11" s="47">
        <f>'Functional P&amp;L - Monthly Trend'!M30</f>
        <v/>
      </c>
      <c r="N11" s="47">
        <f>'Functional P&amp;L - Monthly Trend'!N30</f>
        <v/>
      </c>
      <c r="O11" s="47">
        <f>'Functional P&amp;L - Monthly Trend'!O30</f>
        <v/>
      </c>
      <c r="P11" s="47">
        <f>'Functional P&amp;L - Monthly Trend'!P30</f>
        <v/>
      </c>
      <c r="Q11" s="47">
        <f>'Functional P&amp;L - Monthly Trend'!Q30</f>
        <v/>
      </c>
      <c r="R11" s="47">
        <f>'Functional P&amp;L - Monthly Trend'!R30</f>
        <v/>
      </c>
    </row>
    <row r="12">
      <c r="A12" s="36" t="inlineStr">
        <is>
          <t>Contribution Margin + R&amp;D $</t>
        </is>
      </c>
      <c r="B12" s="37">
        <f>'Functional P&amp;L - Monthly Trend'!B38</f>
        <v/>
      </c>
      <c r="C12" s="37">
        <f>'Functional P&amp;L - Monthly Trend'!C38</f>
        <v/>
      </c>
      <c r="D12" s="37">
        <f>'Functional P&amp;L - Monthly Trend'!D38</f>
        <v/>
      </c>
      <c r="E12" s="37">
        <f>'Functional P&amp;L - Monthly Trend'!E38</f>
        <v/>
      </c>
      <c r="F12" s="37">
        <f>'Functional P&amp;L - Monthly Trend'!F38</f>
        <v/>
      </c>
      <c r="G12" s="37">
        <f>'Functional P&amp;L - Monthly Trend'!G38</f>
        <v/>
      </c>
      <c r="H12" s="37">
        <f>'Functional P&amp;L - Monthly Trend'!H38</f>
        <v/>
      </c>
      <c r="I12" s="37">
        <f>'Functional P&amp;L - Monthly Trend'!I38</f>
        <v/>
      </c>
      <c r="J12" s="37">
        <f>'Functional P&amp;L - Monthly Trend'!J38</f>
        <v/>
      </c>
      <c r="K12" s="37">
        <f>'Functional P&amp;L - Monthly Trend'!K38</f>
        <v/>
      </c>
      <c r="L12" s="37">
        <f>'Functional P&amp;L - Monthly Trend'!L38</f>
        <v/>
      </c>
      <c r="M12" s="37">
        <f>'Functional P&amp;L - Monthly Trend'!M38</f>
        <v/>
      </c>
      <c r="N12" s="37">
        <f>'Functional P&amp;L - Monthly Trend'!N38</f>
        <v/>
      </c>
      <c r="O12" s="37">
        <f>'Functional P&amp;L - Monthly Trend'!O38</f>
        <v/>
      </c>
      <c r="P12" s="37">
        <f>'Functional P&amp;L - Monthly Trend'!P38</f>
        <v/>
      </c>
      <c r="Q12" s="37">
        <f>'Functional P&amp;L - Monthly Trend'!Q38</f>
        <v/>
      </c>
      <c r="R12" s="37">
        <f>'Functional P&amp;L - Monthly Trend'!R38</f>
        <v/>
      </c>
    </row>
    <row r="13">
      <c r="A13" s="38" t="inlineStr">
        <is>
          <t>Contribution Margin + R&amp;D %</t>
        </is>
      </c>
      <c r="B13" s="47">
        <f>'Functional P&amp;L - Monthly Trend'!B39</f>
        <v/>
      </c>
      <c r="C13" s="47">
        <f>'Functional P&amp;L - Monthly Trend'!C39</f>
        <v/>
      </c>
      <c r="D13" s="47">
        <f>'Functional P&amp;L - Monthly Trend'!D39</f>
        <v/>
      </c>
      <c r="E13" s="47">
        <f>'Functional P&amp;L - Monthly Trend'!E39</f>
        <v/>
      </c>
      <c r="F13" s="47">
        <f>'Functional P&amp;L - Monthly Trend'!F39</f>
        <v/>
      </c>
      <c r="G13" s="47">
        <f>'Functional P&amp;L - Monthly Trend'!G39</f>
        <v/>
      </c>
      <c r="H13" s="47">
        <f>'Functional P&amp;L - Monthly Trend'!H39</f>
        <v/>
      </c>
      <c r="I13" s="47">
        <f>'Functional P&amp;L - Monthly Trend'!I39</f>
        <v/>
      </c>
      <c r="J13" s="47">
        <f>'Functional P&amp;L - Monthly Trend'!J39</f>
        <v/>
      </c>
      <c r="K13" s="47">
        <f>'Functional P&amp;L - Monthly Trend'!K39</f>
        <v/>
      </c>
      <c r="L13" s="47">
        <f>'Functional P&amp;L - Monthly Trend'!L39</f>
        <v/>
      </c>
      <c r="M13" s="47">
        <f>'Functional P&amp;L - Monthly Trend'!M39</f>
        <v/>
      </c>
      <c r="N13" s="47">
        <f>'Functional P&amp;L - Monthly Trend'!N39</f>
        <v/>
      </c>
      <c r="O13" s="47">
        <f>'Functional P&amp;L - Monthly Trend'!O39</f>
        <v/>
      </c>
      <c r="P13" s="47">
        <f>'Functional P&amp;L - Monthly Trend'!P39</f>
        <v/>
      </c>
      <c r="Q13" s="47">
        <f>'Functional P&amp;L - Monthly Trend'!Q39</f>
        <v/>
      </c>
      <c r="R13" s="47">
        <f>'Functional P&amp;L - Monthly Trend'!R39</f>
        <v/>
      </c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</row>
    <row r="15">
      <c r="A15" s="45" t="inlineStr">
        <is>
          <t>Affirm</t>
        </is>
      </c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</row>
    <row r="16">
      <c r="A16" s="54" t="inlineStr">
        <is>
          <t>Revenue</t>
        </is>
      </c>
      <c r="B16" s="76">
        <f>'Functional P&amp;L - Monthly Trend'!B47</f>
        <v/>
      </c>
      <c r="C16" s="76">
        <f>'Functional P&amp;L - Monthly Trend'!C47</f>
        <v/>
      </c>
      <c r="D16" s="76">
        <f>'Functional P&amp;L - Monthly Trend'!D47</f>
        <v/>
      </c>
      <c r="E16" s="76">
        <f>'Functional P&amp;L - Monthly Trend'!E47</f>
        <v/>
      </c>
      <c r="F16" s="76">
        <f>'Functional P&amp;L - Monthly Trend'!F47</f>
        <v/>
      </c>
      <c r="G16" s="76">
        <f>'Functional P&amp;L - Monthly Trend'!G47</f>
        <v/>
      </c>
      <c r="H16" s="76">
        <f>'Functional P&amp;L - Monthly Trend'!H47</f>
        <v/>
      </c>
      <c r="I16" s="76">
        <f>'Functional P&amp;L - Monthly Trend'!I47</f>
        <v/>
      </c>
      <c r="J16" s="76">
        <f>'Functional P&amp;L - Monthly Trend'!J47</f>
        <v/>
      </c>
      <c r="K16" s="76">
        <f>'Functional P&amp;L - Monthly Trend'!K47</f>
        <v/>
      </c>
      <c r="L16" s="76">
        <f>'Functional P&amp;L - Monthly Trend'!L47</f>
        <v/>
      </c>
      <c r="M16" s="76">
        <f>'Functional P&amp;L - Monthly Trend'!M47</f>
        <v/>
      </c>
      <c r="N16" s="76">
        <f>'Functional P&amp;L - Monthly Trend'!N47</f>
        <v/>
      </c>
      <c r="O16" s="76">
        <f>'Functional P&amp;L - Monthly Trend'!O47</f>
        <v/>
      </c>
      <c r="P16" s="76">
        <f>'Functional P&amp;L - Monthly Trend'!P47</f>
        <v/>
      </c>
      <c r="Q16" s="76">
        <f>'Functional P&amp;L - Monthly Trend'!Q47</f>
        <v/>
      </c>
      <c r="R16" s="76">
        <f>'Functional P&amp;L - Monthly Trend'!R47</f>
        <v/>
      </c>
    </row>
    <row r="17">
      <c r="A17" s="36" t="inlineStr">
        <is>
          <t>Cost of Revenue</t>
        </is>
      </c>
      <c r="B17" s="37">
        <f>'Functional P&amp;L - Monthly Trend'!B57</f>
        <v/>
      </c>
      <c r="C17" s="37">
        <f>'Functional P&amp;L - Monthly Trend'!C57</f>
        <v/>
      </c>
      <c r="D17" s="37">
        <f>'Functional P&amp;L - Monthly Trend'!D57</f>
        <v/>
      </c>
      <c r="E17" s="37">
        <f>'Functional P&amp;L - Monthly Trend'!E57</f>
        <v/>
      </c>
      <c r="F17" s="37">
        <f>'Functional P&amp;L - Monthly Trend'!F57</f>
        <v/>
      </c>
      <c r="G17" s="37">
        <f>'Functional P&amp;L - Monthly Trend'!G57</f>
        <v/>
      </c>
      <c r="H17" s="37">
        <f>'Functional P&amp;L - Monthly Trend'!H57</f>
        <v/>
      </c>
      <c r="I17" s="37">
        <f>'Functional P&amp;L - Monthly Trend'!I57</f>
        <v/>
      </c>
      <c r="J17" s="37">
        <f>'Functional P&amp;L - Monthly Trend'!J57</f>
        <v/>
      </c>
      <c r="K17" s="37">
        <f>'Functional P&amp;L - Monthly Trend'!K57</f>
        <v/>
      </c>
      <c r="L17" s="37">
        <f>'Functional P&amp;L - Monthly Trend'!L57</f>
        <v/>
      </c>
      <c r="M17" s="37">
        <f>'Functional P&amp;L - Monthly Trend'!M57</f>
        <v/>
      </c>
      <c r="N17" s="37">
        <f>'Functional P&amp;L - Monthly Trend'!N57</f>
        <v/>
      </c>
      <c r="O17" s="37">
        <f>'Functional P&amp;L - Monthly Trend'!O57</f>
        <v/>
      </c>
      <c r="P17" s="37">
        <f>'Functional P&amp;L - Monthly Trend'!P57</f>
        <v/>
      </c>
      <c r="Q17" s="37">
        <f>'Functional P&amp;L - Monthly Trend'!Q57</f>
        <v/>
      </c>
      <c r="R17" s="37">
        <f>'Functional P&amp;L - Monthly Trend'!R57</f>
        <v/>
      </c>
    </row>
    <row r="18">
      <c r="A18" s="54" t="inlineStr">
        <is>
          <t>Contribution Margin $</t>
        </is>
      </c>
      <c r="B18" s="76">
        <f>'Functional P&amp;L - Monthly Trend'!B61</f>
        <v/>
      </c>
      <c r="C18" s="76">
        <f>'Functional P&amp;L - Monthly Trend'!C61</f>
        <v/>
      </c>
      <c r="D18" s="76">
        <f>'Functional P&amp;L - Monthly Trend'!D61</f>
        <v/>
      </c>
      <c r="E18" s="76">
        <f>'Functional P&amp;L - Monthly Trend'!E61</f>
        <v/>
      </c>
      <c r="F18" s="76">
        <f>'Functional P&amp;L - Monthly Trend'!F61</f>
        <v/>
      </c>
      <c r="G18" s="76">
        <f>'Functional P&amp;L - Monthly Trend'!G61</f>
        <v/>
      </c>
      <c r="H18" s="76">
        <f>'Functional P&amp;L - Monthly Trend'!H61</f>
        <v/>
      </c>
      <c r="I18" s="76">
        <f>'Functional P&amp;L - Monthly Trend'!I61</f>
        <v/>
      </c>
      <c r="J18" s="76">
        <f>'Functional P&amp;L - Monthly Trend'!J61</f>
        <v/>
      </c>
      <c r="K18" s="76">
        <f>'Functional P&amp;L - Monthly Trend'!K61</f>
        <v/>
      </c>
      <c r="L18" s="76">
        <f>'Functional P&amp;L - Monthly Trend'!L61</f>
        <v/>
      </c>
      <c r="M18" s="76">
        <f>'Functional P&amp;L - Monthly Trend'!M61</f>
        <v/>
      </c>
      <c r="N18" s="76">
        <f>'Functional P&amp;L - Monthly Trend'!N61</f>
        <v/>
      </c>
      <c r="O18" s="76">
        <f>'Functional P&amp;L - Monthly Trend'!O61</f>
        <v/>
      </c>
      <c r="P18" s="76">
        <f>'Functional P&amp;L - Monthly Trend'!P61</f>
        <v/>
      </c>
      <c r="Q18" s="76">
        <f>'Functional P&amp;L - Monthly Trend'!Q61</f>
        <v/>
      </c>
      <c r="R18" s="76">
        <f>'Functional P&amp;L - Monthly Trend'!R61</f>
        <v/>
      </c>
    </row>
    <row r="19">
      <c r="A19" s="38" t="inlineStr">
        <is>
          <t>Contribution Margin %</t>
        </is>
      </c>
      <c r="B19" s="47">
        <f>'Functional P&amp;L - Monthly Trend'!B66</f>
        <v/>
      </c>
      <c r="C19" s="47">
        <f>'Functional P&amp;L - Monthly Trend'!C66</f>
        <v/>
      </c>
      <c r="D19" s="47">
        <f>'Functional P&amp;L - Monthly Trend'!D66</f>
        <v/>
      </c>
      <c r="E19" s="47">
        <f>'Functional P&amp;L - Monthly Trend'!E66</f>
        <v/>
      </c>
      <c r="F19" s="47">
        <f>'Functional P&amp;L - Monthly Trend'!F66</f>
        <v/>
      </c>
      <c r="G19" s="47">
        <f>'Functional P&amp;L - Monthly Trend'!G66</f>
        <v/>
      </c>
      <c r="H19" s="47">
        <f>'Functional P&amp;L - Monthly Trend'!H66</f>
        <v/>
      </c>
      <c r="I19" s="47">
        <f>'Functional P&amp;L - Monthly Trend'!I66</f>
        <v/>
      </c>
      <c r="J19" s="47">
        <f>'Functional P&amp;L - Monthly Trend'!J66</f>
        <v/>
      </c>
      <c r="K19" s="47">
        <f>'Functional P&amp;L - Monthly Trend'!K66</f>
        <v/>
      </c>
      <c r="L19" s="47">
        <f>'Functional P&amp;L - Monthly Trend'!L66</f>
        <v/>
      </c>
      <c r="M19" s="47">
        <f>'Functional P&amp;L - Monthly Trend'!M66</f>
        <v/>
      </c>
      <c r="N19" s="47">
        <f>'Functional P&amp;L - Monthly Trend'!N66</f>
        <v/>
      </c>
      <c r="O19" s="47">
        <f>'Functional P&amp;L - Monthly Trend'!O66</f>
        <v/>
      </c>
      <c r="P19" s="47">
        <f>'Functional P&amp;L - Monthly Trend'!P66</f>
        <v/>
      </c>
      <c r="Q19" s="47">
        <f>'Functional P&amp;L - Monthly Trend'!Q66</f>
        <v/>
      </c>
      <c r="R19" s="47">
        <f>'Functional P&amp;L - Monthly Trend'!R66</f>
        <v/>
      </c>
    </row>
    <row r="20">
      <c r="A20" s="36" t="inlineStr">
        <is>
          <t>Contribution Margin + R&amp;D $</t>
        </is>
      </c>
      <c r="B20" s="37">
        <f>'Functional P&amp;L - Monthly Trend'!B74</f>
        <v/>
      </c>
      <c r="C20" s="37">
        <f>'Functional P&amp;L - Monthly Trend'!C74</f>
        <v/>
      </c>
      <c r="D20" s="37">
        <f>'Functional P&amp;L - Monthly Trend'!D74</f>
        <v/>
      </c>
      <c r="E20" s="37">
        <f>'Functional P&amp;L - Monthly Trend'!E74</f>
        <v/>
      </c>
      <c r="F20" s="37">
        <f>'Functional P&amp;L - Monthly Trend'!F74</f>
        <v/>
      </c>
      <c r="G20" s="37">
        <f>'Functional P&amp;L - Monthly Trend'!G74</f>
        <v/>
      </c>
      <c r="H20" s="37">
        <f>'Functional P&amp;L - Monthly Trend'!H74</f>
        <v/>
      </c>
      <c r="I20" s="37">
        <f>'Functional P&amp;L - Monthly Trend'!I74</f>
        <v/>
      </c>
      <c r="J20" s="37">
        <f>'Functional P&amp;L - Monthly Trend'!J74</f>
        <v/>
      </c>
      <c r="K20" s="37">
        <f>'Functional P&amp;L - Monthly Trend'!K74</f>
        <v/>
      </c>
      <c r="L20" s="37">
        <f>'Functional P&amp;L - Monthly Trend'!L74</f>
        <v/>
      </c>
      <c r="M20" s="37">
        <f>'Functional P&amp;L - Monthly Trend'!M74</f>
        <v/>
      </c>
      <c r="N20" s="37">
        <f>'Functional P&amp;L - Monthly Trend'!N74</f>
        <v/>
      </c>
      <c r="O20" s="37">
        <f>'Functional P&amp;L - Monthly Trend'!O74</f>
        <v/>
      </c>
      <c r="P20" s="37">
        <f>'Functional P&amp;L - Monthly Trend'!P74</f>
        <v/>
      </c>
      <c r="Q20" s="37">
        <f>'Functional P&amp;L - Monthly Trend'!Q74</f>
        <v/>
      </c>
      <c r="R20" s="37">
        <f>'Functional P&amp;L - Monthly Trend'!R74</f>
        <v/>
      </c>
    </row>
    <row r="21">
      <c r="A21" s="38" t="inlineStr">
        <is>
          <t>Contribution Margin + R&amp;D %</t>
        </is>
      </c>
      <c r="B21" s="47">
        <f>'Functional P&amp;L - Monthly Trend'!B75</f>
        <v/>
      </c>
      <c r="C21" s="47">
        <f>'Functional P&amp;L - Monthly Trend'!C75</f>
        <v/>
      </c>
      <c r="D21" s="47">
        <f>'Functional P&amp;L - Monthly Trend'!D75</f>
        <v/>
      </c>
      <c r="E21" s="47">
        <f>'Functional P&amp;L - Monthly Trend'!E75</f>
        <v/>
      </c>
      <c r="F21" s="47">
        <f>'Functional P&amp;L - Monthly Trend'!F75</f>
        <v/>
      </c>
      <c r="G21" s="47">
        <f>'Functional P&amp;L - Monthly Trend'!G75</f>
        <v/>
      </c>
      <c r="H21" s="47">
        <f>'Functional P&amp;L - Monthly Trend'!H75</f>
        <v/>
      </c>
      <c r="I21" s="47">
        <f>'Functional P&amp;L - Monthly Trend'!I75</f>
        <v/>
      </c>
      <c r="J21" s="47">
        <f>'Functional P&amp;L - Monthly Trend'!J75</f>
        <v/>
      </c>
      <c r="K21" s="47">
        <f>'Functional P&amp;L - Monthly Trend'!K75</f>
        <v/>
      </c>
      <c r="L21" s="47">
        <f>'Functional P&amp;L - Monthly Trend'!L75</f>
        <v/>
      </c>
      <c r="M21" s="47">
        <f>'Functional P&amp;L - Monthly Trend'!M75</f>
        <v/>
      </c>
      <c r="N21" s="47">
        <f>'Functional P&amp;L - Monthly Trend'!N75</f>
        <v/>
      </c>
      <c r="O21" s="47">
        <f>'Functional P&amp;L - Monthly Trend'!O75</f>
        <v/>
      </c>
      <c r="P21" s="47">
        <f>'Functional P&amp;L - Monthly Trend'!P75</f>
        <v/>
      </c>
      <c r="Q21" s="47">
        <f>'Functional P&amp;L - Monthly Trend'!Q75</f>
        <v/>
      </c>
      <c r="R21" s="47">
        <f>'Functional P&amp;L - Monthly Trend'!R75</f>
        <v/>
      </c>
    </row>
    <row r="22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</row>
    <row r="23">
      <c r="A23" s="45" t="inlineStr">
        <is>
          <t>Insuresight</t>
        </is>
      </c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</row>
    <row r="24">
      <c r="A24" s="54" t="inlineStr">
        <is>
          <t>Revenue</t>
        </is>
      </c>
      <c r="B24" s="76">
        <f>'Functional P&amp;L - Monthly Trend'!B83</f>
        <v/>
      </c>
      <c r="C24" s="76">
        <f>'Functional P&amp;L - Monthly Trend'!C83</f>
        <v/>
      </c>
      <c r="D24" s="76">
        <f>'Functional P&amp;L - Monthly Trend'!D83</f>
        <v/>
      </c>
      <c r="E24" s="76">
        <f>'Functional P&amp;L - Monthly Trend'!E83</f>
        <v/>
      </c>
      <c r="F24" s="76">
        <f>'Functional P&amp;L - Monthly Trend'!F83</f>
        <v/>
      </c>
      <c r="G24" s="76">
        <f>'Functional P&amp;L - Monthly Trend'!G83</f>
        <v/>
      </c>
      <c r="H24" s="76">
        <f>'Functional P&amp;L - Monthly Trend'!H83</f>
        <v/>
      </c>
      <c r="I24" s="76">
        <f>'Functional P&amp;L - Monthly Trend'!I83</f>
        <v/>
      </c>
      <c r="J24" s="76">
        <f>'Functional P&amp;L - Monthly Trend'!J83</f>
        <v/>
      </c>
      <c r="K24" s="76">
        <f>'Functional P&amp;L - Monthly Trend'!K83</f>
        <v/>
      </c>
      <c r="L24" s="76">
        <f>'Functional P&amp;L - Monthly Trend'!L83</f>
        <v/>
      </c>
      <c r="M24" s="76">
        <f>'Functional P&amp;L - Monthly Trend'!M83</f>
        <v/>
      </c>
      <c r="N24" s="76">
        <f>'Functional P&amp;L - Monthly Trend'!N83</f>
        <v/>
      </c>
      <c r="O24" s="76">
        <f>'Functional P&amp;L - Monthly Trend'!O83</f>
        <v/>
      </c>
      <c r="P24" s="76">
        <f>'Functional P&amp;L - Monthly Trend'!P83</f>
        <v/>
      </c>
      <c r="Q24" s="76">
        <f>'Functional P&amp;L - Monthly Trend'!Q83</f>
        <v/>
      </c>
      <c r="R24" s="76">
        <f>'Functional P&amp;L - Monthly Trend'!R83</f>
        <v/>
      </c>
    </row>
    <row r="25">
      <c r="A25" s="36" t="inlineStr">
        <is>
          <t>Cost of Revenue</t>
        </is>
      </c>
      <c r="B25" s="37">
        <f>'Functional P&amp;L - Monthly Trend'!B93</f>
        <v/>
      </c>
      <c r="C25" s="37">
        <f>'Functional P&amp;L - Monthly Trend'!C93</f>
        <v/>
      </c>
      <c r="D25" s="37">
        <f>'Functional P&amp;L - Monthly Trend'!D93</f>
        <v/>
      </c>
      <c r="E25" s="37">
        <f>'Functional P&amp;L - Monthly Trend'!E93</f>
        <v/>
      </c>
      <c r="F25" s="37">
        <f>'Functional P&amp;L - Monthly Trend'!F93</f>
        <v/>
      </c>
      <c r="G25" s="37">
        <f>'Functional P&amp;L - Monthly Trend'!G93</f>
        <v/>
      </c>
      <c r="H25" s="37">
        <f>'Functional P&amp;L - Monthly Trend'!H93</f>
        <v/>
      </c>
      <c r="I25" s="37">
        <f>'Functional P&amp;L - Monthly Trend'!I93</f>
        <v/>
      </c>
      <c r="J25" s="37">
        <f>'Functional P&amp;L - Monthly Trend'!J93</f>
        <v/>
      </c>
      <c r="K25" s="37">
        <f>'Functional P&amp;L - Monthly Trend'!K93</f>
        <v/>
      </c>
      <c r="L25" s="37">
        <f>'Functional P&amp;L - Monthly Trend'!L93</f>
        <v/>
      </c>
      <c r="M25" s="37">
        <f>'Functional P&amp;L - Monthly Trend'!M93</f>
        <v/>
      </c>
      <c r="N25" s="37">
        <f>'Functional P&amp;L - Monthly Trend'!N93</f>
        <v/>
      </c>
      <c r="O25" s="37">
        <f>'Functional P&amp;L - Monthly Trend'!O93</f>
        <v/>
      </c>
      <c r="P25" s="37">
        <f>'Functional P&amp;L - Monthly Trend'!P93</f>
        <v/>
      </c>
      <c r="Q25" s="37">
        <f>'Functional P&amp;L - Monthly Trend'!Q93</f>
        <v/>
      </c>
      <c r="R25" s="37">
        <f>'Functional P&amp;L - Monthly Trend'!R93</f>
        <v/>
      </c>
    </row>
    <row r="26">
      <c r="A26" s="54" t="inlineStr">
        <is>
          <t>Contribution Margin $</t>
        </is>
      </c>
      <c r="B26" s="76">
        <f>'Functional P&amp;L - Monthly Trend'!B97</f>
        <v/>
      </c>
      <c r="C26" s="76">
        <f>'Functional P&amp;L - Monthly Trend'!C97</f>
        <v/>
      </c>
      <c r="D26" s="76">
        <f>'Functional P&amp;L - Monthly Trend'!D97</f>
        <v/>
      </c>
      <c r="E26" s="76">
        <f>'Functional P&amp;L - Monthly Trend'!E97</f>
        <v/>
      </c>
      <c r="F26" s="76">
        <f>'Functional P&amp;L - Monthly Trend'!F97</f>
        <v/>
      </c>
      <c r="G26" s="76">
        <f>'Functional P&amp;L - Monthly Trend'!G97</f>
        <v/>
      </c>
      <c r="H26" s="76">
        <f>'Functional P&amp;L - Monthly Trend'!H97</f>
        <v/>
      </c>
      <c r="I26" s="76">
        <f>'Functional P&amp;L - Monthly Trend'!I97</f>
        <v/>
      </c>
      <c r="J26" s="76">
        <f>'Functional P&amp;L - Monthly Trend'!J97</f>
        <v/>
      </c>
      <c r="K26" s="76">
        <f>'Functional P&amp;L - Monthly Trend'!K97</f>
        <v/>
      </c>
      <c r="L26" s="76">
        <f>'Functional P&amp;L - Monthly Trend'!L97</f>
        <v/>
      </c>
      <c r="M26" s="76">
        <f>'Functional P&amp;L - Monthly Trend'!M97</f>
        <v/>
      </c>
      <c r="N26" s="76">
        <f>'Functional P&amp;L - Monthly Trend'!N97</f>
        <v/>
      </c>
      <c r="O26" s="76">
        <f>'Functional P&amp;L - Monthly Trend'!O97</f>
        <v/>
      </c>
      <c r="P26" s="76">
        <f>'Functional P&amp;L - Monthly Trend'!P97</f>
        <v/>
      </c>
      <c r="Q26" s="76">
        <f>'Functional P&amp;L - Monthly Trend'!Q97</f>
        <v/>
      </c>
      <c r="R26" s="76">
        <f>'Functional P&amp;L - Monthly Trend'!R97</f>
        <v/>
      </c>
    </row>
    <row r="27">
      <c r="A27" s="38" t="inlineStr">
        <is>
          <t>Contribution Margin %</t>
        </is>
      </c>
      <c r="B27" s="47">
        <f>'Functional P&amp;L - Monthly Trend'!B102</f>
        <v/>
      </c>
      <c r="C27" s="47">
        <f>'Functional P&amp;L - Monthly Trend'!C102</f>
        <v/>
      </c>
      <c r="D27" s="47">
        <f>'Functional P&amp;L - Monthly Trend'!D102</f>
        <v/>
      </c>
      <c r="E27" s="47">
        <f>'Functional P&amp;L - Monthly Trend'!E102</f>
        <v/>
      </c>
      <c r="F27" s="47">
        <f>'Functional P&amp;L - Monthly Trend'!F102</f>
        <v/>
      </c>
      <c r="G27" s="47">
        <f>'Functional P&amp;L - Monthly Trend'!G102</f>
        <v/>
      </c>
      <c r="H27" s="47">
        <f>'Functional P&amp;L - Monthly Trend'!H102</f>
        <v/>
      </c>
      <c r="I27" s="47">
        <f>'Functional P&amp;L - Monthly Trend'!I102</f>
        <v/>
      </c>
      <c r="J27" s="47">
        <f>'Functional P&amp;L - Monthly Trend'!J102</f>
        <v/>
      </c>
      <c r="K27" s="47">
        <f>'Functional P&amp;L - Monthly Trend'!K102</f>
        <v/>
      </c>
      <c r="L27" s="47">
        <f>'Functional P&amp;L - Monthly Trend'!L102</f>
        <v/>
      </c>
      <c r="M27" s="47">
        <f>'Functional P&amp;L - Monthly Trend'!M102</f>
        <v/>
      </c>
      <c r="N27" s="47">
        <f>'Functional P&amp;L - Monthly Trend'!N102</f>
        <v/>
      </c>
      <c r="O27" s="47">
        <f>'Functional P&amp;L - Monthly Trend'!O102</f>
        <v/>
      </c>
      <c r="P27" s="47">
        <f>'Functional P&amp;L - Monthly Trend'!P102</f>
        <v/>
      </c>
      <c r="Q27" s="47">
        <f>'Functional P&amp;L - Monthly Trend'!Q102</f>
        <v/>
      </c>
      <c r="R27" s="47">
        <f>'Functional P&amp;L - Monthly Trend'!R102</f>
        <v/>
      </c>
    </row>
    <row r="28">
      <c r="A28" s="36" t="inlineStr">
        <is>
          <t>Contribution Margin + R&amp;D $</t>
        </is>
      </c>
      <c r="B28" s="37">
        <f>'Functional P&amp;L - Monthly Trend'!B110</f>
        <v/>
      </c>
      <c r="C28" s="37">
        <f>'Functional P&amp;L - Monthly Trend'!C110</f>
        <v/>
      </c>
      <c r="D28" s="37">
        <f>'Functional P&amp;L - Monthly Trend'!D110</f>
        <v/>
      </c>
      <c r="E28" s="37">
        <f>'Functional P&amp;L - Monthly Trend'!E110</f>
        <v/>
      </c>
      <c r="F28" s="37">
        <f>'Functional P&amp;L - Monthly Trend'!F110</f>
        <v/>
      </c>
      <c r="G28" s="37">
        <f>'Functional P&amp;L - Monthly Trend'!G110</f>
        <v/>
      </c>
      <c r="H28" s="37">
        <f>'Functional P&amp;L - Monthly Trend'!H110</f>
        <v/>
      </c>
      <c r="I28" s="37">
        <f>'Functional P&amp;L - Monthly Trend'!I110</f>
        <v/>
      </c>
      <c r="J28" s="37">
        <f>'Functional P&amp;L - Monthly Trend'!J110</f>
        <v/>
      </c>
      <c r="K28" s="37">
        <f>'Functional P&amp;L - Monthly Trend'!K110</f>
        <v/>
      </c>
      <c r="L28" s="37">
        <f>'Functional P&amp;L - Monthly Trend'!L110</f>
        <v/>
      </c>
      <c r="M28" s="37">
        <f>'Functional P&amp;L - Monthly Trend'!M110</f>
        <v/>
      </c>
      <c r="N28" s="37">
        <f>'Functional P&amp;L - Monthly Trend'!N110</f>
        <v/>
      </c>
      <c r="O28" s="37">
        <f>'Functional P&amp;L - Monthly Trend'!O110</f>
        <v/>
      </c>
      <c r="P28" s="37">
        <f>'Functional P&amp;L - Monthly Trend'!P110</f>
        <v/>
      </c>
      <c r="Q28" s="37">
        <f>'Functional P&amp;L - Monthly Trend'!Q110</f>
        <v/>
      </c>
      <c r="R28" s="37">
        <f>'Functional P&amp;L - Monthly Trend'!R110</f>
        <v/>
      </c>
    </row>
    <row r="29">
      <c r="A29" s="38" t="inlineStr">
        <is>
          <t>Contribution Margin + R&amp;D %</t>
        </is>
      </c>
      <c r="B29" s="47">
        <f>'Functional P&amp;L - Monthly Trend'!B111</f>
        <v/>
      </c>
      <c r="C29" s="47">
        <f>'Functional P&amp;L - Monthly Trend'!C111</f>
        <v/>
      </c>
      <c r="D29" s="47">
        <f>'Functional P&amp;L - Monthly Trend'!D111</f>
        <v/>
      </c>
      <c r="E29" s="47">
        <f>'Functional P&amp;L - Monthly Trend'!E111</f>
        <v/>
      </c>
      <c r="F29" s="47">
        <f>'Functional P&amp;L - Monthly Trend'!F111</f>
        <v/>
      </c>
      <c r="G29" s="47">
        <f>'Functional P&amp;L - Monthly Trend'!G111</f>
        <v/>
      </c>
      <c r="H29" s="47">
        <f>'Functional P&amp;L - Monthly Trend'!H111</f>
        <v/>
      </c>
      <c r="I29" s="47">
        <f>'Functional P&amp;L - Monthly Trend'!I111</f>
        <v/>
      </c>
      <c r="J29" s="47">
        <f>'Functional P&amp;L - Monthly Trend'!J111</f>
        <v/>
      </c>
      <c r="K29" s="47">
        <f>'Functional P&amp;L - Monthly Trend'!K111</f>
        <v/>
      </c>
      <c r="L29" s="47">
        <f>'Functional P&amp;L - Monthly Trend'!L111</f>
        <v/>
      </c>
      <c r="M29" s="47">
        <f>'Functional P&amp;L - Monthly Trend'!M111</f>
        <v/>
      </c>
      <c r="N29" s="47">
        <f>'Functional P&amp;L - Monthly Trend'!N111</f>
        <v/>
      </c>
      <c r="O29" s="47">
        <f>'Functional P&amp;L - Monthly Trend'!O111</f>
        <v/>
      </c>
      <c r="P29" s="47">
        <f>'Functional P&amp;L - Monthly Trend'!P111</f>
        <v/>
      </c>
      <c r="Q29" s="47">
        <f>'Functional P&amp;L - Monthly Trend'!Q111</f>
        <v/>
      </c>
      <c r="R29" s="47">
        <f>'Functional P&amp;L - Monthly Trend'!R111</f>
        <v/>
      </c>
    </row>
    <row r="30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</row>
    <row r="31">
      <c r="A31" s="45" t="inlineStr">
        <is>
          <t>DocFast</t>
        </is>
      </c>
      <c r="B31" s="45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</row>
    <row r="32">
      <c r="A32" s="54" t="inlineStr">
        <is>
          <t>Revenue</t>
        </is>
      </c>
      <c r="B32" s="76">
        <f>'Functional P&amp;L - Monthly Trend'!B119</f>
        <v/>
      </c>
      <c r="C32" s="76">
        <f>'Functional P&amp;L - Monthly Trend'!C119</f>
        <v/>
      </c>
      <c r="D32" s="76">
        <f>'Functional P&amp;L - Monthly Trend'!D119</f>
        <v/>
      </c>
      <c r="E32" s="76">
        <f>'Functional P&amp;L - Monthly Trend'!E119</f>
        <v/>
      </c>
      <c r="F32" s="76">
        <f>'Functional P&amp;L - Monthly Trend'!F119</f>
        <v/>
      </c>
      <c r="G32" s="76">
        <f>'Functional P&amp;L - Monthly Trend'!G119</f>
        <v/>
      </c>
      <c r="H32" s="76">
        <f>'Functional P&amp;L - Monthly Trend'!H119</f>
        <v/>
      </c>
      <c r="I32" s="76">
        <f>'Functional P&amp;L - Monthly Trend'!I119</f>
        <v/>
      </c>
      <c r="J32" s="76">
        <f>'Functional P&amp;L - Monthly Trend'!J119</f>
        <v/>
      </c>
      <c r="K32" s="76">
        <f>'Functional P&amp;L - Monthly Trend'!K119</f>
        <v/>
      </c>
      <c r="L32" s="76">
        <f>'Functional P&amp;L - Monthly Trend'!L119</f>
        <v/>
      </c>
      <c r="M32" s="76">
        <f>'Functional P&amp;L - Monthly Trend'!M119</f>
        <v/>
      </c>
      <c r="N32" s="76">
        <f>'Functional P&amp;L - Monthly Trend'!N119</f>
        <v/>
      </c>
      <c r="O32" s="76">
        <f>'Functional P&amp;L - Monthly Trend'!O119</f>
        <v/>
      </c>
      <c r="P32" s="76">
        <f>'Functional P&amp;L - Monthly Trend'!P119</f>
        <v/>
      </c>
      <c r="Q32" s="76">
        <f>'Functional P&amp;L - Monthly Trend'!Q119</f>
        <v/>
      </c>
      <c r="R32" s="76">
        <f>'Functional P&amp;L - Monthly Trend'!R119</f>
        <v/>
      </c>
    </row>
    <row r="33">
      <c r="A33" s="36" t="inlineStr">
        <is>
          <t>Cost of Revenue</t>
        </is>
      </c>
      <c r="B33" s="37">
        <f>'Functional P&amp;L - Monthly Trend'!B129</f>
        <v/>
      </c>
      <c r="C33" s="37">
        <f>'Functional P&amp;L - Monthly Trend'!C129</f>
        <v/>
      </c>
      <c r="D33" s="37">
        <f>'Functional P&amp;L - Monthly Trend'!D129</f>
        <v/>
      </c>
      <c r="E33" s="37">
        <f>'Functional P&amp;L - Monthly Trend'!E129</f>
        <v/>
      </c>
      <c r="F33" s="37">
        <f>'Functional P&amp;L - Monthly Trend'!F129</f>
        <v/>
      </c>
      <c r="G33" s="37">
        <f>'Functional P&amp;L - Monthly Trend'!G129</f>
        <v/>
      </c>
      <c r="H33" s="37">
        <f>'Functional P&amp;L - Monthly Trend'!H129</f>
        <v/>
      </c>
      <c r="I33" s="37">
        <f>'Functional P&amp;L - Monthly Trend'!I129</f>
        <v/>
      </c>
      <c r="J33" s="37">
        <f>'Functional P&amp;L - Monthly Trend'!J129</f>
        <v/>
      </c>
      <c r="K33" s="37">
        <f>'Functional P&amp;L - Monthly Trend'!K129</f>
        <v/>
      </c>
      <c r="L33" s="37">
        <f>'Functional P&amp;L - Monthly Trend'!L129</f>
        <v/>
      </c>
      <c r="M33" s="37">
        <f>'Functional P&amp;L - Monthly Trend'!M129</f>
        <v/>
      </c>
      <c r="N33" s="37">
        <f>'Functional P&amp;L - Monthly Trend'!N129</f>
        <v/>
      </c>
      <c r="O33" s="37">
        <f>'Functional P&amp;L - Monthly Trend'!O129</f>
        <v/>
      </c>
      <c r="P33" s="37">
        <f>'Functional P&amp;L - Monthly Trend'!P129</f>
        <v/>
      </c>
      <c r="Q33" s="37">
        <f>'Functional P&amp;L - Monthly Trend'!Q129</f>
        <v/>
      </c>
      <c r="R33" s="37">
        <f>'Functional P&amp;L - Monthly Trend'!R129</f>
        <v/>
      </c>
    </row>
    <row r="34">
      <c r="A34" s="54" t="inlineStr">
        <is>
          <t>Contribution Margin $</t>
        </is>
      </c>
      <c r="B34" s="76">
        <f>'Functional P&amp;L - Monthly Trend'!B133</f>
        <v/>
      </c>
      <c r="C34" s="76">
        <f>'Functional P&amp;L - Monthly Trend'!C133</f>
        <v/>
      </c>
      <c r="D34" s="76">
        <f>'Functional P&amp;L - Monthly Trend'!D133</f>
        <v/>
      </c>
      <c r="E34" s="76">
        <f>'Functional P&amp;L - Monthly Trend'!E133</f>
        <v/>
      </c>
      <c r="F34" s="76">
        <f>'Functional P&amp;L - Monthly Trend'!F133</f>
        <v/>
      </c>
      <c r="G34" s="76">
        <f>'Functional P&amp;L - Monthly Trend'!G133</f>
        <v/>
      </c>
      <c r="H34" s="76">
        <f>'Functional P&amp;L - Monthly Trend'!H133</f>
        <v/>
      </c>
      <c r="I34" s="76">
        <f>'Functional P&amp;L - Monthly Trend'!I133</f>
        <v/>
      </c>
      <c r="J34" s="76">
        <f>'Functional P&amp;L - Monthly Trend'!J133</f>
        <v/>
      </c>
      <c r="K34" s="76">
        <f>'Functional P&amp;L - Monthly Trend'!K133</f>
        <v/>
      </c>
      <c r="L34" s="76">
        <f>'Functional P&amp;L - Monthly Trend'!L133</f>
        <v/>
      </c>
      <c r="M34" s="76">
        <f>'Functional P&amp;L - Monthly Trend'!M133</f>
        <v/>
      </c>
      <c r="N34" s="76">
        <f>'Functional P&amp;L - Monthly Trend'!N133</f>
        <v/>
      </c>
      <c r="O34" s="76">
        <f>'Functional P&amp;L - Monthly Trend'!O133</f>
        <v/>
      </c>
      <c r="P34" s="76">
        <f>'Functional P&amp;L - Monthly Trend'!P133</f>
        <v/>
      </c>
      <c r="Q34" s="76">
        <f>'Functional P&amp;L - Monthly Trend'!Q133</f>
        <v/>
      </c>
      <c r="R34" s="76">
        <f>'Functional P&amp;L - Monthly Trend'!R133</f>
        <v/>
      </c>
    </row>
    <row r="35">
      <c r="A35" s="38" t="inlineStr">
        <is>
          <t>Contribution Margin %</t>
        </is>
      </c>
      <c r="B35" s="47">
        <f>'Functional P&amp;L - Monthly Trend'!B138</f>
        <v/>
      </c>
      <c r="C35" s="47">
        <f>'Functional P&amp;L - Monthly Trend'!C138</f>
        <v/>
      </c>
      <c r="D35" s="47">
        <f>'Functional P&amp;L - Monthly Trend'!D138</f>
        <v/>
      </c>
      <c r="E35" s="47">
        <f>'Functional P&amp;L - Monthly Trend'!E138</f>
        <v/>
      </c>
      <c r="F35" s="47">
        <f>'Functional P&amp;L - Monthly Trend'!F138</f>
        <v/>
      </c>
      <c r="G35" s="47">
        <f>'Functional P&amp;L - Monthly Trend'!G138</f>
        <v/>
      </c>
      <c r="H35" s="47">
        <f>'Functional P&amp;L - Monthly Trend'!H138</f>
        <v/>
      </c>
      <c r="I35" s="47">
        <f>'Functional P&amp;L - Monthly Trend'!I138</f>
        <v/>
      </c>
      <c r="J35" s="47">
        <f>'Functional P&amp;L - Monthly Trend'!J138</f>
        <v/>
      </c>
      <c r="K35" s="47">
        <f>'Functional P&amp;L - Monthly Trend'!K138</f>
        <v/>
      </c>
      <c r="L35" s="47">
        <f>'Functional P&amp;L - Monthly Trend'!L138</f>
        <v/>
      </c>
      <c r="M35" s="47">
        <f>'Functional P&amp;L - Monthly Trend'!M138</f>
        <v/>
      </c>
      <c r="N35" s="47">
        <f>'Functional P&amp;L - Monthly Trend'!N138</f>
        <v/>
      </c>
      <c r="O35" s="47">
        <f>'Functional P&amp;L - Monthly Trend'!O138</f>
        <v/>
      </c>
      <c r="P35" s="47">
        <f>'Functional P&amp;L - Monthly Trend'!P138</f>
        <v/>
      </c>
      <c r="Q35" s="47">
        <f>'Functional P&amp;L - Monthly Trend'!Q138</f>
        <v/>
      </c>
      <c r="R35" s="47">
        <f>'Functional P&amp;L - Monthly Trend'!R138</f>
        <v/>
      </c>
    </row>
    <row r="36">
      <c r="A36" s="36" t="inlineStr">
        <is>
          <t>Contribution Margin + R&amp;D $</t>
        </is>
      </c>
      <c r="B36" s="37">
        <f>'Functional P&amp;L - Monthly Trend'!B146</f>
        <v/>
      </c>
      <c r="C36" s="37">
        <f>'Functional P&amp;L - Monthly Trend'!C146</f>
        <v/>
      </c>
      <c r="D36" s="37">
        <f>'Functional P&amp;L - Monthly Trend'!D146</f>
        <v/>
      </c>
      <c r="E36" s="37">
        <f>'Functional P&amp;L - Monthly Trend'!E146</f>
        <v/>
      </c>
      <c r="F36" s="37">
        <f>'Functional P&amp;L - Monthly Trend'!F146</f>
        <v/>
      </c>
      <c r="G36" s="37">
        <f>'Functional P&amp;L - Monthly Trend'!G146</f>
        <v/>
      </c>
      <c r="H36" s="37">
        <f>'Functional P&amp;L - Monthly Trend'!H146</f>
        <v/>
      </c>
      <c r="I36" s="37">
        <f>'Functional P&amp;L - Monthly Trend'!I146</f>
        <v/>
      </c>
      <c r="J36" s="37">
        <f>'Functional P&amp;L - Monthly Trend'!J146</f>
        <v/>
      </c>
      <c r="K36" s="37">
        <f>'Functional P&amp;L - Monthly Trend'!K146</f>
        <v/>
      </c>
      <c r="L36" s="37">
        <f>'Functional P&amp;L - Monthly Trend'!L146</f>
        <v/>
      </c>
      <c r="M36" s="37">
        <f>'Functional P&amp;L - Monthly Trend'!M146</f>
        <v/>
      </c>
      <c r="N36" s="37">
        <f>'Functional P&amp;L - Monthly Trend'!N146</f>
        <v/>
      </c>
      <c r="O36" s="37">
        <f>'Functional P&amp;L - Monthly Trend'!O146</f>
        <v/>
      </c>
      <c r="P36" s="37">
        <f>'Functional P&amp;L - Monthly Trend'!P146</f>
        <v/>
      </c>
      <c r="Q36" s="37">
        <f>'Functional P&amp;L - Monthly Trend'!Q146</f>
        <v/>
      </c>
      <c r="R36" s="37">
        <f>'Functional P&amp;L - Monthly Trend'!R146</f>
        <v/>
      </c>
    </row>
    <row r="37">
      <c r="A37" s="38" t="inlineStr">
        <is>
          <t>Contribution Margin + R&amp;D %</t>
        </is>
      </c>
      <c r="B37" s="47">
        <f>'Functional P&amp;L - Monthly Trend'!B147</f>
        <v/>
      </c>
      <c r="C37" s="47">
        <f>'Functional P&amp;L - Monthly Trend'!C147</f>
        <v/>
      </c>
      <c r="D37" s="47">
        <f>'Functional P&amp;L - Monthly Trend'!D147</f>
        <v/>
      </c>
      <c r="E37" s="47">
        <f>'Functional P&amp;L - Monthly Trend'!E147</f>
        <v/>
      </c>
      <c r="F37" s="47">
        <f>'Functional P&amp;L - Monthly Trend'!F147</f>
        <v/>
      </c>
      <c r="G37" s="47">
        <f>'Functional P&amp;L - Monthly Trend'!G147</f>
        <v/>
      </c>
      <c r="H37" s="47">
        <f>'Functional P&amp;L - Monthly Trend'!H147</f>
        <v/>
      </c>
      <c r="I37" s="47">
        <f>'Functional P&amp;L - Monthly Trend'!I147</f>
        <v/>
      </c>
      <c r="J37" s="47">
        <f>'Functional P&amp;L - Monthly Trend'!J147</f>
        <v/>
      </c>
      <c r="K37" s="47">
        <f>'Functional P&amp;L - Monthly Trend'!K147</f>
        <v/>
      </c>
      <c r="L37" s="47">
        <f>'Functional P&amp;L - Monthly Trend'!L147</f>
        <v/>
      </c>
      <c r="M37" s="47">
        <f>'Functional P&amp;L - Monthly Trend'!M147</f>
        <v/>
      </c>
      <c r="N37" s="47">
        <f>'Functional P&amp;L - Monthly Trend'!N147</f>
        <v/>
      </c>
      <c r="O37" s="47">
        <f>'Functional P&amp;L - Monthly Trend'!O147</f>
        <v/>
      </c>
      <c r="P37" s="47">
        <f>'Functional P&amp;L - Monthly Trend'!P147</f>
        <v/>
      </c>
      <c r="Q37" s="47">
        <f>'Functional P&amp;L - Monthly Trend'!Q147</f>
        <v/>
      </c>
      <c r="R37" s="47">
        <f>'Functional P&amp;L - Monthly Trend'!R147</f>
        <v/>
      </c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</row>
    <row r="39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</row>
    <row r="40">
      <c r="A40" s="45" t="inlineStr">
        <is>
          <t>SECTION 2: Expenses by Department</t>
        </is>
      </c>
      <c r="B40" s="45" t="n"/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</row>
    <row r="42">
      <c r="A42" s="45" t="inlineStr">
        <is>
          <t>iGO</t>
        </is>
      </c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</row>
    <row r="43">
      <c r="A43" s="36" t="inlineStr">
        <is>
          <t>NetOps</t>
        </is>
      </c>
      <c r="B43" s="37">
        <f>'Functional P&amp;L - Monthly Trend'!B14</f>
        <v/>
      </c>
      <c r="C43" s="37">
        <f>'Functional P&amp;L - Monthly Trend'!C14</f>
        <v/>
      </c>
      <c r="D43" s="37">
        <f>'Functional P&amp;L - Monthly Trend'!D14</f>
        <v/>
      </c>
      <c r="E43" s="37">
        <f>'Functional P&amp;L - Monthly Trend'!E14</f>
        <v/>
      </c>
      <c r="F43" s="37">
        <f>'Functional P&amp;L - Monthly Trend'!F14</f>
        <v/>
      </c>
      <c r="G43" s="37">
        <f>'Functional P&amp;L - Monthly Trend'!G14</f>
        <v/>
      </c>
      <c r="H43" s="37">
        <f>'Functional P&amp;L - Monthly Trend'!H14</f>
        <v/>
      </c>
      <c r="I43" s="37">
        <f>'Functional P&amp;L - Monthly Trend'!I14</f>
        <v/>
      </c>
      <c r="J43" s="37">
        <f>'Functional P&amp;L - Monthly Trend'!J14</f>
        <v/>
      </c>
      <c r="K43" s="37">
        <f>'Functional P&amp;L - Monthly Trend'!K14</f>
        <v/>
      </c>
      <c r="L43" s="37">
        <f>'Functional P&amp;L - Monthly Trend'!L14</f>
        <v/>
      </c>
      <c r="M43" s="37">
        <f>'Functional P&amp;L - Monthly Trend'!M14</f>
        <v/>
      </c>
      <c r="N43" s="37">
        <f>'Functional P&amp;L - Monthly Trend'!N14</f>
        <v/>
      </c>
      <c r="O43" s="37">
        <f>'Functional P&amp;L - Monthly Trend'!O14</f>
        <v/>
      </c>
      <c r="P43" s="37">
        <f>'Functional P&amp;L - Monthly Trend'!P14</f>
        <v/>
      </c>
      <c r="Q43" s="37">
        <f>'Functional P&amp;L - Monthly Trend'!Q14</f>
        <v/>
      </c>
      <c r="R43" s="37">
        <f>'Functional P&amp;L - Monthly Trend'!R14</f>
        <v/>
      </c>
    </row>
    <row r="44">
      <c r="A44" s="38" t="inlineStr">
        <is>
          <t>Security</t>
        </is>
      </c>
      <c r="B44" s="39">
        <f>'Functional P&amp;L - Monthly Trend'!B15</f>
        <v/>
      </c>
      <c r="C44" s="39">
        <f>'Functional P&amp;L - Monthly Trend'!C15</f>
        <v/>
      </c>
      <c r="D44" s="39">
        <f>'Functional P&amp;L - Monthly Trend'!D15</f>
        <v/>
      </c>
      <c r="E44" s="39">
        <f>'Functional P&amp;L - Monthly Trend'!E15</f>
        <v/>
      </c>
      <c r="F44" s="39">
        <f>'Functional P&amp;L - Monthly Trend'!F15</f>
        <v/>
      </c>
      <c r="G44" s="39">
        <f>'Functional P&amp;L - Monthly Trend'!G15</f>
        <v/>
      </c>
      <c r="H44" s="39">
        <f>'Functional P&amp;L - Monthly Trend'!H15</f>
        <v/>
      </c>
      <c r="I44" s="39">
        <f>'Functional P&amp;L - Monthly Trend'!I15</f>
        <v/>
      </c>
      <c r="J44" s="39">
        <f>'Functional P&amp;L - Monthly Trend'!J15</f>
        <v/>
      </c>
      <c r="K44" s="39">
        <f>'Functional P&amp;L - Monthly Trend'!K15</f>
        <v/>
      </c>
      <c r="L44" s="39">
        <f>'Functional P&amp;L - Monthly Trend'!L15</f>
        <v/>
      </c>
      <c r="M44" s="39">
        <f>'Functional P&amp;L - Monthly Trend'!M15</f>
        <v/>
      </c>
      <c r="N44" s="39">
        <f>'Functional P&amp;L - Monthly Trend'!N15</f>
        <v/>
      </c>
      <c r="O44" s="39">
        <f>'Functional P&amp;L - Monthly Trend'!O15</f>
        <v/>
      </c>
      <c r="P44" s="39">
        <f>'Functional P&amp;L - Monthly Trend'!P15</f>
        <v/>
      </c>
      <c r="Q44" s="39">
        <f>'Functional P&amp;L - Monthly Trend'!Q15</f>
        <v/>
      </c>
      <c r="R44" s="39">
        <f>'Functional P&amp;L - Monthly Trend'!R15</f>
        <v/>
      </c>
    </row>
    <row r="45">
      <c r="A45" s="36" t="inlineStr">
        <is>
          <t>Support</t>
        </is>
      </c>
      <c r="B45" s="37">
        <f>'Functional P&amp;L - Monthly Trend'!B16</f>
        <v/>
      </c>
      <c r="C45" s="37">
        <f>'Functional P&amp;L - Monthly Trend'!C16</f>
        <v/>
      </c>
      <c r="D45" s="37">
        <f>'Functional P&amp;L - Monthly Trend'!D16</f>
        <v/>
      </c>
      <c r="E45" s="37">
        <f>'Functional P&amp;L - Monthly Trend'!E16</f>
        <v/>
      </c>
      <c r="F45" s="37">
        <f>'Functional P&amp;L - Monthly Trend'!F16</f>
        <v/>
      </c>
      <c r="G45" s="37">
        <f>'Functional P&amp;L - Monthly Trend'!G16</f>
        <v/>
      </c>
      <c r="H45" s="37">
        <f>'Functional P&amp;L - Monthly Trend'!H16</f>
        <v/>
      </c>
      <c r="I45" s="37">
        <f>'Functional P&amp;L - Monthly Trend'!I16</f>
        <v/>
      </c>
      <c r="J45" s="37">
        <f>'Functional P&amp;L - Monthly Trend'!J16</f>
        <v/>
      </c>
      <c r="K45" s="37">
        <f>'Functional P&amp;L - Monthly Trend'!K16</f>
        <v/>
      </c>
      <c r="L45" s="37">
        <f>'Functional P&amp;L - Monthly Trend'!L16</f>
        <v/>
      </c>
      <c r="M45" s="37">
        <f>'Functional P&amp;L - Monthly Trend'!M16</f>
        <v/>
      </c>
      <c r="N45" s="37">
        <f>'Functional P&amp;L - Monthly Trend'!N16</f>
        <v/>
      </c>
      <c r="O45" s="37">
        <f>'Functional P&amp;L - Monthly Trend'!O16</f>
        <v/>
      </c>
      <c r="P45" s="37">
        <f>'Functional P&amp;L - Monthly Trend'!P16</f>
        <v/>
      </c>
      <c r="Q45" s="37">
        <f>'Functional P&amp;L - Monthly Trend'!Q16</f>
        <v/>
      </c>
      <c r="R45" s="37">
        <f>'Functional P&amp;L - Monthly Trend'!R16</f>
        <v/>
      </c>
    </row>
    <row r="46">
      <c r="A46" s="38" t="inlineStr">
        <is>
          <t>Partners</t>
        </is>
      </c>
      <c r="B46" s="39">
        <f>'Functional P&amp;L - Monthly Trend'!B17</f>
        <v/>
      </c>
      <c r="C46" s="39">
        <f>'Functional P&amp;L - Monthly Trend'!C17</f>
        <v/>
      </c>
      <c r="D46" s="39">
        <f>'Functional P&amp;L - Monthly Trend'!D17</f>
        <v/>
      </c>
      <c r="E46" s="39">
        <f>'Functional P&amp;L - Monthly Trend'!E17</f>
        <v/>
      </c>
      <c r="F46" s="39">
        <f>'Functional P&amp;L - Monthly Trend'!F17</f>
        <v/>
      </c>
      <c r="G46" s="39">
        <f>'Functional P&amp;L - Monthly Trend'!G17</f>
        <v/>
      </c>
      <c r="H46" s="39">
        <f>'Functional P&amp;L - Monthly Trend'!H17</f>
        <v/>
      </c>
      <c r="I46" s="39">
        <f>'Functional P&amp;L - Monthly Trend'!I17</f>
        <v/>
      </c>
      <c r="J46" s="39">
        <f>'Functional P&amp;L - Monthly Trend'!J17</f>
        <v/>
      </c>
      <c r="K46" s="39">
        <f>'Functional P&amp;L - Monthly Trend'!K17</f>
        <v/>
      </c>
      <c r="L46" s="39">
        <f>'Functional P&amp;L - Monthly Trend'!L17</f>
        <v/>
      </c>
      <c r="M46" s="39">
        <f>'Functional P&amp;L - Monthly Trend'!M17</f>
        <v/>
      </c>
      <c r="N46" s="39">
        <f>'Functional P&amp;L - Monthly Trend'!N17</f>
        <v/>
      </c>
      <c r="O46" s="39">
        <f>'Functional P&amp;L - Monthly Trend'!O17</f>
        <v/>
      </c>
      <c r="P46" s="39">
        <f>'Functional P&amp;L - Monthly Trend'!P17</f>
        <v/>
      </c>
      <c r="Q46" s="39">
        <f>'Functional P&amp;L - Monthly Trend'!Q17</f>
        <v/>
      </c>
      <c r="R46" s="39">
        <f>'Functional P&amp;L - Monthly Trend'!R17</f>
        <v/>
      </c>
    </row>
    <row r="47">
      <c r="A47" s="36" t="inlineStr">
        <is>
          <t>Content</t>
        </is>
      </c>
      <c r="B47" s="37">
        <f>'Functional P&amp;L - Monthly Trend'!B18</f>
        <v/>
      </c>
      <c r="C47" s="37">
        <f>'Functional P&amp;L - Monthly Trend'!C18</f>
        <v/>
      </c>
      <c r="D47" s="37">
        <f>'Functional P&amp;L - Monthly Trend'!D18</f>
        <v/>
      </c>
      <c r="E47" s="37">
        <f>'Functional P&amp;L - Monthly Trend'!E18</f>
        <v/>
      </c>
      <c r="F47" s="37">
        <f>'Functional P&amp;L - Monthly Trend'!F18</f>
        <v/>
      </c>
      <c r="G47" s="37">
        <f>'Functional P&amp;L - Monthly Trend'!G18</f>
        <v/>
      </c>
      <c r="H47" s="37">
        <f>'Functional P&amp;L - Monthly Trend'!H18</f>
        <v/>
      </c>
      <c r="I47" s="37">
        <f>'Functional P&amp;L - Monthly Trend'!I18</f>
        <v/>
      </c>
      <c r="J47" s="37">
        <f>'Functional P&amp;L - Monthly Trend'!J18</f>
        <v/>
      </c>
      <c r="K47" s="37">
        <f>'Functional P&amp;L - Monthly Trend'!K18</f>
        <v/>
      </c>
      <c r="L47" s="37">
        <f>'Functional P&amp;L - Monthly Trend'!L18</f>
        <v/>
      </c>
      <c r="M47" s="37">
        <f>'Functional P&amp;L - Monthly Trend'!M18</f>
        <v/>
      </c>
      <c r="N47" s="37">
        <f>'Functional P&amp;L - Monthly Trend'!N18</f>
        <v/>
      </c>
      <c r="O47" s="37">
        <f>'Functional P&amp;L - Monthly Trend'!O18</f>
        <v/>
      </c>
      <c r="P47" s="37">
        <f>'Functional P&amp;L - Monthly Trend'!P18</f>
        <v/>
      </c>
      <c r="Q47" s="37">
        <f>'Functional P&amp;L - Monthly Trend'!Q18</f>
        <v/>
      </c>
      <c r="R47" s="37">
        <f>'Functional P&amp;L - Monthly Trend'!R18</f>
        <v/>
      </c>
    </row>
    <row r="48">
      <c r="A48" s="38" t="inlineStr">
        <is>
          <t>Research &amp; Development</t>
        </is>
      </c>
      <c r="B48" s="39">
        <f>'Functional P&amp;L - Monthly Trend'!B33</f>
        <v/>
      </c>
      <c r="C48" s="39">
        <f>'Functional P&amp;L - Monthly Trend'!C33</f>
        <v/>
      </c>
      <c r="D48" s="39">
        <f>'Functional P&amp;L - Monthly Trend'!D33</f>
        <v/>
      </c>
      <c r="E48" s="39">
        <f>'Functional P&amp;L - Monthly Trend'!E33</f>
        <v/>
      </c>
      <c r="F48" s="39">
        <f>'Functional P&amp;L - Monthly Trend'!F33</f>
        <v/>
      </c>
      <c r="G48" s="39">
        <f>'Functional P&amp;L - Monthly Trend'!G33</f>
        <v/>
      </c>
      <c r="H48" s="39">
        <f>'Functional P&amp;L - Monthly Trend'!H33</f>
        <v/>
      </c>
      <c r="I48" s="39">
        <f>'Functional P&amp;L - Monthly Trend'!I33</f>
        <v/>
      </c>
      <c r="J48" s="39">
        <f>'Functional P&amp;L - Monthly Trend'!J33</f>
        <v/>
      </c>
      <c r="K48" s="39">
        <f>'Functional P&amp;L - Monthly Trend'!K33</f>
        <v/>
      </c>
      <c r="L48" s="39">
        <f>'Functional P&amp;L - Monthly Trend'!L33</f>
        <v/>
      </c>
      <c r="M48" s="39">
        <f>'Functional P&amp;L - Monthly Trend'!M33</f>
        <v/>
      </c>
      <c r="N48" s="39">
        <f>'Functional P&amp;L - Monthly Trend'!N33</f>
        <v/>
      </c>
      <c r="O48" s="39">
        <f>'Functional P&amp;L - Monthly Trend'!O33</f>
        <v/>
      </c>
      <c r="P48" s="39">
        <f>'Functional P&amp;L - Monthly Trend'!P33</f>
        <v/>
      </c>
      <c r="Q48" s="39">
        <f>'Functional P&amp;L - Monthly Trend'!Q33</f>
        <v/>
      </c>
      <c r="R48" s="39">
        <f>'Functional P&amp;L - Monthly Trend'!R33</f>
        <v/>
      </c>
    </row>
    <row r="49">
      <c r="A49" s="36" t="inlineStr">
        <is>
          <t>Product Management</t>
        </is>
      </c>
      <c r="B49" s="37">
        <f>'Functional P&amp;L - Monthly Trend'!B36</f>
        <v/>
      </c>
      <c r="C49" s="37">
        <f>'Functional P&amp;L - Monthly Trend'!C36</f>
        <v/>
      </c>
      <c r="D49" s="37">
        <f>'Functional P&amp;L - Monthly Trend'!D36</f>
        <v/>
      </c>
      <c r="E49" s="37">
        <f>'Functional P&amp;L - Monthly Trend'!E36</f>
        <v/>
      </c>
      <c r="F49" s="37">
        <f>'Functional P&amp;L - Monthly Trend'!F36</f>
        <v/>
      </c>
      <c r="G49" s="37">
        <f>'Functional P&amp;L - Monthly Trend'!G36</f>
        <v/>
      </c>
      <c r="H49" s="37">
        <f>'Functional P&amp;L - Monthly Trend'!H36</f>
        <v/>
      </c>
      <c r="I49" s="37">
        <f>'Functional P&amp;L - Monthly Trend'!I36</f>
        <v/>
      </c>
      <c r="J49" s="37">
        <f>'Functional P&amp;L - Monthly Trend'!J36</f>
        <v/>
      </c>
      <c r="K49" s="37">
        <f>'Functional P&amp;L - Monthly Trend'!K36</f>
        <v/>
      </c>
      <c r="L49" s="37">
        <f>'Functional P&amp;L - Monthly Trend'!L36</f>
        <v/>
      </c>
      <c r="M49" s="37">
        <f>'Functional P&amp;L - Monthly Trend'!M36</f>
        <v/>
      </c>
      <c r="N49" s="37">
        <f>'Functional P&amp;L - Monthly Trend'!N36</f>
        <v/>
      </c>
      <c r="O49" s="37">
        <f>'Functional P&amp;L - Monthly Trend'!O36</f>
        <v/>
      </c>
      <c r="P49" s="37">
        <f>'Functional P&amp;L - Monthly Trend'!P36</f>
        <v/>
      </c>
      <c r="Q49" s="37">
        <f>'Functional P&amp;L - Monthly Trend'!Q36</f>
        <v/>
      </c>
      <c r="R49" s="37">
        <f>'Functional P&amp;L - Monthly Trend'!R36</f>
        <v/>
      </c>
    </row>
    <row r="50">
      <c r="A50" s="54" t="inlineStr">
        <is>
          <t>Total Expenses</t>
        </is>
      </c>
      <c r="B50" s="76">
        <f>SUM(B43:B49)</f>
        <v/>
      </c>
      <c r="C50" s="76">
        <f>SUM(C43:C49)</f>
        <v/>
      </c>
      <c r="D50" s="76">
        <f>SUM(D43:D49)</f>
        <v/>
      </c>
      <c r="E50" s="76">
        <f>SUM(E43:E49)</f>
        <v/>
      </c>
      <c r="F50" s="76">
        <f>SUM(F43:F49)</f>
        <v/>
      </c>
      <c r="G50" s="76">
        <f>SUM(G43:G49)</f>
        <v/>
      </c>
      <c r="H50" s="76">
        <f>SUM(H43:H49)</f>
        <v/>
      </c>
      <c r="I50" s="76">
        <f>SUM(I43:I49)</f>
        <v/>
      </c>
      <c r="J50" s="76">
        <f>SUM(J43:J49)</f>
        <v/>
      </c>
      <c r="K50" s="76">
        <f>SUM(K43:K49)</f>
        <v/>
      </c>
      <c r="L50" s="76">
        <f>SUM(L43:L49)</f>
        <v/>
      </c>
      <c r="M50" s="76">
        <f>SUM(M43:M49)</f>
        <v/>
      </c>
      <c r="N50" s="76">
        <f>SUM(N43:N49)</f>
        <v/>
      </c>
      <c r="O50" s="76">
        <f>SUM(O43:O49)</f>
        <v/>
      </c>
      <c r="P50" s="76">
        <f>SUM(P43:P49)</f>
        <v/>
      </c>
      <c r="Q50" s="76">
        <f>SUM(Q43:Q49)</f>
        <v/>
      </c>
      <c r="R50" s="76">
        <f>SUM(R43:R49)</f>
        <v/>
      </c>
    </row>
    <row r="51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</row>
    <row r="52">
      <c r="A52" s="45" t="inlineStr">
        <is>
          <t>Affirm</t>
        </is>
      </c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</row>
    <row r="53">
      <c r="A53" s="38" t="inlineStr">
        <is>
          <t>NetOps</t>
        </is>
      </c>
      <c r="B53" s="39">
        <f>'Functional P&amp;L - Monthly Trend'!B50</f>
        <v/>
      </c>
      <c r="C53" s="39">
        <f>'Functional P&amp;L - Monthly Trend'!C50</f>
        <v/>
      </c>
      <c r="D53" s="39">
        <f>'Functional P&amp;L - Monthly Trend'!D50</f>
        <v/>
      </c>
      <c r="E53" s="39">
        <f>'Functional P&amp;L - Monthly Trend'!E50</f>
        <v/>
      </c>
      <c r="F53" s="39">
        <f>'Functional P&amp;L - Monthly Trend'!F50</f>
        <v/>
      </c>
      <c r="G53" s="39">
        <f>'Functional P&amp;L - Monthly Trend'!G50</f>
        <v/>
      </c>
      <c r="H53" s="39">
        <f>'Functional P&amp;L - Monthly Trend'!H50</f>
        <v/>
      </c>
      <c r="I53" s="39">
        <f>'Functional P&amp;L - Monthly Trend'!I50</f>
        <v/>
      </c>
      <c r="J53" s="39">
        <f>'Functional P&amp;L - Monthly Trend'!J50</f>
        <v/>
      </c>
      <c r="K53" s="39">
        <f>'Functional P&amp;L - Monthly Trend'!K50</f>
        <v/>
      </c>
      <c r="L53" s="39">
        <f>'Functional P&amp;L - Monthly Trend'!L50</f>
        <v/>
      </c>
      <c r="M53" s="39">
        <f>'Functional P&amp;L - Monthly Trend'!M50</f>
        <v/>
      </c>
      <c r="N53" s="39">
        <f>'Functional P&amp;L - Monthly Trend'!N50</f>
        <v/>
      </c>
      <c r="O53" s="39">
        <f>'Functional P&amp;L - Monthly Trend'!O50</f>
        <v/>
      </c>
      <c r="P53" s="39">
        <f>'Functional P&amp;L - Monthly Trend'!P50</f>
        <v/>
      </c>
      <c r="Q53" s="39">
        <f>'Functional P&amp;L - Monthly Trend'!Q50</f>
        <v/>
      </c>
      <c r="R53" s="39">
        <f>'Functional P&amp;L - Monthly Trend'!R50</f>
        <v/>
      </c>
    </row>
    <row r="54">
      <c r="A54" s="36" t="inlineStr">
        <is>
          <t>Security</t>
        </is>
      </c>
      <c r="B54" s="37">
        <f>'Functional P&amp;L - Monthly Trend'!B51</f>
        <v/>
      </c>
      <c r="C54" s="37">
        <f>'Functional P&amp;L - Monthly Trend'!C51</f>
        <v/>
      </c>
      <c r="D54" s="37">
        <f>'Functional P&amp;L - Monthly Trend'!D51</f>
        <v/>
      </c>
      <c r="E54" s="37">
        <f>'Functional P&amp;L - Monthly Trend'!E51</f>
        <v/>
      </c>
      <c r="F54" s="37">
        <f>'Functional P&amp;L - Monthly Trend'!F51</f>
        <v/>
      </c>
      <c r="G54" s="37">
        <f>'Functional P&amp;L - Monthly Trend'!G51</f>
        <v/>
      </c>
      <c r="H54" s="37">
        <f>'Functional P&amp;L - Monthly Trend'!H51</f>
        <v/>
      </c>
      <c r="I54" s="37">
        <f>'Functional P&amp;L - Monthly Trend'!I51</f>
        <v/>
      </c>
      <c r="J54" s="37">
        <f>'Functional P&amp;L - Monthly Trend'!J51</f>
        <v/>
      </c>
      <c r="K54" s="37">
        <f>'Functional P&amp;L - Monthly Trend'!K51</f>
        <v/>
      </c>
      <c r="L54" s="37">
        <f>'Functional P&amp;L - Monthly Trend'!L51</f>
        <v/>
      </c>
      <c r="M54" s="37">
        <f>'Functional P&amp;L - Monthly Trend'!M51</f>
        <v/>
      </c>
      <c r="N54" s="37">
        <f>'Functional P&amp;L - Monthly Trend'!N51</f>
        <v/>
      </c>
      <c r="O54" s="37">
        <f>'Functional P&amp;L - Monthly Trend'!O51</f>
        <v/>
      </c>
      <c r="P54" s="37">
        <f>'Functional P&amp;L - Monthly Trend'!P51</f>
        <v/>
      </c>
      <c r="Q54" s="37">
        <f>'Functional P&amp;L - Monthly Trend'!Q51</f>
        <v/>
      </c>
      <c r="R54" s="37">
        <f>'Functional P&amp;L - Monthly Trend'!R51</f>
        <v/>
      </c>
    </row>
    <row r="55">
      <c r="A55" s="38" t="inlineStr">
        <is>
          <t>Support</t>
        </is>
      </c>
      <c r="B55" s="39">
        <f>'Functional P&amp;L - Monthly Trend'!B52</f>
        <v/>
      </c>
      <c r="C55" s="39">
        <f>'Functional P&amp;L - Monthly Trend'!C52</f>
        <v/>
      </c>
      <c r="D55" s="39">
        <f>'Functional P&amp;L - Monthly Trend'!D52</f>
        <v/>
      </c>
      <c r="E55" s="39">
        <f>'Functional P&amp;L - Monthly Trend'!E52</f>
        <v/>
      </c>
      <c r="F55" s="39">
        <f>'Functional P&amp;L - Monthly Trend'!F52</f>
        <v/>
      </c>
      <c r="G55" s="39">
        <f>'Functional P&amp;L - Monthly Trend'!G52</f>
        <v/>
      </c>
      <c r="H55" s="39">
        <f>'Functional P&amp;L - Monthly Trend'!H52</f>
        <v/>
      </c>
      <c r="I55" s="39">
        <f>'Functional P&amp;L - Monthly Trend'!I52</f>
        <v/>
      </c>
      <c r="J55" s="39">
        <f>'Functional P&amp;L - Monthly Trend'!J52</f>
        <v/>
      </c>
      <c r="K55" s="39">
        <f>'Functional P&amp;L - Monthly Trend'!K52</f>
        <v/>
      </c>
      <c r="L55" s="39">
        <f>'Functional P&amp;L - Monthly Trend'!L52</f>
        <v/>
      </c>
      <c r="M55" s="39">
        <f>'Functional P&amp;L - Monthly Trend'!M52</f>
        <v/>
      </c>
      <c r="N55" s="39">
        <f>'Functional P&amp;L - Monthly Trend'!N52</f>
        <v/>
      </c>
      <c r="O55" s="39">
        <f>'Functional P&amp;L - Monthly Trend'!O52</f>
        <v/>
      </c>
      <c r="P55" s="39">
        <f>'Functional P&amp;L - Monthly Trend'!P52</f>
        <v/>
      </c>
      <c r="Q55" s="39">
        <f>'Functional P&amp;L - Monthly Trend'!Q52</f>
        <v/>
      </c>
      <c r="R55" s="39">
        <f>'Functional P&amp;L - Monthly Trend'!R52</f>
        <v/>
      </c>
    </row>
    <row r="56">
      <c r="A56" s="36" t="inlineStr">
        <is>
          <t>Partners</t>
        </is>
      </c>
      <c r="B56" s="37">
        <f>'Functional P&amp;L - Monthly Trend'!B53</f>
        <v/>
      </c>
      <c r="C56" s="37">
        <f>'Functional P&amp;L - Monthly Trend'!C53</f>
        <v/>
      </c>
      <c r="D56" s="37">
        <f>'Functional P&amp;L - Monthly Trend'!D53</f>
        <v/>
      </c>
      <c r="E56" s="37">
        <f>'Functional P&amp;L - Monthly Trend'!E53</f>
        <v/>
      </c>
      <c r="F56" s="37">
        <f>'Functional P&amp;L - Monthly Trend'!F53</f>
        <v/>
      </c>
      <c r="G56" s="37">
        <f>'Functional P&amp;L - Monthly Trend'!G53</f>
        <v/>
      </c>
      <c r="H56" s="37">
        <f>'Functional P&amp;L - Monthly Trend'!H53</f>
        <v/>
      </c>
      <c r="I56" s="37">
        <f>'Functional P&amp;L - Monthly Trend'!I53</f>
        <v/>
      </c>
      <c r="J56" s="37">
        <f>'Functional P&amp;L - Monthly Trend'!J53</f>
        <v/>
      </c>
      <c r="K56" s="37">
        <f>'Functional P&amp;L - Monthly Trend'!K53</f>
        <v/>
      </c>
      <c r="L56" s="37">
        <f>'Functional P&amp;L - Monthly Trend'!L53</f>
        <v/>
      </c>
      <c r="M56" s="37">
        <f>'Functional P&amp;L - Monthly Trend'!M53</f>
        <v/>
      </c>
      <c r="N56" s="37">
        <f>'Functional P&amp;L - Monthly Trend'!N53</f>
        <v/>
      </c>
      <c r="O56" s="37">
        <f>'Functional P&amp;L - Monthly Trend'!O53</f>
        <v/>
      </c>
      <c r="P56" s="37">
        <f>'Functional P&amp;L - Monthly Trend'!P53</f>
        <v/>
      </c>
      <c r="Q56" s="37">
        <f>'Functional P&amp;L - Monthly Trend'!Q53</f>
        <v/>
      </c>
      <c r="R56" s="37">
        <f>'Functional P&amp;L - Monthly Trend'!R53</f>
        <v/>
      </c>
    </row>
    <row r="57">
      <c r="A57" s="38" t="inlineStr">
        <is>
          <t>Content</t>
        </is>
      </c>
      <c r="B57" s="39">
        <f>'Functional P&amp;L - Monthly Trend'!B54</f>
        <v/>
      </c>
      <c r="C57" s="39">
        <f>'Functional P&amp;L - Monthly Trend'!C54</f>
        <v/>
      </c>
      <c r="D57" s="39">
        <f>'Functional P&amp;L - Monthly Trend'!D54</f>
        <v/>
      </c>
      <c r="E57" s="39">
        <f>'Functional P&amp;L - Monthly Trend'!E54</f>
        <v/>
      </c>
      <c r="F57" s="39">
        <f>'Functional P&amp;L - Monthly Trend'!F54</f>
        <v/>
      </c>
      <c r="G57" s="39">
        <f>'Functional P&amp;L - Monthly Trend'!G54</f>
        <v/>
      </c>
      <c r="H57" s="39">
        <f>'Functional P&amp;L - Monthly Trend'!H54</f>
        <v/>
      </c>
      <c r="I57" s="39">
        <f>'Functional P&amp;L - Monthly Trend'!I54</f>
        <v/>
      </c>
      <c r="J57" s="39">
        <f>'Functional P&amp;L - Monthly Trend'!J54</f>
        <v/>
      </c>
      <c r="K57" s="39">
        <f>'Functional P&amp;L - Monthly Trend'!K54</f>
        <v/>
      </c>
      <c r="L57" s="39">
        <f>'Functional P&amp;L - Monthly Trend'!L54</f>
        <v/>
      </c>
      <c r="M57" s="39">
        <f>'Functional P&amp;L - Monthly Trend'!M54</f>
        <v/>
      </c>
      <c r="N57" s="39">
        <f>'Functional P&amp;L - Monthly Trend'!N54</f>
        <v/>
      </c>
      <c r="O57" s="39">
        <f>'Functional P&amp;L - Monthly Trend'!O54</f>
        <v/>
      </c>
      <c r="P57" s="39">
        <f>'Functional P&amp;L - Monthly Trend'!P54</f>
        <v/>
      </c>
      <c r="Q57" s="39">
        <f>'Functional P&amp;L - Monthly Trend'!Q54</f>
        <v/>
      </c>
      <c r="R57" s="39">
        <f>'Functional P&amp;L - Monthly Trend'!R54</f>
        <v/>
      </c>
    </row>
    <row r="58">
      <c r="A58" s="36" t="inlineStr">
        <is>
          <t>Research &amp; Development</t>
        </is>
      </c>
      <c r="B58" s="37">
        <f>'Functional P&amp;L - Monthly Trend'!B69</f>
        <v/>
      </c>
      <c r="C58" s="37">
        <f>'Functional P&amp;L - Monthly Trend'!C69</f>
        <v/>
      </c>
      <c r="D58" s="37">
        <f>'Functional P&amp;L - Monthly Trend'!D69</f>
        <v/>
      </c>
      <c r="E58" s="37">
        <f>'Functional P&amp;L - Monthly Trend'!E69</f>
        <v/>
      </c>
      <c r="F58" s="37">
        <f>'Functional P&amp;L - Monthly Trend'!F69</f>
        <v/>
      </c>
      <c r="G58" s="37">
        <f>'Functional P&amp;L - Monthly Trend'!G69</f>
        <v/>
      </c>
      <c r="H58" s="37">
        <f>'Functional P&amp;L - Monthly Trend'!H69</f>
        <v/>
      </c>
      <c r="I58" s="37">
        <f>'Functional P&amp;L - Monthly Trend'!I69</f>
        <v/>
      </c>
      <c r="J58" s="37">
        <f>'Functional P&amp;L - Monthly Trend'!J69</f>
        <v/>
      </c>
      <c r="K58" s="37">
        <f>'Functional P&amp;L - Monthly Trend'!K69</f>
        <v/>
      </c>
      <c r="L58" s="37">
        <f>'Functional P&amp;L - Monthly Trend'!L69</f>
        <v/>
      </c>
      <c r="M58" s="37">
        <f>'Functional P&amp;L - Monthly Trend'!M69</f>
        <v/>
      </c>
      <c r="N58" s="37">
        <f>'Functional P&amp;L - Monthly Trend'!N69</f>
        <v/>
      </c>
      <c r="O58" s="37">
        <f>'Functional P&amp;L - Monthly Trend'!O69</f>
        <v/>
      </c>
      <c r="P58" s="37">
        <f>'Functional P&amp;L - Monthly Trend'!P69</f>
        <v/>
      </c>
      <c r="Q58" s="37">
        <f>'Functional P&amp;L - Monthly Trend'!Q69</f>
        <v/>
      </c>
      <c r="R58" s="37">
        <f>'Functional P&amp;L - Monthly Trend'!R69</f>
        <v/>
      </c>
    </row>
    <row r="59">
      <c r="A59" s="38" t="inlineStr">
        <is>
          <t>Product Management</t>
        </is>
      </c>
      <c r="B59" s="39">
        <f>'Functional P&amp;L - Monthly Trend'!B72</f>
        <v/>
      </c>
      <c r="C59" s="39">
        <f>'Functional P&amp;L - Monthly Trend'!C72</f>
        <v/>
      </c>
      <c r="D59" s="39">
        <f>'Functional P&amp;L - Monthly Trend'!D72</f>
        <v/>
      </c>
      <c r="E59" s="39">
        <f>'Functional P&amp;L - Monthly Trend'!E72</f>
        <v/>
      </c>
      <c r="F59" s="39">
        <f>'Functional P&amp;L - Monthly Trend'!F72</f>
        <v/>
      </c>
      <c r="G59" s="39">
        <f>'Functional P&amp;L - Monthly Trend'!G72</f>
        <v/>
      </c>
      <c r="H59" s="39">
        <f>'Functional P&amp;L - Monthly Trend'!H72</f>
        <v/>
      </c>
      <c r="I59" s="39">
        <f>'Functional P&amp;L - Monthly Trend'!I72</f>
        <v/>
      </c>
      <c r="J59" s="39">
        <f>'Functional P&amp;L - Monthly Trend'!J72</f>
        <v/>
      </c>
      <c r="K59" s="39">
        <f>'Functional P&amp;L - Monthly Trend'!K72</f>
        <v/>
      </c>
      <c r="L59" s="39">
        <f>'Functional P&amp;L - Monthly Trend'!L72</f>
        <v/>
      </c>
      <c r="M59" s="39">
        <f>'Functional P&amp;L - Monthly Trend'!M72</f>
        <v/>
      </c>
      <c r="N59" s="39">
        <f>'Functional P&amp;L - Monthly Trend'!N72</f>
        <v/>
      </c>
      <c r="O59" s="39">
        <f>'Functional P&amp;L - Monthly Trend'!O72</f>
        <v/>
      </c>
      <c r="P59" s="39">
        <f>'Functional P&amp;L - Monthly Trend'!P72</f>
        <v/>
      </c>
      <c r="Q59" s="39">
        <f>'Functional P&amp;L - Monthly Trend'!Q72</f>
        <v/>
      </c>
      <c r="R59" s="39">
        <f>'Functional P&amp;L - Monthly Trend'!R72</f>
        <v/>
      </c>
    </row>
    <row r="60">
      <c r="A60" s="54" t="inlineStr">
        <is>
          <t>Total Expenses</t>
        </is>
      </c>
      <c r="B60" s="76">
        <f>SUM(B53:B59)</f>
        <v/>
      </c>
      <c r="C60" s="76">
        <f>SUM(C53:C59)</f>
        <v/>
      </c>
      <c r="D60" s="76">
        <f>SUM(D53:D59)</f>
        <v/>
      </c>
      <c r="E60" s="76">
        <f>SUM(E53:E59)</f>
        <v/>
      </c>
      <c r="F60" s="76">
        <f>SUM(F53:F59)</f>
        <v/>
      </c>
      <c r="G60" s="76">
        <f>SUM(G53:G59)</f>
        <v/>
      </c>
      <c r="H60" s="76">
        <f>SUM(H53:H59)</f>
        <v/>
      </c>
      <c r="I60" s="76">
        <f>SUM(I53:I59)</f>
        <v/>
      </c>
      <c r="J60" s="76">
        <f>SUM(J53:J59)</f>
        <v/>
      </c>
      <c r="K60" s="76">
        <f>SUM(K53:K59)</f>
        <v/>
      </c>
      <c r="L60" s="76">
        <f>SUM(L53:L59)</f>
        <v/>
      </c>
      <c r="M60" s="76">
        <f>SUM(M53:M59)</f>
        <v/>
      </c>
      <c r="N60" s="76">
        <f>SUM(N53:N59)</f>
        <v/>
      </c>
      <c r="O60" s="76">
        <f>SUM(O53:O59)</f>
        <v/>
      </c>
      <c r="P60" s="76">
        <f>SUM(P53:P59)</f>
        <v/>
      </c>
      <c r="Q60" s="76">
        <f>SUM(Q53:Q59)</f>
        <v/>
      </c>
      <c r="R60" s="76">
        <f>SUM(R53:R59)</f>
        <v/>
      </c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</row>
    <row r="62">
      <c r="A62" s="45" t="inlineStr">
        <is>
          <t>InsureSight</t>
        </is>
      </c>
      <c r="B62" s="45" t="n"/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</row>
    <row r="63">
      <c r="A63" s="36" t="inlineStr">
        <is>
          <t>NetOps</t>
        </is>
      </c>
      <c r="B63" s="37">
        <f>'Functional P&amp;L - Monthly Trend'!B86</f>
        <v/>
      </c>
      <c r="C63" s="37">
        <f>'Functional P&amp;L - Monthly Trend'!C86</f>
        <v/>
      </c>
      <c r="D63" s="37">
        <f>'Functional P&amp;L - Monthly Trend'!D86</f>
        <v/>
      </c>
      <c r="E63" s="37">
        <f>'Functional P&amp;L - Monthly Trend'!E86</f>
        <v/>
      </c>
      <c r="F63" s="37">
        <f>'Functional P&amp;L - Monthly Trend'!F86</f>
        <v/>
      </c>
      <c r="G63" s="37">
        <f>'Functional P&amp;L - Monthly Trend'!G86</f>
        <v/>
      </c>
      <c r="H63" s="37">
        <f>'Functional P&amp;L - Monthly Trend'!H86</f>
        <v/>
      </c>
      <c r="I63" s="37">
        <f>'Functional P&amp;L - Monthly Trend'!I86</f>
        <v/>
      </c>
      <c r="J63" s="37">
        <f>'Functional P&amp;L - Monthly Trend'!J86</f>
        <v/>
      </c>
      <c r="K63" s="37">
        <f>'Functional P&amp;L - Monthly Trend'!K86</f>
        <v/>
      </c>
      <c r="L63" s="37">
        <f>'Functional P&amp;L - Monthly Trend'!L86</f>
        <v/>
      </c>
      <c r="M63" s="37">
        <f>'Functional P&amp;L - Monthly Trend'!M86</f>
        <v/>
      </c>
      <c r="N63" s="37">
        <f>'Functional P&amp;L - Monthly Trend'!N86</f>
        <v/>
      </c>
      <c r="O63" s="37">
        <f>'Functional P&amp;L - Monthly Trend'!O86</f>
        <v/>
      </c>
      <c r="P63" s="37">
        <f>'Functional P&amp;L - Monthly Trend'!P86</f>
        <v/>
      </c>
      <c r="Q63" s="37">
        <f>'Functional P&amp;L - Monthly Trend'!Q86</f>
        <v/>
      </c>
      <c r="R63" s="37">
        <f>'Functional P&amp;L - Monthly Trend'!R86</f>
        <v/>
      </c>
    </row>
    <row r="64">
      <c r="A64" s="38" t="inlineStr">
        <is>
          <t>Security</t>
        </is>
      </c>
      <c r="B64" s="39">
        <f>'Functional P&amp;L - Monthly Trend'!B87</f>
        <v/>
      </c>
      <c r="C64" s="39">
        <f>'Functional P&amp;L - Monthly Trend'!C87</f>
        <v/>
      </c>
      <c r="D64" s="39">
        <f>'Functional P&amp;L - Monthly Trend'!D87</f>
        <v/>
      </c>
      <c r="E64" s="39">
        <f>'Functional P&amp;L - Monthly Trend'!E87</f>
        <v/>
      </c>
      <c r="F64" s="39">
        <f>'Functional P&amp;L - Monthly Trend'!F87</f>
        <v/>
      </c>
      <c r="G64" s="39">
        <f>'Functional P&amp;L - Monthly Trend'!G87</f>
        <v/>
      </c>
      <c r="H64" s="39">
        <f>'Functional P&amp;L - Monthly Trend'!H87</f>
        <v/>
      </c>
      <c r="I64" s="39">
        <f>'Functional P&amp;L - Monthly Trend'!I87</f>
        <v/>
      </c>
      <c r="J64" s="39">
        <f>'Functional P&amp;L - Monthly Trend'!J87</f>
        <v/>
      </c>
      <c r="K64" s="39">
        <f>'Functional P&amp;L - Monthly Trend'!K87</f>
        <v/>
      </c>
      <c r="L64" s="39">
        <f>'Functional P&amp;L - Monthly Trend'!L87</f>
        <v/>
      </c>
      <c r="M64" s="39">
        <f>'Functional P&amp;L - Monthly Trend'!M87</f>
        <v/>
      </c>
      <c r="N64" s="39">
        <f>'Functional P&amp;L - Monthly Trend'!N87</f>
        <v/>
      </c>
      <c r="O64" s="39">
        <f>'Functional P&amp;L - Monthly Trend'!O87</f>
        <v/>
      </c>
      <c r="P64" s="39">
        <f>'Functional P&amp;L - Monthly Trend'!P87</f>
        <v/>
      </c>
      <c r="Q64" s="39">
        <f>'Functional P&amp;L - Monthly Trend'!Q87</f>
        <v/>
      </c>
      <c r="R64" s="39">
        <f>'Functional P&amp;L - Monthly Trend'!R87</f>
        <v/>
      </c>
    </row>
    <row r="65">
      <c r="A65" s="36" t="inlineStr">
        <is>
          <t>Support</t>
        </is>
      </c>
      <c r="B65" s="37">
        <f>'Functional P&amp;L - Monthly Trend'!B88</f>
        <v/>
      </c>
      <c r="C65" s="37">
        <f>'Functional P&amp;L - Monthly Trend'!C88</f>
        <v/>
      </c>
      <c r="D65" s="37">
        <f>'Functional P&amp;L - Monthly Trend'!D88</f>
        <v/>
      </c>
      <c r="E65" s="37">
        <f>'Functional P&amp;L - Monthly Trend'!E88</f>
        <v/>
      </c>
      <c r="F65" s="37">
        <f>'Functional P&amp;L - Monthly Trend'!F88</f>
        <v/>
      </c>
      <c r="G65" s="37">
        <f>'Functional P&amp;L - Monthly Trend'!G88</f>
        <v/>
      </c>
      <c r="H65" s="37">
        <f>'Functional P&amp;L - Monthly Trend'!H88</f>
        <v/>
      </c>
      <c r="I65" s="37">
        <f>'Functional P&amp;L - Monthly Trend'!I88</f>
        <v/>
      </c>
      <c r="J65" s="37">
        <f>'Functional P&amp;L - Monthly Trend'!J88</f>
        <v/>
      </c>
      <c r="K65" s="37">
        <f>'Functional P&amp;L - Monthly Trend'!K88</f>
        <v/>
      </c>
      <c r="L65" s="37">
        <f>'Functional P&amp;L - Monthly Trend'!L88</f>
        <v/>
      </c>
      <c r="M65" s="37">
        <f>'Functional P&amp;L - Monthly Trend'!M88</f>
        <v/>
      </c>
      <c r="N65" s="37">
        <f>'Functional P&amp;L - Monthly Trend'!N88</f>
        <v/>
      </c>
      <c r="O65" s="37">
        <f>'Functional P&amp;L - Monthly Trend'!O88</f>
        <v/>
      </c>
      <c r="P65" s="37">
        <f>'Functional P&amp;L - Monthly Trend'!P88</f>
        <v/>
      </c>
      <c r="Q65" s="37">
        <f>'Functional P&amp;L - Monthly Trend'!Q88</f>
        <v/>
      </c>
      <c r="R65" s="37">
        <f>'Functional P&amp;L - Monthly Trend'!R88</f>
        <v/>
      </c>
    </row>
    <row r="66">
      <c r="A66" s="38" t="inlineStr">
        <is>
          <t>Partners</t>
        </is>
      </c>
      <c r="B66" s="39">
        <f>'Functional P&amp;L - Monthly Trend'!B89</f>
        <v/>
      </c>
      <c r="C66" s="39">
        <f>'Functional P&amp;L - Monthly Trend'!C89</f>
        <v/>
      </c>
      <c r="D66" s="39">
        <f>'Functional P&amp;L - Monthly Trend'!D89</f>
        <v/>
      </c>
      <c r="E66" s="39">
        <f>'Functional P&amp;L - Monthly Trend'!E89</f>
        <v/>
      </c>
      <c r="F66" s="39">
        <f>'Functional P&amp;L - Monthly Trend'!F89</f>
        <v/>
      </c>
      <c r="G66" s="39">
        <f>'Functional P&amp;L - Monthly Trend'!G89</f>
        <v/>
      </c>
      <c r="H66" s="39">
        <f>'Functional P&amp;L - Monthly Trend'!H89</f>
        <v/>
      </c>
      <c r="I66" s="39">
        <f>'Functional P&amp;L - Monthly Trend'!I89</f>
        <v/>
      </c>
      <c r="J66" s="39">
        <f>'Functional P&amp;L - Monthly Trend'!J89</f>
        <v/>
      </c>
      <c r="K66" s="39">
        <f>'Functional P&amp;L - Monthly Trend'!K89</f>
        <v/>
      </c>
      <c r="L66" s="39">
        <f>'Functional P&amp;L - Monthly Trend'!L89</f>
        <v/>
      </c>
      <c r="M66" s="39">
        <f>'Functional P&amp;L - Monthly Trend'!M89</f>
        <v/>
      </c>
      <c r="N66" s="39">
        <f>'Functional P&amp;L - Monthly Trend'!N89</f>
        <v/>
      </c>
      <c r="O66" s="39">
        <f>'Functional P&amp;L - Monthly Trend'!O89</f>
        <v/>
      </c>
      <c r="P66" s="39">
        <f>'Functional P&amp;L - Monthly Trend'!P89</f>
        <v/>
      </c>
      <c r="Q66" s="39">
        <f>'Functional P&amp;L - Monthly Trend'!Q89</f>
        <v/>
      </c>
      <c r="R66" s="39">
        <f>'Functional P&amp;L - Monthly Trend'!R89</f>
        <v/>
      </c>
    </row>
    <row r="67">
      <c r="A67" s="36" t="inlineStr">
        <is>
          <t>Content</t>
        </is>
      </c>
      <c r="B67" s="37">
        <f>'Functional P&amp;L - Monthly Trend'!B90</f>
        <v/>
      </c>
      <c r="C67" s="37">
        <f>'Functional P&amp;L - Monthly Trend'!C90</f>
        <v/>
      </c>
      <c r="D67" s="37">
        <f>'Functional P&amp;L - Monthly Trend'!D90</f>
        <v/>
      </c>
      <c r="E67" s="37">
        <f>'Functional P&amp;L - Monthly Trend'!E90</f>
        <v/>
      </c>
      <c r="F67" s="37">
        <f>'Functional P&amp;L - Monthly Trend'!F90</f>
        <v/>
      </c>
      <c r="G67" s="37">
        <f>'Functional P&amp;L - Monthly Trend'!G90</f>
        <v/>
      </c>
      <c r="H67" s="37">
        <f>'Functional P&amp;L - Monthly Trend'!H90</f>
        <v/>
      </c>
      <c r="I67" s="37">
        <f>'Functional P&amp;L - Monthly Trend'!I90</f>
        <v/>
      </c>
      <c r="J67" s="37">
        <f>'Functional P&amp;L - Monthly Trend'!J90</f>
        <v/>
      </c>
      <c r="K67" s="37">
        <f>'Functional P&amp;L - Monthly Trend'!K90</f>
        <v/>
      </c>
      <c r="L67" s="37">
        <f>'Functional P&amp;L - Monthly Trend'!L90</f>
        <v/>
      </c>
      <c r="M67" s="37">
        <f>'Functional P&amp;L - Monthly Trend'!M90</f>
        <v/>
      </c>
      <c r="N67" s="37">
        <f>'Functional P&amp;L - Monthly Trend'!N90</f>
        <v/>
      </c>
      <c r="O67" s="37">
        <f>'Functional P&amp;L - Monthly Trend'!O90</f>
        <v/>
      </c>
      <c r="P67" s="37">
        <f>'Functional P&amp;L - Monthly Trend'!P90</f>
        <v/>
      </c>
      <c r="Q67" s="37">
        <f>'Functional P&amp;L - Monthly Trend'!Q90</f>
        <v/>
      </c>
      <c r="R67" s="37">
        <f>'Functional P&amp;L - Monthly Trend'!R90</f>
        <v/>
      </c>
    </row>
    <row r="68">
      <c r="A68" s="38" t="inlineStr">
        <is>
          <t>Research &amp; Development</t>
        </is>
      </c>
      <c r="B68" s="39">
        <f>'Functional P&amp;L - Monthly Trend'!B105</f>
        <v/>
      </c>
      <c r="C68" s="39">
        <f>'Functional P&amp;L - Monthly Trend'!C105</f>
        <v/>
      </c>
      <c r="D68" s="39">
        <f>'Functional P&amp;L - Monthly Trend'!D105</f>
        <v/>
      </c>
      <c r="E68" s="39">
        <f>'Functional P&amp;L - Monthly Trend'!E105</f>
        <v/>
      </c>
      <c r="F68" s="39">
        <f>'Functional P&amp;L - Monthly Trend'!F105</f>
        <v/>
      </c>
      <c r="G68" s="39">
        <f>'Functional P&amp;L - Monthly Trend'!G105</f>
        <v/>
      </c>
      <c r="H68" s="39">
        <f>'Functional P&amp;L - Monthly Trend'!H105</f>
        <v/>
      </c>
      <c r="I68" s="39">
        <f>'Functional P&amp;L - Monthly Trend'!I105</f>
        <v/>
      </c>
      <c r="J68" s="39">
        <f>'Functional P&amp;L - Monthly Trend'!J105</f>
        <v/>
      </c>
      <c r="K68" s="39">
        <f>'Functional P&amp;L - Monthly Trend'!K105</f>
        <v/>
      </c>
      <c r="L68" s="39">
        <f>'Functional P&amp;L - Monthly Trend'!L105</f>
        <v/>
      </c>
      <c r="M68" s="39">
        <f>'Functional P&amp;L - Monthly Trend'!M105</f>
        <v/>
      </c>
      <c r="N68" s="39">
        <f>'Functional P&amp;L - Monthly Trend'!N105</f>
        <v/>
      </c>
      <c r="O68" s="39">
        <f>'Functional P&amp;L - Monthly Trend'!O105</f>
        <v/>
      </c>
      <c r="P68" s="39">
        <f>'Functional P&amp;L - Monthly Trend'!P105</f>
        <v/>
      </c>
      <c r="Q68" s="39">
        <f>'Functional P&amp;L - Monthly Trend'!Q105</f>
        <v/>
      </c>
      <c r="R68" s="39">
        <f>'Functional P&amp;L - Monthly Trend'!R105</f>
        <v/>
      </c>
    </row>
    <row r="69">
      <c r="A69" s="36" t="inlineStr">
        <is>
          <t>Product Management</t>
        </is>
      </c>
      <c r="B69" s="37">
        <f>'Functional P&amp;L - Monthly Trend'!B108</f>
        <v/>
      </c>
      <c r="C69" s="37">
        <f>'Functional P&amp;L - Monthly Trend'!C108</f>
        <v/>
      </c>
      <c r="D69" s="37">
        <f>'Functional P&amp;L - Monthly Trend'!D108</f>
        <v/>
      </c>
      <c r="E69" s="37">
        <f>'Functional P&amp;L - Monthly Trend'!E108</f>
        <v/>
      </c>
      <c r="F69" s="37">
        <f>'Functional P&amp;L - Monthly Trend'!F108</f>
        <v/>
      </c>
      <c r="G69" s="37">
        <f>'Functional P&amp;L - Monthly Trend'!G108</f>
        <v/>
      </c>
      <c r="H69" s="37">
        <f>'Functional P&amp;L - Monthly Trend'!H108</f>
        <v/>
      </c>
      <c r="I69" s="37">
        <f>'Functional P&amp;L - Monthly Trend'!I108</f>
        <v/>
      </c>
      <c r="J69" s="37">
        <f>'Functional P&amp;L - Monthly Trend'!J108</f>
        <v/>
      </c>
      <c r="K69" s="37">
        <f>'Functional P&amp;L - Monthly Trend'!K108</f>
        <v/>
      </c>
      <c r="L69" s="37">
        <f>'Functional P&amp;L - Monthly Trend'!L108</f>
        <v/>
      </c>
      <c r="M69" s="37">
        <f>'Functional P&amp;L - Monthly Trend'!M108</f>
        <v/>
      </c>
      <c r="N69" s="37">
        <f>'Functional P&amp;L - Monthly Trend'!N108</f>
        <v/>
      </c>
      <c r="O69" s="37">
        <f>'Functional P&amp;L - Monthly Trend'!O108</f>
        <v/>
      </c>
      <c r="P69" s="37">
        <f>'Functional P&amp;L - Monthly Trend'!P108</f>
        <v/>
      </c>
      <c r="Q69" s="37">
        <f>'Functional P&amp;L - Monthly Trend'!Q108</f>
        <v/>
      </c>
      <c r="R69" s="37">
        <f>'Functional P&amp;L - Monthly Trend'!R108</f>
        <v/>
      </c>
    </row>
    <row r="70">
      <c r="A70" s="54" t="inlineStr">
        <is>
          <t>Total Expenses</t>
        </is>
      </c>
      <c r="B70" s="76">
        <f>SUM(B63:B69)</f>
        <v/>
      </c>
      <c r="C70" s="76">
        <f>SUM(C63:C69)</f>
        <v/>
      </c>
      <c r="D70" s="76">
        <f>SUM(D63:D69)</f>
        <v/>
      </c>
      <c r="E70" s="76">
        <f>SUM(E63:E69)</f>
        <v/>
      </c>
      <c r="F70" s="76">
        <f>SUM(F63:F69)</f>
        <v/>
      </c>
      <c r="G70" s="76">
        <f>SUM(G63:G69)</f>
        <v/>
      </c>
      <c r="H70" s="76">
        <f>SUM(H63:H69)</f>
        <v/>
      </c>
      <c r="I70" s="76">
        <f>SUM(I63:I69)</f>
        <v/>
      </c>
      <c r="J70" s="76">
        <f>SUM(J63:J69)</f>
        <v/>
      </c>
      <c r="K70" s="76">
        <f>SUM(K63:K69)</f>
        <v/>
      </c>
      <c r="L70" s="76">
        <f>SUM(L63:L69)</f>
        <v/>
      </c>
      <c r="M70" s="76">
        <f>SUM(M63:M69)</f>
        <v/>
      </c>
      <c r="N70" s="76">
        <f>SUM(N63:N69)</f>
        <v/>
      </c>
      <c r="O70" s="76">
        <f>SUM(O63:O69)</f>
        <v/>
      </c>
      <c r="P70" s="76">
        <f>SUM(P63:P69)</f>
        <v/>
      </c>
      <c r="Q70" s="76">
        <f>SUM(Q63:Q69)</f>
        <v/>
      </c>
      <c r="R70" s="76">
        <f>SUM(R63:R69)</f>
        <v/>
      </c>
    </row>
    <row r="71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</row>
    <row r="72">
      <c r="A72" s="45" t="inlineStr">
        <is>
          <t>DocFast</t>
        </is>
      </c>
      <c r="B72" s="45" t="n"/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</row>
    <row r="73">
      <c r="A73" s="38" t="inlineStr">
        <is>
          <t>NetOps</t>
        </is>
      </c>
      <c r="B73" s="39">
        <f>'Functional P&amp;L - Monthly Trend'!B122</f>
        <v/>
      </c>
      <c r="C73" s="39">
        <f>'Functional P&amp;L - Monthly Trend'!C122</f>
        <v/>
      </c>
      <c r="D73" s="39">
        <f>'Functional P&amp;L - Monthly Trend'!D122</f>
        <v/>
      </c>
      <c r="E73" s="39">
        <f>'Functional P&amp;L - Monthly Trend'!E122</f>
        <v/>
      </c>
      <c r="F73" s="39">
        <f>'Functional P&amp;L - Monthly Trend'!F122</f>
        <v/>
      </c>
      <c r="G73" s="39">
        <f>'Functional P&amp;L - Monthly Trend'!G122</f>
        <v/>
      </c>
      <c r="H73" s="39">
        <f>'Functional P&amp;L - Monthly Trend'!H122</f>
        <v/>
      </c>
      <c r="I73" s="39">
        <f>'Functional P&amp;L - Monthly Trend'!I122</f>
        <v/>
      </c>
      <c r="J73" s="39">
        <f>'Functional P&amp;L - Monthly Trend'!J122</f>
        <v/>
      </c>
      <c r="K73" s="39">
        <f>'Functional P&amp;L - Monthly Trend'!K122</f>
        <v/>
      </c>
      <c r="L73" s="39">
        <f>'Functional P&amp;L - Monthly Trend'!L122</f>
        <v/>
      </c>
      <c r="M73" s="39">
        <f>'Functional P&amp;L - Monthly Trend'!M122</f>
        <v/>
      </c>
      <c r="N73" s="39">
        <f>'Functional P&amp;L - Monthly Trend'!N122</f>
        <v/>
      </c>
      <c r="O73" s="39">
        <f>'Functional P&amp;L - Monthly Trend'!O122</f>
        <v/>
      </c>
      <c r="P73" s="39">
        <f>'Functional P&amp;L - Monthly Trend'!P122</f>
        <v/>
      </c>
      <c r="Q73" s="39">
        <f>'Functional P&amp;L - Monthly Trend'!Q122</f>
        <v/>
      </c>
      <c r="R73" s="39">
        <f>'Functional P&amp;L - Monthly Trend'!R122</f>
        <v/>
      </c>
    </row>
    <row r="74">
      <c r="A74" s="36" t="inlineStr">
        <is>
          <t>Security</t>
        </is>
      </c>
      <c r="B74" s="37">
        <f>'Functional P&amp;L - Monthly Trend'!B123</f>
        <v/>
      </c>
      <c r="C74" s="37">
        <f>'Functional P&amp;L - Monthly Trend'!C123</f>
        <v/>
      </c>
      <c r="D74" s="37">
        <f>'Functional P&amp;L - Monthly Trend'!D123</f>
        <v/>
      </c>
      <c r="E74" s="37">
        <f>'Functional P&amp;L - Monthly Trend'!E123</f>
        <v/>
      </c>
      <c r="F74" s="37">
        <f>'Functional P&amp;L - Monthly Trend'!F123</f>
        <v/>
      </c>
      <c r="G74" s="37">
        <f>'Functional P&amp;L - Monthly Trend'!G123</f>
        <v/>
      </c>
      <c r="H74" s="37">
        <f>'Functional P&amp;L - Monthly Trend'!H123</f>
        <v/>
      </c>
      <c r="I74" s="37">
        <f>'Functional P&amp;L - Monthly Trend'!I123</f>
        <v/>
      </c>
      <c r="J74" s="37">
        <f>'Functional P&amp;L - Monthly Trend'!J123</f>
        <v/>
      </c>
      <c r="K74" s="37">
        <f>'Functional P&amp;L - Monthly Trend'!K123</f>
        <v/>
      </c>
      <c r="L74" s="37">
        <f>'Functional P&amp;L - Monthly Trend'!L123</f>
        <v/>
      </c>
      <c r="M74" s="37">
        <f>'Functional P&amp;L - Monthly Trend'!M123</f>
        <v/>
      </c>
      <c r="N74" s="37">
        <f>'Functional P&amp;L - Monthly Trend'!N123</f>
        <v/>
      </c>
      <c r="O74" s="37">
        <f>'Functional P&amp;L - Monthly Trend'!O123</f>
        <v/>
      </c>
      <c r="P74" s="37">
        <f>'Functional P&amp;L - Monthly Trend'!P123</f>
        <v/>
      </c>
      <c r="Q74" s="37">
        <f>'Functional P&amp;L - Monthly Trend'!Q123</f>
        <v/>
      </c>
      <c r="R74" s="37">
        <f>'Functional P&amp;L - Monthly Trend'!R123</f>
        <v/>
      </c>
    </row>
    <row r="75">
      <c r="A75" s="38" t="inlineStr">
        <is>
          <t>Support</t>
        </is>
      </c>
      <c r="B75" s="39">
        <f>'Functional P&amp;L - Monthly Trend'!B124</f>
        <v/>
      </c>
      <c r="C75" s="39">
        <f>'Functional P&amp;L - Monthly Trend'!C124</f>
        <v/>
      </c>
      <c r="D75" s="39">
        <f>'Functional P&amp;L - Monthly Trend'!D124</f>
        <v/>
      </c>
      <c r="E75" s="39">
        <f>'Functional P&amp;L - Monthly Trend'!E124</f>
        <v/>
      </c>
      <c r="F75" s="39">
        <f>'Functional P&amp;L - Monthly Trend'!F124</f>
        <v/>
      </c>
      <c r="G75" s="39">
        <f>'Functional P&amp;L - Monthly Trend'!G124</f>
        <v/>
      </c>
      <c r="H75" s="39">
        <f>'Functional P&amp;L - Monthly Trend'!H124</f>
        <v/>
      </c>
      <c r="I75" s="39">
        <f>'Functional P&amp;L - Monthly Trend'!I124</f>
        <v/>
      </c>
      <c r="J75" s="39">
        <f>'Functional P&amp;L - Monthly Trend'!J124</f>
        <v/>
      </c>
      <c r="K75" s="39">
        <f>'Functional P&amp;L - Monthly Trend'!K124</f>
        <v/>
      </c>
      <c r="L75" s="39">
        <f>'Functional P&amp;L - Monthly Trend'!L124</f>
        <v/>
      </c>
      <c r="M75" s="39">
        <f>'Functional P&amp;L - Monthly Trend'!M124</f>
        <v/>
      </c>
      <c r="N75" s="39">
        <f>'Functional P&amp;L - Monthly Trend'!N124</f>
        <v/>
      </c>
      <c r="O75" s="39">
        <f>'Functional P&amp;L - Monthly Trend'!O124</f>
        <v/>
      </c>
      <c r="P75" s="39">
        <f>'Functional P&amp;L - Monthly Trend'!P124</f>
        <v/>
      </c>
      <c r="Q75" s="39">
        <f>'Functional P&amp;L - Monthly Trend'!Q124</f>
        <v/>
      </c>
      <c r="R75" s="39">
        <f>'Functional P&amp;L - Monthly Trend'!R124</f>
        <v/>
      </c>
    </row>
    <row r="76">
      <c r="A76" s="36" t="inlineStr">
        <is>
          <t>Partners</t>
        </is>
      </c>
      <c r="B76" s="37">
        <f>'Functional P&amp;L - Monthly Trend'!B125</f>
        <v/>
      </c>
      <c r="C76" s="37">
        <f>'Functional P&amp;L - Monthly Trend'!C125</f>
        <v/>
      </c>
      <c r="D76" s="37">
        <f>'Functional P&amp;L - Monthly Trend'!D125</f>
        <v/>
      </c>
      <c r="E76" s="37">
        <f>'Functional P&amp;L - Monthly Trend'!E125</f>
        <v/>
      </c>
      <c r="F76" s="37">
        <f>'Functional P&amp;L - Monthly Trend'!F125</f>
        <v/>
      </c>
      <c r="G76" s="37">
        <f>'Functional P&amp;L - Monthly Trend'!G125</f>
        <v/>
      </c>
      <c r="H76" s="37">
        <f>'Functional P&amp;L - Monthly Trend'!H125</f>
        <v/>
      </c>
      <c r="I76" s="37">
        <f>'Functional P&amp;L - Monthly Trend'!I125</f>
        <v/>
      </c>
      <c r="J76" s="37">
        <f>'Functional P&amp;L - Monthly Trend'!J125</f>
        <v/>
      </c>
      <c r="K76" s="37">
        <f>'Functional P&amp;L - Monthly Trend'!K125</f>
        <v/>
      </c>
      <c r="L76" s="37">
        <f>'Functional P&amp;L - Monthly Trend'!L125</f>
        <v/>
      </c>
      <c r="M76" s="37">
        <f>'Functional P&amp;L - Monthly Trend'!M125</f>
        <v/>
      </c>
      <c r="N76" s="37">
        <f>'Functional P&amp;L - Monthly Trend'!N125</f>
        <v/>
      </c>
      <c r="O76" s="37">
        <f>'Functional P&amp;L - Monthly Trend'!O125</f>
        <v/>
      </c>
      <c r="P76" s="37">
        <f>'Functional P&amp;L - Monthly Trend'!P125</f>
        <v/>
      </c>
      <c r="Q76" s="37">
        <f>'Functional P&amp;L - Monthly Trend'!Q125</f>
        <v/>
      </c>
      <c r="R76" s="37">
        <f>'Functional P&amp;L - Monthly Trend'!R125</f>
        <v/>
      </c>
    </row>
    <row r="77">
      <c r="A77" s="38" t="inlineStr">
        <is>
          <t>Content</t>
        </is>
      </c>
      <c r="B77" s="39">
        <f>'Functional P&amp;L - Monthly Trend'!B126</f>
        <v/>
      </c>
      <c r="C77" s="39">
        <f>'Functional P&amp;L - Monthly Trend'!C126</f>
        <v/>
      </c>
      <c r="D77" s="39">
        <f>'Functional P&amp;L - Monthly Trend'!D126</f>
        <v/>
      </c>
      <c r="E77" s="39">
        <f>'Functional P&amp;L - Monthly Trend'!E126</f>
        <v/>
      </c>
      <c r="F77" s="39">
        <f>'Functional P&amp;L - Monthly Trend'!F126</f>
        <v/>
      </c>
      <c r="G77" s="39">
        <f>'Functional P&amp;L - Monthly Trend'!G126</f>
        <v/>
      </c>
      <c r="H77" s="39">
        <f>'Functional P&amp;L - Monthly Trend'!H126</f>
        <v/>
      </c>
      <c r="I77" s="39">
        <f>'Functional P&amp;L - Monthly Trend'!I126</f>
        <v/>
      </c>
      <c r="J77" s="39">
        <f>'Functional P&amp;L - Monthly Trend'!J126</f>
        <v/>
      </c>
      <c r="K77" s="39">
        <f>'Functional P&amp;L - Monthly Trend'!K126</f>
        <v/>
      </c>
      <c r="L77" s="39">
        <f>'Functional P&amp;L - Monthly Trend'!L126</f>
        <v/>
      </c>
      <c r="M77" s="39">
        <f>'Functional P&amp;L - Monthly Trend'!M126</f>
        <v/>
      </c>
      <c r="N77" s="39">
        <f>'Functional P&amp;L - Monthly Trend'!N126</f>
        <v/>
      </c>
      <c r="O77" s="39">
        <f>'Functional P&amp;L - Monthly Trend'!O126</f>
        <v/>
      </c>
      <c r="P77" s="39">
        <f>'Functional P&amp;L - Monthly Trend'!P126</f>
        <v/>
      </c>
      <c r="Q77" s="39">
        <f>'Functional P&amp;L - Monthly Trend'!Q126</f>
        <v/>
      </c>
      <c r="R77" s="39">
        <f>'Functional P&amp;L - Monthly Trend'!R126</f>
        <v/>
      </c>
    </row>
    <row r="78">
      <c r="A78" s="36" t="inlineStr">
        <is>
          <t>Research &amp; Development</t>
        </is>
      </c>
      <c r="B78" s="37">
        <f>'Functional P&amp;L - Monthly Trend'!B141</f>
        <v/>
      </c>
      <c r="C78" s="37">
        <f>'Functional P&amp;L - Monthly Trend'!C141</f>
        <v/>
      </c>
      <c r="D78" s="37">
        <f>'Functional P&amp;L - Monthly Trend'!D141</f>
        <v/>
      </c>
      <c r="E78" s="37">
        <f>'Functional P&amp;L - Monthly Trend'!E141</f>
        <v/>
      </c>
      <c r="F78" s="37">
        <f>'Functional P&amp;L - Monthly Trend'!F141</f>
        <v/>
      </c>
      <c r="G78" s="37">
        <f>'Functional P&amp;L - Monthly Trend'!G141</f>
        <v/>
      </c>
      <c r="H78" s="37">
        <f>'Functional P&amp;L - Monthly Trend'!H141</f>
        <v/>
      </c>
      <c r="I78" s="37">
        <f>'Functional P&amp;L - Monthly Trend'!I141</f>
        <v/>
      </c>
      <c r="J78" s="37">
        <f>'Functional P&amp;L - Monthly Trend'!J141</f>
        <v/>
      </c>
      <c r="K78" s="37">
        <f>'Functional P&amp;L - Monthly Trend'!K141</f>
        <v/>
      </c>
      <c r="L78" s="37">
        <f>'Functional P&amp;L - Monthly Trend'!L141</f>
        <v/>
      </c>
      <c r="M78" s="37">
        <f>'Functional P&amp;L - Monthly Trend'!M141</f>
        <v/>
      </c>
      <c r="N78" s="37">
        <f>'Functional P&amp;L - Monthly Trend'!N141</f>
        <v/>
      </c>
      <c r="O78" s="37">
        <f>'Functional P&amp;L - Monthly Trend'!O141</f>
        <v/>
      </c>
      <c r="P78" s="37">
        <f>'Functional P&amp;L - Monthly Trend'!P141</f>
        <v/>
      </c>
      <c r="Q78" s="37">
        <f>'Functional P&amp;L - Monthly Trend'!Q141</f>
        <v/>
      </c>
      <c r="R78" s="37">
        <f>'Functional P&amp;L - Monthly Trend'!R141</f>
        <v/>
      </c>
    </row>
    <row r="79">
      <c r="A79" s="38" t="inlineStr">
        <is>
          <t>Product Management</t>
        </is>
      </c>
      <c r="B79" s="39">
        <f>'Functional P&amp;L - Monthly Trend'!B144</f>
        <v/>
      </c>
      <c r="C79" s="39">
        <f>'Functional P&amp;L - Monthly Trend'!C144</f>
        <v/>
      </c>
      <c r="D79" s="39">
        <f>'Functional P&amp;L - Monthly Trend'!D144</f>
        <v/>
      </c>
      <c r="E79" s="39">
        <f>'Functional P&amp;L - Monthly Trend'!E144</f>
        <v/>
      </c>
      <c r="F79" s="39">
        <f>'Functional P&amp;L - Monthly Trend'!F144</f>
        <v/>
      </c>
      <c r="G79" s="39">
        <f>'Functional P&amp;L - Monthly Trend'!G144</f>
        <v/>
      </c>
      <c r="H79" s="39">
        <f>'Functional P&amp;L - Monthly Trend'!H144</f>
        <v/>
      </c>
      <c r="I79" s="39">
        <f>'Functional P&amp;L - Monthly Trend'!I144</f>
        <v/>
      </c>
      <c r="J79" s="39">
        <f>'Functional P&amp;L - Monthly Trend'!J144</f>
        <v/>
      </c>
      <c r="K79" s="39">
        <f>'Functional P&amp;L - Monthly Trend'!K144</f>
        <v/>
      </c>
      <c r="L79" s="39">
        <f>'Functional P&amp;L - Monthly Trend'!L144</f>
        <v/>
      </c>
      <c r="M79" s="39">
        <f>'Functional P&amp;L - Monthly Trend'!M144</f>
        <v/>
      </c>
      <c r="N79" s="39">
        <f>'Functional P&amp;L - Monthly Trend'!N144</f>
        <v/>
      </c>
      <c r="O79" s="39">
        <f>'Functional P&amp;L - Monthly Trend'!O144</f>
        <v/>
      </c>
      <c r="P79" s="39">
        <f>'Functional P&amp;L - Monthly Trend'!P144</f>
        <v/>
      </c>
      <c r="Q79" s="39">
        <f>'Functional P&amp;L - Monthly Trend'!Q144</f>
        <v/>
      </c>
      <c r="R79" s="39">
        <f>'Functional P&amp;L - Monthly Trend'!R144</f>
        <v/>
      </c>
    </row>
    <row r="80">
      <c r="A80" s="54" t="inlineStr">
        <is>
          <t>Total Expenses</t>
        </is>
      </c>
      <c r="B80" s="76">
        <f>SUM(B73:B79)</f>
        <v/>
      </c>
      <c r="C80" s="76">
        <f>SUM(C73:C79)</f>
        <v/>
      </c>
      <c r="D80" s="76">
        <f>SUM(D73:D79)</f>
        <v/>
      </c>
      <c r="E80" s="76">
        <f>SUM(E73:E79)</f>
        <v/>
      </c>
      <c r="F80" s="76">
        <f>SUM(F73:F79)</f>
        <v/>
      </c>
      <c r="G80" s="76">
        <f>SUM(G73:G79)</f>
        <v/>
      </c>
      <c r="H80" s="76">
        <f>SUM(H73:H79)</f>
        <v/>
      </c>
      <c r="I80" s="76">
        <f>SUM(I73:I79)</f>
        <v/>
      </c>
      <c r="J80" s="76">
        <f>SUM(J73:J79)</f>
        <v/>
      </c>
      <c r="K80" s="76">
        <f>SUM(K73:K79)</f>
        <v/>
      </c>
      <c r="L80" s="76">
        <f>SUM(L73:L79)</f>
        <v/>
      </c>
      <c r="M80" s="76">
        <f>SUM(M73:M79)</f>
        <v/>
      </c>
      <c r="N80" s="76">
        <f>SUM(N73:N79)</f>
        <v/>
      </c>
      <c r="O80" s="76">
        <f>SUM(O73:O79)</f>
        <v/>
      </c>
      <c r="P80" s="76">
        <f>SUM(P73:P79)</f>
        <v/>
      </c>
      <c r="Q80" s="76">
        <f>SUM(Q73:Q79)</f>
        <v/>
      </c>
      <c r="R80" s="76">
        <f>SUM(R73:R79)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1F4E79"/>
    <outlinePr summaryBelow="1" summaryRight="1"/>
    <pageSetUpPr/>
  </sheetPr>
  <dimension ref="A1:R147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38" customWidth="1" min="1" max="1"/>
    <col width="21" customWidth="1" min="2" max="18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2" customWidth="1" min="18" max="18"/>
  </cols>
  <sheetData>
    <row r="1" ht="15.5" customHeight="1">
      <c r="A1" s="42" t="inlineStr">
        <is>
          <t>Keystone BenefitTech, Inc.</t>
        </is>
      </c>
      <c r="R1" s="43" t="inlineStr">
        <is>
          <t>Last Updated: 2026-02-28</t>
        </is>
      </c>
    </row>
    <row r="2">
      <c r="A2" s="44" t="inlineStr">
        <is>
          <t>Functional P&amp;L - Monthly Trend</t>
        </is>
      </c>
    </row>
    <row r="4">
      <c r="A4" s="34" t="inlineStr">
        <is>
          <t>Line Item</t>
        </is>
      </c>
      <c r="B4" s="35" t="inlineStr">
        <is>
          <t>Jan 2025</t>
        </is>
      </c>
      <c r="C4" s="35" t="inlineStr">
        <is>
          <t>Feb 2025</t>
        </is>
      </c>
      <c r="D4" s="35" t="inlineStr">
        <is>
          <t>Mar 2025</t>
        </is>
      </c>
      <c r="E4" s="35" t="inlineStr">
        <is>
          <t>Apr 2025</t>
        </is>
      </c>
      <c r="F4" s="35" t="inlineStr">
        <is>
          <t>May 2025</t>
        </is>
      </c>
      <c r="G4" s="35" t="inlineStr">
        <is>
          <t>Jun 2025</t>
        </is>
      </c>
      <c r="H4" s="35" t="inlineStr">
        <is>
          <t>Jul 2025</t>
        </is>
      </c>
      <c r="I4" s="35" t="inlineStr">
        <is>
          <t>Aug 2025</t>
        </is>
      </c>
      <c r="J4" s="35" t="inlineStr">
        <is>
          <t>Sep 2025</t>
        </is>
      </c>
      <c r="K4" s="35" t="inlineStr">
        <is>
          <t>Oct 2025</t>
        </is>
      </c>
      <c r="L4" s="35" t="inlineStr">
        <is>
          <t>Nov 2025</t>
        </is>
      </c>
      <c r="M4" s="35" t="inlineStr">
        <is>
          <t>Dec 2025</t>
        </is>
      </c>
      <c r="N4" s="35" t="inlineStr">
        <is>
          <t>Q1 2025</t>
        </is>
      </c>
      <c r="O4" s="35" t="inlineStr">
        <is>
          <t>Q2 2025</t>
        </is>
      </c>
      <c r="P4" s="35" t="inlineStr">
        <is>
          <t>Q3 2025</t>
        </is>
      </c>
      <c r="Q4" s="35" t="inlineStr">
        <is>
          <t>Q4 2025</t>
        </is>
      </c>
      <c r="R4" s="35" t="inlineStr">
        <is>
          <t>2025 Total</t>
        </is>
      </c>
    </row>
    <row r="5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</row>
    <row r="6" ht="15.5" customHeight="1">
      <c r="A6" s="45" t="inlineStr">
        <is>
          <t>iGO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</row>
    <row r="7">
      <c r="A7" s="45" t="inlineStr">
        <is>
          <t>Revenue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</row>
    <row r="8">
      <c r="A8" s="36" t="inlineStr">
        <is>
          <t>Subscription</t>
        </is>
      </c>
      <c r="B8" s="37" t="n">
        <v>4040.8</v>
      </c>
      <c r="C8" s="37" t="n">
        <v>4245.3</v>
      </c>
      <c r="D8" s="37" t="n">
        <v>4346.38</v>
      </c>
      <c r="E8" s="37" t="n">
        <v>4387.97</v>
      </c>
      <c r="F8" s="37" t="n">
        <v>4232.75</v>
      </c>
      <c r="G8" s="37" t="n">
        <v>4490.3</v>
      </c>
      <c r="H8" s="37" t="n">
        <v>4509.14</v>
      </c>
      <c r="I8" s="37" t="n">
        <v>4704.67</v>
      </c>
      <c r="J8" s="37" t="n">
        <v>4511.68</v>
      </c>
      <c r="K8" s="37" t="n">
        <v>4896.07</v>
      </c>
      <c r="L8" s="37" t="n">
        <v>5126.58</v>
      </c>
      <c r="M8" s="37" t="n">
        <v>5003.52</v>
      </c>
      <c r="N8" s="37">
        <f>SUM(B8:D8)</f>
        <v/>
      </c>
      <c r="O8" s="37">
        <f>SUM(E8:G8)</f>
        <v/>
      </c>
      <c r="P8" s="37">
        <f>SUM(H8:J8)</f>
        <v/>
      </c>
      <c r="Q8" s="37">
        <f>SUM(K8:M8)</f>
        <v/>
      </c>
      <c r="R8" s="37">
        <f>SUM(B8:M8)</f>
        <v/>
      </c>
    </row>
    <row r="9">
      <c r="A9" s="38" t="inlineStr">
        <is>
          <t>Transactions</t>
        </is>
      </c>
      <c r="B9" s="39" t="n">
        <v>1010.1</v>
      </c>
      <c r="C9" s="39" t="n">
        <v>880.75</v>
      </c>
      <c r="D9" s="39" t="n">
        <v>904.62</v>
      </c>
      <c r="E9" s="39" t="n">
        <v>1045.58</v>
      </c>
      <c r="F9" s="39" t="n">
        <v>997.55</v>
      </c>
      <c r="G9" s="39" t="n">
        <v>921.8200000000001</v>
      </c>
      <c r="H9" s="39" t="n">
        <v>1007.2</v>
      </c>
      <c r="I9" s="39" t="n">
        <v>1047.57</v>
      </c>
      <c r="J9" s="39" t="n">
        <v>1007.15</v>
      </c>
      <c r="K9" s="39" t="n">
        <v>1253.63</v>
      </c>
      <c r="L9" s="39" t="n">
        <v>1213.96</v>
      </c>
      <c r="M9" s="39" t="n">
        <v>1022.47</v>
      </c>
      <c r="N9" s="39">
        <f>SUM(B9:D9)</f>
        <v/>
      </c>
      <c r="O9" s="39">
        <f>SUM(E9:G9)</f>
        <v/>
      </c>
      <c r="P9" s="39">
        <f>SUM(H9:J9)</f>
        <v/>
      </c>
      <c r="Q9" s="39">
        <f>SUM(K9:M9)</f>
        <v/>
      </c>
      <c r="R9" s="39">
        <f>SUM(B9:M9)</f>
        <v/>
      </c>
    </row>
    <row r="10">
      <c r="A10" s="36" t="inlineStr">
        <is>
          <t>Services</t>
        </is>
      </c>
      <c r="B10" s="37" t="n">
        <v>317.61</v>
      </c>
      <c r="C10" s="37" t="n">
        <v>360.3</v>
      </c>
      <c r="D10" s="37" t="n">
        <v>505.57</v>
      </c>
      <c r="E10" s="37" t="n">
        <v>223.73</v>
      </c>
      <c r="F10" s="37" t="n">
        <v>451.84</v>
      </c>
      <c r="G10" s="37" t="n">
        <v>492.68</v>
      </c>
      <c r="H10" s="37" t="n">
        <v>353.98</v>
      </c>
      <c r="I10" s="37" t="n">
        <v>366.22</v>
      </c>
      <c r="J10" s="37" t="n">
        <v>661.3099999999999</v>
      </c>
      <c r="K10" s="37" t="n">
        <v>548.3099999999999</v>
      </c>
      <c r="L10" s="37" t="n">
        <v>283.49</v>
      </c>
      <c r="M10" s="37" t="n">
        <v>686.76</v>
      </c>
      <c r="N10" s="37">
        <f>SUM(B10:D10)</f>
        <v/>
      </c>
      <c r="O10" s="37">
        <f>SUM(E10:G10)</f>
        <v/>
      </c>
      <c r="P10" s="37">
        <f>SUM(H10:J10)</f>
        <v/>
      </c>
      <c r="Q10" s="37">
        <f>SUM(K10:M10)</f>
        <v/>
      </c>
      <c r="R10" s="37">
        <f>SUM(B10:M10)</f>
        <v/>
      </c>
    </row>
    <row r="11">
      <c r="A11" s="54" t="inlineStr">
        <is>
          <t>Revenue</t>
        </is>
      </c>
      <c r="B11" s="76">
        <f>B8+B9+B10</f>
        <v/>
      </c>
      <c r="C11" s="76">
        <f>C8+C9+C10</f>
        <v/>
      </c>
      <c r="D11" s="76">
        <f>D8+D9+D10</f>
        <v/>
      </c>
      <c r="E11" s="76">
        <f>E8+E9+E10</f>
        <v/>
      </c>
      <c r="F11" s="76">
        <f>F8+F9+F10</f>
        <v/>
      </c>
      <c r="G11" s="76">
        <f>G8+G9+G10</f>
        <v/>
      </c>
      <c r="H11" s="76">
        <f>H8+H9+H10</f>
        <v/>
      </c>
      <c r="I11" s="76">
        <f>I8+I9+I10</f>
        <v/>
      </c>
      <c r="J11" s="76">
        <f>J8+J9+J10</f>
        <v/>
      </c>
      <c r="K11" s="76">
        <f>K8+K9+K10</f>
        <v/>
      </c>
      <c r="L11" s="76">
        <f>L8+L9+L10</f>
        <v/>
      </c>
      <c r="M11" s="76">
        <f>M8+M9+M10</f>
        <v/>
      </c>
      <c r="N11" s="76">
        <f>SUM(B11:D11)</f>
        <v/>
      </c>
      <c r="O11" s="76">
        <f>SUM(E11:G11)</f>
        <v/>
      </c>
      <c r="P11" s="76">
        <f>SUM(H11:J11)</f>
        <v/>
      </c>
      <c r="Q11" s="76">
        <f>SUM(K11:M11)</f>
        <v/>
      </c>
      <c r="R11" s="76">
        <f>SUM(B11:M11)</f>
        <v/>
      </c>
    </row>
    <row r="12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</row>
    <row r="13">
      <c r="A13" s="45" t="inlineStr">
        <is>
          <t>Cost of Revenue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</row>
    <row r="14">
      <c r="A14" s="38" t="inlineStr">
        <is>
          <t>NetOps</t>
        </is>
      </c>
      <c r="B14" s="39" t="n">
        <v>726.3</v>
      </c>
      <c r="C14" s="39" t="n">
        <v>742.28</v>
      </c>
      <c r="D14" s="39" t="n">
        <v>774.61</v>
      </c>
      <c r="E14" s="39" t="n">
        <v>754.97</v>
      </c>
      <c r="F14" s="39" t="n">
        <v>752.67</v>
      </c>
      <c r="G14" s="39" t="n">
        <v>847.48</v>
      </c>
      <c r="H14" s="39" t="n">
        <v>792.59</v>
      </c>
      <c r="I14" s="39" t="n">
        <v>870.9</v>
      </c>
      <c r="J14" s="39" t="n">
        <v>808.45</v>
      </c>
      <c r="K14" s="39" t="n">
        <v>874.51</v>
      </c>
      <c r="L14" s="39" t="n">
        <v>964.98</v>
      </c>
      <c r="M14" s="39" t="n">
        <v>945.25</v>
      </c>
      <c r="N14" s="39">
        <f>SUM(B14:D14)</f>
        <v/>
      </c>
      <c r="O14" s="39">
        <f>SUM(E14:G14)</f>
        <v/>
      </c>
      <c r="P14" s="39">
        <f>SUM(H14:J14)</f>
        <v/>
      </c>
      <c r="Q14" s="39">
        <f>SUM(K14:M14)</f>
        <v/>
      </c>
      <c r="R14" s="39">
        <f>SUM(B14:M14)</f>
        <v/>
      </c>
    </row>
    <row r="15">
      <c r="A15" s="36" t="inlineStr">
        <is>
          <t>Security</t>
        </is>
      </c>
      <c r="B15" s="37" t="n">
        <v>162.53</v>
      </c>
      <c r="C15" s="37" t="n">
        <v>173.52</v>
      </c>
      <c r="D15" s="37" t="n">
        <v>167.85</v>
      </c>
      <c r="E15" s="37" t="n">
        <v>171.95</v>
      </c>
      <c r="F15" s="37" t="n">
        <v>177.25</v>
      </c>
      <c r="G15" s="37" t="n">
        <v>181.03</v>
      </c>
      <c r="H15" s="37" t="n">
        <v>181.13</v>
      </c>
      <c r="I15" s="37" t="n">
        <v>192.85</v>
      </c>
      <c r="J15" s="37" t="n">
        <v>172.48</v>
      </c>
      <c r="K15" s="37" t="n">
        <v>197.49</v>
      </c>
      <c r="L15" s="37" t="n">
        <v>205.12</v>
      </c>
      <c r="M15" s="37" t="n">
        <v>207.2</v>
      </c>
      <c r="N15" s="37">
        <f>SUM(B15:D15)</f>
        <v/>
      </c>
      <c r="O15" s="37">
        <f>SUM(E15:G15)</f>
        <v/>
      </c>
      <c r="P15" s="37">
        <f>SUM(H15:J15)</f>
        <v/>
      </c>
      <c r="Q15" s="37">
        <f>SUM(K15:M15)</f>
        <v/>
      </c>
      <c r="R15" s="37">
        <f>SUM(B15:M15)</f>
        <v/>
      </c>
    </row>
    <row r="16">
      <c r="A16" s="38" t="inlineStr">
        <is>
          <t>Support</t>
        </is>
      </c>
      <c r="B16" s="39" t="n">
        <v>234.14</v>
      </c>
      <c r="C16" s="39" t="n">
        <v>266.45</v>
      </c>
      <c r="D16" s="39" t="n">
        <v>249.83</v>
      </c>
      <c r="E16" s="39" t="n">
        <v>255.01</v>
      </c>
      <c r="F16" s="39" t="n">
        <v>256.38</v>
      </c>
      <c r="G16" s="39" t="n">
        <v>274.14</v>
      </c>
      <c r="H16" s="39" t="n">
        <v>263.38</v>
      </c>
      <c r="I16" s="39" t="n">
        <v>271.55</v>
      </c>
      <c r="J16" s="39" t="n">
        <v>281.27</v>
      </c>
      <c r="K16" s="39" t="n">
        <v>286.31</v>
      </c>
      <c r="L16" s="39" t="n">
        <v>310.5</v>
      </c>
      <c r="M16" s="39" t="n">
        <v>303.8</v>
      </c>
      <c r="N16" s="39">
        <f>SUM(B16:D16)</f>
        <v/>
      </c>
      <c r="O16" s="39">
        <f>SUM(E16:G16)</f>
        <v/>
      </c>
      <c r="P16" s="39">
        <f>SUM(H16:J16)</f>
        <v/>
      </c>
      <c r="Q16" s="39">
        <f>SUM(K16:M16)</f>
        <v/>
      </c>
      <c r="R16" s="39">
        <f>SUM(B16:M16)</f>
        <v/>
      </c>
    </row>
    <row r="17">
      <c r="A17" s="36" t="inlineStr">
        <is>
          <t>Partners</t>
        </is>
      </c>
      <c r="B17" s="37" t="n">
        <v>120.24</v>
      </c>
      <c r="C17" s="37" t="n">
        <v>128.42</v>
      </c>
      <c r="D17" s="37" t="n">
        <v>130.69</v>
      </c>
      <c r="E17" s="37" t="n">
        <v>137.36</v>
      </c>
      <c r="F17" s="37" t="n">
        <v>123.23</v>
      </c>
      <c r="G17" s="37" t="n">
        <v>137.62</v>
      </c>
      <c r="H17" s="37" t="n">
        <v>131.74</v>
      </c>
      <c r="I17" s="37" t="n">
        <v>139.67</v>
      </c>
      <c r="J17" s="37" t="n">
        <v>137.67</v>
      </c>
      <c r="K17" s="37" t="n">
        <v>143.94</v>
      </c>
      <c r="L17" s="37" t="n">
        <v>150.97</v>
      </c>
      <c r="M17" s="37" t="n">
        <v>153.89</v>
      </c>
      <c r="N17" s="37">
        <f>SUM(B17:D17)</f>
        <v/>
      </c>
      <c r="O17" s="37">
        <f>SUM(E17:G17)</f>
        <v/>
      </c>
      <c r="P17" s="37">
        <f>SUM(H17:J17)</f>
        <v/>
      </c>
      <c r="Q17" s="37">
        <f>SUM(K17:M17)</f>
        <v/>
      </c>
      <c r="R17" s="37">
        <f>SUM(B17:M17)</f>
        <v/>
      </c>
    </row>
    <row r="18">
      <c r="A18" s="38" t="inlineStr">
        <is>
          <t>Content</t>
        </is>
      </c>
      <c r="B18" s="39" t="n">
        <v>19.34</v>
      </c>
      <c r="C18" s="39" t="n">
        <v>21.14</v>
      </c>
      <c r="D18" s="39" t="n">
        <v>22.82</v>
      </c>
      <c r="E18" s="39" t="n">
        <v>23.03</v>
      </c>
      <c r="F18" s="39" t="n">
        <v>20.26</v>
      </c>
      <c r="G18" s="39" t="n">
        <v>21.81</v>
      </c>
      <c r="H18" s="39" t="n">
        <v>22.02</v>
      </c>
      <c r="I18" s="39" t="n">
        <v>24.54</v>
      </c>
      <c r="J18" s="39" t="n">
        <v>23.42</v>
      </c>
      <c r="K18" s="39" t="n">
        <v>25.41</v>
      </c>
      <c r="L18" s="39" t="n">
        <v>25.3</v>
      </c>
      <c r="M18" s="39" t="n">
        <v>24.16</v>
      </c>
      <c r="N18" s="39">
        <f>SUM(B18:D18)</f>
        <v/>
      </c>
      <c r="O18" s="39">
        <f>SUM(E18:G18)</f>
        <v/>
      </c>
      <c r="P18" s="39">
        <f>SUM(H18:J18)</f>
        <v/>
      </c>
      <c r="Q18" s="39">
        <f>SUM(K18:M18)</f>
        <v/>
      </c>
      <c r="R18" s="39">
        <f>SUM(B18:M18)</f>
        <v/>
      </c>
    </row>
    <row r="19">
      <c r="A19" s="54" t="inlineStr">
        <is>
          <t>Cost of Subscription</t>
        </is>
      </c>
      <c r="B19" s="76">
        <f>SUM(B14:B18)</f>
        <v/>
      </c>
      <c r="C19" s="76">
        <f>SUM(C14:C18)</f>
        <v/>
      </c>
      <c r="D19" s="76">
        <f>SUM(D14:D18)</f>
        <v/>
      </c>
      <c r="E19" s="76">
        <f>SUM(E14:E18)</f>
        <v/>
      </c>
      <c r="F19" s="76">
        <f>SUM(F14:F18)</f>
        <v/>
      </c>
      <c r="G19" s="76">
        <f>SUM(G14:G18)</f>
        <v/>
      </c>
      <c r="H19" s="76">
        <f>SUM(H14:H18)</f>
        <v/>
      </c>
      <c r="I19" s="76">
        <f>SUM(I14:I18)</f>
        <v/>
      </c>
      <c r="J19" s="76">
        <f>SUM(J14:J18)</f>
        <v/>
      </c>
      <c r="K19" s="76">
        <f>SUM(K14:K18)</f>
        <v/>
      </c>
      <c r="L19" s="76">
        <f>SUM(L14:L18)</f>
        <v/>
      </c>
      <c r="M19" s="76">
        <f>SUM(M14:M18)</f>
        <v/>
      </c>
      <c r="N19" s="76">
        <f>SUM(B19:D19)</f>
        <v/>
      </c>
      <c r="O19" s="76">
        <f>SUM(E19:G19)</f>
        <v/>
      </c>
      <c r="P19" s="76">
        <f>SUM(H19:J19)</f>
        <v/>
      </c>
      <c r="Q19" s="76">
        <f>SUM(K19:M19)</f>
        <v/>
      </c>
      <c r="R19" s="76">
        <f>SUM(B19:M19)</f>
        <v/>
      </c>
    </row>
    <row r="20">
      <c r="A20" s="36" t="inlineStr">
        <is>
          <t>Cost of Services</t>
        </is>
      </c>
      <c r="B20" s="37" t="n">
        <v>186.35</v>
      </c>
      <c r="C20" s="37" t="n">
        <v>204.27</v>
      </c>
      <c r="D20" s="37" t="n">
        <v>287.15</v>
      </c>
      <c r="E20" s="37" t="n">
        <v>113.38</v>
      </c>
      <c r="F20" s="37" t="n">
        <v>259.33</v>
      </c>
      <c r="G20" s="37" t="n">
        <v>270.35</v>
      </c>
      <c r="H20" s="37" t="n">
        <v>191.71</v>
      </c>
      <c r="I20" s="37" t="n">
        <v>206.94</v>
      </c>
      <c r="J20" s="37" t="n">
        <v>358.46</v>
      </c>
      <c r="K20" s="37" t="n">
        <v>325.93</v>
      </c>
      <c r="L20" s="37" t="n">
        <v>144.95</v>
      </c>
      <c r="M20" s="37" t="n">
        <v>400.09</v>
      </c>
      <c r="N20" s="37">
        <f>SUM(B20:D20)</f>
        <v/>
      </c>
      <c r="O20" s="37">
        <f>SUM(E20:G20)</f>
        <v/>
      </c>
      <c r="P20" s="37">
        <f>SUM(H20:J20)</f>
        <v/>
      </c>
      <c r="Q20" s="37">
        <f>SUM(K20:M20)</f>
        <v/>
      </c>
      <c r="R20" s="37">
        <f>SUM(B20:M20)</f>
        <v/>
      </c>
    </row>
    <row r="21">
      <c r="A21" s="54" t="inlineStr">
        <is>
          <t>Cost of Revenue</t>
        </is>
      </c>
      <c r="B21" s="76">
        <f>B19+B20</f>
        <v/>
      </c>
      <c r="C21" s="76">
        <f>C19+C20</f>
        <v/>
      </c>
      <c r="D21" s="76">
        <f>D19+D20</f>
        <v/>
      </c>
      <c r="E21" s="76">
        <f>E19+E20</f>
        <v/>
      </c>
      <c r="F21" s="76">
        <f>F19+F20</f>
        <v/>
      </c>
      <c r="G21" s="76">
        <f>G19+G20</f>
        <v/>
      </c>
      <c r="H21" s="76">
        <f>H19+H20</f>
        <v/>
      </c>
      <c r="I21" s="76">
        <f>I19+I20</f>
        <v/>
      </c>
      <c r="J21" s="76">
        <f>J19+J20</f>
        <v/>
      </c>
      <c r="K21" s="76">
        <f>K19+K20</f>
        <v/>
      </c>
      <c r="L21" s="76">
        <f>L19+L20</f>
        <v/>
      </c>
      <c r="M21" s="76">
        <f>M19+M20</f>
        <v/>
      </c>
      <c r="N21" s="76">
        <f>SUM(B21:D21)</f>
        <v/>
      </c>
      <c r="O21" s="76">
        <f>SUM(E21:G21)</f>
        <v/>
      </c>
      <c r="P21" s="76">
        <f>SUM(H21:J21)</f>
        <v/>
      </c>
      <c r="Q21" s="76">
        <f>SUM(K21:M21)</f>
        <v/>
      </c>
      <c r="R21" s="76">
        <f>SUM(B21:M21)</f>
        <v/>
      </c>
    </row>
    <row r="22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</row>
    <row r="23">
      <c r="A23" s="38" t="inlineStr">
        <is>
          <t>Subscriptions Contribution</t>
        </is>
      </c>
      <c r="B23" s="39">
        <f>B8-B19</f>
        <v/>
      </c>
      <c r="C23" s="39">
        <f>C8-C19</f>
        <v/>
      </c>
      <c r="D23" s="39">
        <f>D8-D19</f>
        <v/>
      </c>
      <c r="E23" s="39">
        <f>E8-E19</f>
        <v/>
      </c>
      <c r="F23" s="39">
        <f>F8-F19</f>
        <v/>
      </c>
      <c r="G23" s="39">
        <f>G8-G19</f>
        <v/>
      </c>
      <c r="H23" s="39">
        <f>H8-H19</f>
        <v/>
      </c>
      <c r="I23" s="39">
        <f>I8-I19</f>
        <v/>
      </c>
      <c r="J23" s="39">
        <f>J8-J19</f>
        <v/>
      </c>
      <c r="K23" s="39">
        <f>K8-K19</f>
        <v/>
      </c>
      <c r="L23" s="39">
        <f>L8-L19</f>
        <v/>
      </c>
      <c r="M23" s="39">
        <f>M8-M19</f>
        <v/>
      </c>
      <c r="N23" s="39">
        <f>SUM(B23:D23)</f>
        <v/>
      </c>
      <c r="O23" s="39">
        <f>SUM(E23:G23)</f>
        <v/>
      </c>
      <c r="P23" s="39">
        <f>SUM(H23:J23)</f>
        <v/>
      </c>
      <c r="Q23" s="39">
        <f>SUM(K23:M23)</f>
        <v/>
      </c>
      <c r="R23" s="39">
        <f>SUM(B23:M23)</f>
        <v/>
      </c>
    </row>
    <row r="24">
      <c r="A24" s="36" t="inlineStr">
        <is>
          <t>Services Contribution</t>
        </is>
      </c>
      <c r="B24" s="37">
        <f>B10-B20</f>
        <v/>
      </c>
      <c r="C24" s="37">
        <f>C10-C20</f>
        <v/>
      </c>
      <c r="D24" s="37">
        <f>D10-D20</f>
        <v/>
      </c>
      <c r="E24" s="37">
        <f>E10-E20</f>
        <v/>
      </c>
      <c r="F24" s="37">
        <f>F10-F20</f>
        <v/>
      </c>
      <c r="G24" s="37">
        <f>G10-G20</f>
        <v/>
      </c>
      <c r="H24" s="37">
        <f>H10-H20</f>
        <v/>
      </c>
      <c r="I24" s="37">
        <f>I10-I20</f>
        <v/>
      </c>
      <c r="J24" s="37">
        <f>J10-J20</f>
        <v/>
      </c>
      <c r="K24" s="37">
        <f>K10-K20</f>
        <v/>
      </c>
      <c r="L24" s="37">
        <f>L10-L20</f>
        <v/>
      </c>
      <c r="M24" s="37">
        <f>M10-M20</f>
        <v/>
      </c>
      <c r="N24" s="37">
        <f>SUM(B24:D24)</f>
        <v/>
      </c>
      <c r="O24" s="37">
        <f>SUM(E24:G24)</f>
        <v/>
      </c>
      <c r="P24" s="37">
        <f>SUM(H24:J24)</f>
        <v/>
      </c>
      <c r="Q24" s="37">
        <f>SUM(K24:M24)</f>
        <v/>
      </c>
      <c r="R24" s="37">
        <f>SUM(B24:M24)</f>
        <v/>
      </c>
    </row>
    <row r="25">
      <c r="A25" s="54" t="inlineStr">
        <is>
          <t>Contribution Margin</t>
        </is>
      </c>
      <c r="B25" s="76">
        <f>B23+B24</f>
        <v/>
      </c>
      <c r="C25" s="76">
        <f>C23+C24</f>
        <v/>
      </c>
      <c r="D25" s="76">
        <f>D23+D24</f>
        <v/>
      </c>
      <c r="E25" s="76">
        <f>E23+E24</f>
        <v/>
      </c>
      <c r="F25" s="76">
        <f>F23+F24</f>
        <v/>
      </c>
      <c r="G25" s="76">
        <f>G23+G24</f>
        <v/>
      </c>
      <c r="H25" s="76">
        <f>H23+H24</f>
        <v/>
      </c>
      <c r="I25" s="76">
        <f>I23+I24</f>
        <v/>
      </c>
      <c r="J25" s="76">
        <f>J23+J24</f>
        <v/>
      </c>
      <c r="K25" s="76">
        <f>K23+K24</f>
        <v/>
      </c>
      <c r="L25" s="76">
        <f>L23+L24</f>
        <v/>
      </c>
      <c r="M25" s="76">
        <f>M23+M24</f>
        <v/>
      </c>
      <c r="N25" s="76">
        <f>SUM(B25:D25)</f>
        <v/>
      </c>
      <c r="O25" s="76">
        <f>SUM(E25:G25)</f>
        <v/>
      </c>
      <c r="P25" s="76">
        <f>SUM(H25:J25)</f>
        <v/>
      </c>
      <c r="Q25" s="76">
        <f>SUM(K25:M25)</f>
        <v/>
      </c>
      <c r="R25" s="76">
        <f>SUM(B25:M25)</f>
        <v/>
      </c>
    </row>
    <row r="26">
      <c r="A26" s="38" t="inlineStr">
        <is>
          <t>D&amp;A</t>
        </is>
      </c>
      <c r="B26" s="39" t="n">
        <v>53.69</v>
      </c>
      <c r="C26" s="39" t="n">
        <v>54.86</v>
      </c>
      <c r="D26" s="39" t="n">
        <v>57.57</v>
      </c>
      <c r="E26" s="39" t="n">
        <v>56.57</v>
      </c>
      <c r="F26" s="39" t="n">
        <v>56.82</v>
      </c>
      <c r="G26" s="39" t="n">
        <v>59.05</v>
      </c>
      <c r="H26" s="39" t="n">
        <v>58.7</v>
      </c>
      <c r="I26" s="39" t="n">
        <v>61.18</v>
      </c>
      <c r="J26" s="39" t="n">
        <v>61.8</v>
      </c>
      <c r="K26" s="39" t="n">
        <v>66.98</v>
      </c>
      <c r="L26" s="39" t="n">
        <v>66.23999999999999</v>
      </c>
      <c r="M26" s="39" t="n">
        <v>67.13</v>
      </c>
      <c r="N26" s="39">
        <f>SUM(B26:D26)</f>
        <v/>
      </c>
      <c r="O26" s="39">
        <f>SUM(E26:G26)</f>
        <v/>
      </c>
      <c r="P26" s="39">
        <f>SUM(H26:J26)</f>
        <v/>
      </c>
      <c r="Q26" s="39">
        <f>SUM(K26:M26)</f>
        <v/>
      </c>
      <c r="R26" s="39">
        <f>SUM(B26:M26)</f>
        <v/>
      </c>
    </row>
    <row r="27">
      <c r="A27" s="54" t="inlineStr">
        <is>
          <t>Contribution Margin GAAP</t>
        </is>
      </c>
      <c r="B27" s="76">
        <f>B25-B26</f>
        <v/>
      </c>
      <c r="C27" s="76">
        <f>C25-C26</f>
        <v/>
      </c>
      <c r="D27" s="76">
        <f>D25-D26</f>
        <v/>
      </c>
      <c r="E27" s="76">
        <f>E25-E26</f>
        <v/>
      </c>
      <c r="F27" s="76">
        <f>F25-F26</f>
        <v/>
      </c>
      <c r="G27" s="76">
        <f>G25-G26</f>
        <v/>
      </c>
      <c r="H27" s="76">
        <f>H25-H26</f>
        <v/>
      </c>
      <c r="I27" s="76">
        <f>I25-I26</f>
        <v/>
      </c>
      <c r="J27" s="76">
        <f>J25-J26</f>
        <v/>
      </c>
      <c r="K27" s="76">
        <f>K25-K26</f>
        <v/>
      </c>
      <c r="L27" s="76">
        <f>L25-L26</f>
        <v/>
      </c>
      <c r="M27" s="76">
        <f>M25-M26</f>
        <v/>
      </c>
      <c r="N27" s="76">
        <f>SUM(B27:D27)</f>
        <v/>
      </c>
      <c r="O27" s="76">
        <f>SUM(E27:G27)</f>
        <v/>
      </c>
      <c r="P27" s="76">
        <f>SUM(H27:J27)</f>
        <v/>
      </c>
      <c r="Q27" s="76">
        <f>SUM(K27:M27)</f>
        <v/>
      </c>
      <c r="R27" s="76">
        <f>SUM(B27:M27)</f>
        <v/>
      </c>
    </row>
    <row r="28">
      <c r="A28" s="36" t="inlineStr">
        <is>
          <t>Subscription Margin %</t>
        </is>
      </c>
      <c r="B28" s="49">
        <f>IFERROR(B23/B8,0)</f>
        <v/>
      </c>
      <c r="C28" s="49">
        <f>IFERROR(C23/C8,0)</f>
        <v/>
      </c>
      <c r="D28" s="49">
        <f>IFERROR(D23/D8,0)</f>
        <v/>
      </c>
      <c r="E28" s="49">
        <f>IFERROR(E23/E8,0)</f>
        <v/>
      </c>
      <c r="F28" s="49">
        <f>IFERROR(F23/F8,0)</f>
        <v/>
      </c>
      <c r="G28" s="49">
        <f>IFERROR(G23/G8,0)</f>
        <v/>
      </c>
      <c r="H28" s="49">
        <f>IFERROR(H23/H8,0)</f>
        <v/>
      </c>
      <c r="I28" s="49">
        <f>IFERROR(I23/I8,0)</f>
        <v/>
      </c>
      <c r="J28" s="49">
        <f>IFERROR(J23/J8,0)</f>
        <v/>
      </c>
      <c r="K28" s="49">
        <f>IFERROR(K23/K8,0)</f>
        <v/>
      </c>
      <c r="L28" s="49">
        <f>IFERROR(L23/L8,0)</f>
        <v/>
      </c>
      <c r="M28" s="49">
        <f>IFERROR(M23/M8,0)</f>
        <v/>
      </c>
      <c r="N28" s="49">
        <f>IFERROR(N23/N8,0)</f>
        <v/>
      </c>
      <c r="O28" s="49">
        <f>IFERROR(O23/O8,0)</f>
        <v/>
      </c>
      <c r="P28" s="49">
        <f>IFERROR(P23/P8,0)</f>
        <v/>
      </c>
      <c r="Q28" s="49">
        <f>IFERROR(Q23/Q8,0)</f>
        <v/>
      </c>
      <c r="R28" s="49">
        <f>IFERROR(R23/R8,0)</f>
        <v/>
      </c>
    </row>
    <row r="29">
      <c r="A29" s="38" t="inlineStr">
        <is>
          <t>Services Margin %</t>
        </is>
      </c>
      <c r="B29" s="47">
        <f>IFERROR(B24/B10,0)</f>
        <v/>
      </c>
      <c r="C29" s="47">
        <f>IFERROR(C24/C10,0)</f>
        <v/>
      </c>
      <c r="D29" s="47">
        <f>IFERROR(D24/D10,0)</f>
        <v/>
      </c>
      <c r="E29" s="47">
        <f>IFERROR(E24/E10,0)</f>
        <v/>
      </c>
      <c r="F29" s="47">
        <f>IFERROR(F24/F10,0)</f>
        <v/>
      </c>
      <c r="G29" s="47">
        <f>IFERROR(G24/G10,0)</f>
        <v/>
      </c>
      <c r="H29" s="47">
        <f>IFERROR(H24/H10,0)</f>
        <v/>
      </c>
      <c r="I29" s="47">
        <f>IFERROR(I24/I10,0)</f>
        <v/>
      </c>
      <c r="J29" s="47">
        <f>IFERROR(J24/J10,0)</f>
        <v/>
      </c>
      <c r="K29" s="47">
        <f>IFERROR(K24/K10,0)</f>
        <v/>
      </c>
      <c r="L29" s="47">
        <f>IFERROR(L24/L10,0)</f>
        <v/>
      </c>
      <c r="M29" s="47">
        <f>IFERROR(M24/M10,0)</f>
        <v/>
      </c>
      <c r="N29" s="47">
        <f>IFERROR(N24/N10,0)</f>
        <v/>
      </c>
      <c r="O29" s="47">
        <f>IFERROR(O24/O10,0)</f>
        <v/>
      </c>
      <c r="P29" s="47">
        <f>IFERROR(P24/P10,0)</f>
        <v/>
      </c>
      <c r="Q29" s="47">
        <f>IFERROR(Q24/Q10,0)</f>
        <v/>
      </c>
      <c r="R29" s="47">
        <f>IFERROR(R24/R10,0)</f>
        <v/>
      </c>
    </row>
    <row r="30">
      <c r="A30" s="36" t="inlineStr">
        <is>
          <t>Total Margin %</t>
        </is>
      </c>
      <c r="B30" s="49">
        <f>IFERROR(B25/B11,0)</f>
        <v/>
      </c>
      <c r="C30" s="49">
        <f>IFERROR(C25/C11,0)</f>
        <v/>
      </c>
      <c r="D30" s="49">
        <f>IFERROR(D25/D11,0)</f>
        <v/>
      </c>
      <c r="E30" s="49">
        <f>IFERROR(E25/E11,0)</f>
        <v/>
      </c>
      <c r="F30" s="49">
        <f>IFERROR(F25/F11,0)</f>
        <v/>
      </c>
      <c r="G30" s="49">
        <f>IFERROR(G25/G11,0)</f>
        <v/>
      </c>
      <c r="H30" s="49">
        <f>IFERROR(H25/H11,0)</f>
        <v/>
      </c>
      <c r="I30" s="49">
        <f>IFERROR(I25/I11,0)</f>
        <v/>
      </c>
      <c r="J30" s="49">
        <f>IFERROR(J25/J11,0)</f>
        <v/>
      </c>
      <c r="K30" s="49">
        <f>IFERROR(K25/K11,0)</f>
        <v/>
      </c>
      <c r="L30" s="49">
        <f>IFERROR(L25/L11,0)</f>
        <v/>
      </c>
      <c r="M30" s="49">
        <f>IFERROR(M25/M11,0)</f>
        <v/>
      </c>
      <c r="N30" s="49">
        <f>IFERROR(N25/N11,0)</f>
        <v/>
      </c>
      <c r="O30" s="49">
        <f>IFERROR(O25/O11,0)</f>
        <v/>
      </c>
      <c r="P30" s="49">
        <f>IFERROR(P25/P11,0)</f>
        <v/>
      </c>
      <c r="Q30" s="49">
        <f>IFERROR(Q25/Q11,0)</f>
        <v/>
      </c>
      <c r="R30" s="49">
        <f>IFERROR(R25/R11,0)</f>
        <v/>
      </c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</row>
    <row r="32">
      <c r="A32" s="45" t="inlineStr">
        <is>
          <t>R&amp;D</t>
        </is>
      </c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</row>
    <row r="33">
      <c r="A33" s="38" t="inlineStr">
        <is>
          <t>R&amp;D (includes Cap Software)</t>
        </is>
      </c>
      <c r="B33" s="39" t="n">
        <v>443.47</v>
      </c>
      <c r="C33" s="39" t="n">
        <v>404.34</v>
      </c>
      <c r="D33" s="39" t="n">
        <v>492.87</v>
      </c>
      <c r="E33" s="39" t="n">
        <v>456.44</v>
      </c>
      <c r="F33" s="39" t="n">
        <v>433.01</v>
      </c>
      <c r="G33" s="39" t="n">
        <v>503.02</v>
      </c>
      <c r="H33" s="39" t="n">
        <v>452.84</v>
      </c>
      <c r="I33" s="39" t="n">
        <v>470.83</v>
      </c>
      <c r="J33" s="39" t="n">
        <v>455.62</v>
      </c>
      <c r="K33" s="39" t="n">
        <v>539.75</v>
      </c>
      <c r="L33" s="39" t="n">
        <v>498.33</v>
      </c>
      <c r="M33" s="39" t="n">
        <v>568.01</v>
      </c>
      <c r="N33" s="39">
        <f>SUM(B33:D33)</f>
        <v/>
      </c>
      <c r="O33" s="39">
        <f>SUM(E33:G33)</f>
        <v/>
      </c>
      <c r="P33" s="39">
        <f>SUM(H33:J33)</f>
        <v/>
      </c>
      <c r="Q33" s="39">
        <f>SUM(K33:M33)</f>
        <v/>
      </c>
      <c r="R33" s="39">
        <f>SUM(B33:M33)</f>
        <v/>
      </c>
    </row>
    <row r="34">
      <c r="A34" s="36" t="inlineStr">
        <is>
          <t>Research &amp; Development</t>
        </is>
      </c>
      <c r="B34" s="37" t="n">
        <v>305.48</v>
      </c>
      <c r="C34" s="37" t="n">
        <v>270.22</v>
      </c>
      <c r="D34" s="37" t="n">
        <v>363.03</v>
      </c>
      <c r="E34" s="37" t="n">
        <v>329.9</v>
      </c>
      <c r="F34" s="37" t="n">
        <v>297.29</v>
      </c>
      <c r="G34" s="37" t="n">
        <v>334.7</v>
      </c>
      <c r="H34" s="37" t="n">
        <v>339.47</v>
      </c>
      <c r="I34" s="37" t="n">
        <v>318.22</v>
      </c>
      <c r="J34" s="37" t="n">
        <v>338.29</v>
      </c>
      <c r="K34" s="37" t="n">
        <v>359.77</v>
      </c>
      <c r="L34" s="37" t="n">
        <v>358.39</v>
      </c>
      <c r="M34" s="37" t="n">
        <v>374.95</v>
      </c>
      <c r="N34" s="37">
        <f>SUM(B34:D34)</f>
        <v/>
      </c>
      <c r="O34" s="37">
        <f>SUM(E34:G34)</f>
        <v/>
      </c>
      <c r="P34" s="37">
        <f>SUM(H34:J34)</f>
        <v/>
      </c>
      <c r="Q34" s="37">
        <f>SUM(K34:M34)</f>
        <v/>
      </c>
      <c r="R34" s="37">
        <f>SUM(B34:M34)</f>
        <v/>
      </c>
    </row>
    <row r="35">
      <c r="A35" s="38" t="inlineStr">
        <is>
          <t>Capitalized R&amp;D</t>
        </is>
      </c>
      <c r="B35" s="39" t="n">
        <v>-137.99</v>
      </c>
      <c r="C35" s="39" t="n">
        <v>-134.12</v>
      </c>
      <c r="D35" s="39" t="n">
        <v>-129.84</v>
      </c>
      <c r="E35" s="39" t="n">
        <v>-126.54</v>
      </c>
      <c r="F35" s="39" t="n">
        <v>-135.72</v>
      </c>
      <c r="G35" s="39" t="n">
        <v>-168.32</v>
      </c>
      <c r="H35" s="39" t="n">
        <v>-113.37</v>
      </c>
      <c r="I35" s="39" t="n">
        <v>-152.61</v>
      </c>
      <c r="J35" s="39" t="n">
        <v>-117.33</v>
      </c>
      <c r="K35" s="39" t="n">
        <v>-179.98</v>
      </c>
      <c r="L35" s="39" t="n">
        <v>-139.94</v>
      </c>
      <c r="M35" s="39" t="n">
        <v>-193.06</v>
      </c>
      <c r="N35" s="39">
        <f>SUM(B35:D35)</f>
        <v/>
      </c>
      <c r="O35" s="39">
        <f>SUM(E35:G35)</f>
        <v/>
      </c>
      <c r="P35" s="39">
        <f>SUM(H35:J35)</f>
        <v/>
      </c>
      <c r="Q35" s="39">
        <f>SUM(K35:M35)</f>
        <v/>
      </c>
      <c r="R35" s="39">
        <f>SUM(B35:M35)</f>
        <v/>
      </c>
    </row>
    <row r="36">
      <c r="A36" s="36" t="inlineStr">
        <is>
          <t>Product Management</t>
        </is>
      </c>
      <c r="B36" s="37" t="n">
        <v>176.75</v>
      </c>
      <c r="C36" s="37" t="n">
        <v>157.99</v>
      </c>
      <c r="D36" s="37" t="n">
        <v>159.41</v>
      </c>
      <c r="E36" s="37" t="n">
        <v>173.28</v>
      </c>
      <c r="F36" s="37" t="n">
        <v>162.42</v>
      </c>
      <c r="G36" s="37" t="n">
        <v>162.7</v>
      </c>
      <c r="H36" s="37" t="n">
        <v>185.66</v>
      </c>
      <c r="I36" s="37" t="n">
        <v>185.45</v>
      </c>
      <c r="J36" s="37" t="n">
        <v>199.61</v>
      </c>
      <c r="K36" s="37" t="n">
        <v>204.26</v>
      </c>
      <c r="L36" s="37" t="n">
        <v>214.58</v>
      </c>
      <c r="M36" s="37" t="n">
        <v>189.71</v>
      </c>
      <c r="N36" s="37">
        <f>SUM(B36:D36)</f>
        <v/>
      </c>
      <c r="O36" s="37">
        <f>SUM(E36:G36)</f>
        <v/>
      </c>
      <c r="P36" s="37">
        <f>SUM(H36:J36)</f>
        <v/>
      </c>
      <c r="Q36" s="37">
        <f>SUM(K36:M36)</f>
        <v/>
      </c>
      <c r="R36" s="37">
        <f>SUM(B36:M36)</f>
        <v/>
      </c>
    </row>
    <row r="37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</row>
    <row r="38">
      <c r="A38" s="54" t="inlineStr">
        <is>
          <t>Contribution Margin + R&amp;D $</t>
        </is>
      </c>
      <c r="B38" s="76">
        <f>B25-B33-B36</f>
        <v/>
      </c>
      <c r="C38" s="76">
        <f>C25-C33-C36</f>
        <v/>
      </c>
      <c r="D38" s="76">
        <f>D25-D33-D36</f>
        <v/>
      </c>
      <c r="E38" s="76">
        <f>E25-E33-E36</f>
        <v/>
      </c>
      <c r="F38" s="76">
        <f>F25-F33-F36</f>
        <v/>
      </c>
      <c r="G38" s="76">
        <f>G25-G33-G36</f>
        <v/>
      </c>
      <c r="H38" s="76">
        <f>H25-H33-H36</f>
        <v/>
      </c>
      <c r="I38" s="76">
        <f>I25-I33-I36</f>
        <v/>
      </c>
      <c r="J38" s="76">
        <f>J25-J33-J36</f>
        <v/>
      </c>
      <c r="K38" s="76">
        <f>K25-K33-K36</f>
        <v/>
      </c>
      <c r="L38" s="76">
        <f>L25-L33-L36</f>
        <v/>
      </c>
      <c r="M38" s="76">
        <f>M25-M33-M36</f>
        <v/>
      </c>
      <c r="N38" s="76">
        <f>SUM(B38:D38)</f>
        <v/>
      </c>
      <c r="O38" s="76">
        <f>SUM(E38:G38)</f>
        <v/>
      </c>
      <c r="P38" s="76">
        <f>SUM(H38:J38)</f>
        <v/>
      </c>
      <c r="Q38" s="76">
        <f>SUM(K38:M38)</f>
        <v/>
      </c>
      <c r="R38" s="76">
        <f>SUM(B38:M38)</f>
        <v/>
      </c>
    </row>
    <row r="39">
      <c r="A39" s="38" t="inlineStr">
        <is>
          <t>Contribution Margin + R&amp;D %</t>
        </is>
      </c>
      <c r="B39" s="47">
        <f>IFERROR(B38/B11,0)</f>
        <v/>
      </c>
      <c r="C39" s="47">
        <f>IFERROR(C38/C11,0)</f>
        <v/>
      </c>
      <c r="D39" s="47">
        <f>IFERROR(D38/D11,0)</f>
        <v/>
      </c>
      <c r="E39" s="47">
        <f>IFERROR(E38/E11,0)</f>
        <v/>
      </c>
      <c r="F39" s="47">
        <f>IFERROR(F38/F11,0)</f>
        <v/>
      </c>
      <c r="G39" s="47">
        <f>IFERROR(G38/G11,0)</f>
        <v/>
      </c>
      <c r="H39" s="47">
        <f>IFERROR(H38/H11,0)</f>
        <v/>
      </c>
      <c r="I39" s="47">
        <f>IFERROR(I38/I11,0)</f>
        <v/>
      </c>
      <c r="J39" s="47">
        <f>IFERROR(J38/J11,0)</f>
        <v/>
      </c>
      <c r="K39" s="47">
        <f>IFERROR(K38/K11,0)</f>
        <v/>
      </c>
      <c r="L39" s="47">
        <f>IFERROR(L38/L11,0)</f>
        <v/>
      </c>
      <c r="M39" s="47">
        <f>IFERROR(M38/M11,0)</f>
        <v/>
      </c>
      <c r="N39" s="47">
        <f>IFERROR(N38/N11,0)</f>
        <v/>
      </c>
      <c r="O39" s="47">
        <f>IFERROR(O38/O11,0)</f>
        <v/>
      </c>
      <c r="P39" s="47">
        <f>IFERROR(P38/P11,0)</f>
        <v/>
      </c>
      <c r="Q39" s="47">
        <f>IFERROR(Q38/Q11,0)</f>
        <v/>
      </c>
      <c r="R39" s="47">
        <f>IFERROR(R38/R11,0)</f>
        <v/>
      </c>
    </row>
    <row r="40">
      <c r="A40" s="3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</row>
    <row r="41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</row>
    <row r="42" ht="15.5" customHeight="1">
      <c r="A42" s="45" t="inlineStr">
        <is>
          <t>Affirm</t>
        </is>
      </c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</row>
    <row r="43">
      <c r="A43" s="45" t="inlineStr">
        <is>
          <t>Revenue</t>
        </is>
      </c>
      <c r="B43" s="45" t="n"/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</row>
    <row r="44">
      <c r="A44" s="38" t="inlineStr">
        <is>
          <t>Subscription</t>
        </is>
      </c>
      <c r="B44" s="39" t="n">
        <v>2046.95</v>
      </c>
      <c r="C44" s="39" t="n">
        <v>1980.7</v>
      </c>
      <c r="D44" s="39" t="n">
        <v>1979.69</v>
      </c>
      <c r="E44" s="39" t="n">
        <v>2092.06</v>
      </c>
      <c r="F44" s="39" t="n">
        <v>2122.54</v>
      </c>
      <c r="G44" s="39" t="n">
        <v>2127.6</v>
      </c>
      <c r="H44" s="39" t="n">
        <v>2159.9</v>
      </c>
      <c r="I44" s="39" t="n">
        <v>2134.14</v>
      </c>
      <c r="J44" s="39" t="n">
        <v>2105.26</v>
      </c>
      <c r="K44" s="39" t="n">
        <v>2392.87</v>
      </c>
      <c r="L44" s="39" t="n">
        <v>2379.39</v>
      </c>
      <c r="M44" s="39" t="n">
        <v>2405.21</v>
      </c>
      <c r="N44" s="39">
        <f>SUM(B44:D44)</f>
        <v/>
      </c>
      <c r="O44" s="39">
        <f>SUM(E44:G44)</f>
        <v/>
      </c>
      <c r="P44" s="39">
        <f>SUM(H44:J44)</f>
        <v/>
      </c>
      <c r="Q44" s="39">
        <f>SUM(K44:M44)</f>
        <v/>
      </c>
      <c r="R44" s="39">
        <f>SUM(B44:M44)</f>
        <v/>
      </c>
    </row>
    <row r="45">
      <c r="A45" s="36" t="inlineStr">
        <is>
          <t>Transactions</t>
        </is>
      </c>
      <c r="B45" s="37" t="n">
        <v>496.93</v>
      </c>
      <c r="C45" s="37" t="n">
        <v>457.06</v>
      </c>
      <c r="D45" s="37" t="n">
        <v>486.98</v>
      </c>
      <c r="E45" s="37" t="n">
        <v>422.43</v>
      </c>
      <c r="F45" s="37" t="n">
        <v>484.32</v>
      </c>
      <c r="G45" s="37" t="n">
        <v>529.28</v>
      </c>
      <c r="H45" s="37" t="n">
        <v>455.67</v>
      </c>
      <c r="I45" s="37" t="n">
        <v>505.22</v>
      </c>
      <c r="J45" s="37" t="n">
        <v>462.18</v>
      </c>
      <c r="K45" s="37" t="n">
        <v>540.08</v>
      </c>
      <c r="L45" s="37" t="n">
        <v>540.1900000000001</v>
      </c>
      <c r="M45" s="37" t="n">
        <v>519.53</v>
      </c>
      <c r="N45" s="37">
        <f>SUM(B45:D45)</f>
        <v/>
      </c>
      <c r="O45" s="37">
        <f>SUM(E45:G45)</f>
        <v/>
      </c>
      <c r="P45" s="37">
        <f>SUM(H45:J45)</f>
        <v/>
      </c>
      <c r="Q45" s="37">
        <f>SUM(K45:M45)</f>
        <v/>
      </c>
      <c r="R45" s="37">
        <f>SUM(B45:M45)</f>
        <v/>
      </c>
    </row>
    <row r="46">
      <c r="A46" s="38" t="inlineStr">
        <is>
          <t>Services</t>
        </is>
      </c>
      <c r="B46" s="39" t="n">
        <v>101.1</v>
      </c>
      <c r="C46" s="39" t="n">
        <v>259.71</v>
      </c>
      <c r="D46" s="39" t="n">
        <v>232.43</v>
      </c>
      <c r="E46" s="39" t="n">
        <v>208.51</v>
      </c>
      <c r="F46" s="39" t="n">
        <v>209.06</v>
      </c>
      <c r="G46" s="39" t="n">
        <v>205.67</v>
      </c>
      <c r="H46" s="39" t="n">
        <v>259.86</v>
      </c>
      <c r="I46" s="39" t="n">
        <v>179.98</v>
      </c>
      <c r="J46" s="39" t="n">
        <v>277.29</v>
      </c>
      <c r="K46" s="39" t="n">
        <v>135.78</v>
      </c>
      <c r="L46" s="39" t="n">
        <v>244.91</v>
      </c>
      <c r="M46" s="39" t="n">
        <v>342.99</v>
      </c>
      <c r="N46" s="39">
        <f>SUM(B46:D46)</f>
        <v/>
      </c>
      <c r="O46" s="39">
        <f>SUM(E46:G46)</f>
        <v/>
      </c>
      <c r="P46" s="39">
        <f>SUM(H46:J46)</f>
        <v/>
      </c>
      <c r="Q46" s="39">
        <f>SUM(K46:M46)</f>
        <v/>
      </c>
      <c r="R46" s="39">
        <f>SUM(B46:M46)</f>
        <v/>
      </c>
    </row>
    <row r="47">
      <c r="A47" s="54" t="inlineStr">
        <is>
          <t>Revenue</t>
        </is>
      </c>
      <c r="B47" s="76">
        <f>B44+B45+B46</f>
        <v/>
      </c>
      <c r="C47" s="76">
        <f>C44+C45+C46</f>
        <v/>
      </c>
      <c r="D47" s="76">
        <f>D44+D45+D46</f>
        <v/>
      </c>
      <c r="E47" s="76">
        <f>E44+E45+E46</f>
        <v/>
      </c>
      <c r="F47" s="76">
        <f>F44+F45+F46</f>
        <v/>
      </c>
      <c r="G47" s="76">
        <f>G44+G45+G46</f>
        <v/>
      </c>
      <c r="H47" s="76">
        <f>H44+H45+H46</f>
        <v/>
      </c>
      <c r="I47" s="76">
        <f>I44+I45+I46</f>
        <v/>
      </c>
      <c r="J47" s="76">
        <f>J44+J45+J46</f>
        <v/>
      </c>
      <c r="K47" s="76">
        <f>K44+K45+K46</f>
        <v/>
      </c>
      <c r="L47" s="76">
        <f>L44+L45+L46</f>
        <v/>
      </c>
      <c r="M47" s="76">
        <f>M44+M45+M46</f>
        <v/>
      </c>
      <c r="N47" s="76">
        <f>SUM(B47:D47)</f>
        <v/>
      </c>
      <c r="O47" s="76">
        <f>SUM(E47:G47)</f>
        <v/>
      </c>
      <c r="P47" s="76">
        <f>SUM(H47:J47)</f>
        <v/>
      </c>
      <c r="Q47" s="76">
        <f>SUM(K47:M47)</f>
        <v/>
      </c>
      <c r="R47" s="76">
        <f>SUM(B47:M47)</f>
        <v/>
      </c>
    </row>
    <row r="4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</row>
    <row r="49">
      <c r="A49" s="45" t="inlineStr">
        <is>
          <t>Cost of Revenue</t>
        </is>
      </c>
      <c r="B49" s="45" t="n"/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</row>
    <row r="50">
      <c r="A50" s="36" t="inlineStr">
        <is>
          <t>NetOps</t>
        </is>
      </c>
      <c r="B50" s="37" t="n">
        <v>119.74</v>
      </c>
      <c r="C50" s="37" t="n">
        <v>114.12</v>
      </c>
      <c r="D50" s="37" t="n">
        <v>122.11</v>
      </c>
      <c r="E50" s="37" t="n">
        <v>130.35</v>
      </c>
      <c r="F50" s="37" t="n">
        <v>126.16</v>
      </c>
      <c r="G50" s="37" t="n">
        <v>129.2</v>
      </c>
      <c r="H50" s="37" t="n">
        <v>125.12</v>
      </c>
      <c r="I50" s="37" t="n">
        <v>133.55</v>
      </c>
      <c r="J50" s="37" t="n">
        <v>130.92</v>
      </c>
      <c r="K50" s="37" t="n">
        <v>150.41</v>
      </c>
      <c r="L50" s="37" t="n">
        <v>147.2</v>
      </c>
      <c r="M50" s="37" t="n">
        <v>149.82</v>
      </c>
      <c r="N50" s="37">
        <f>SUM(B50:D50)</f>
        <v/>
      </c>
      <c r="O50" s="37">
        <f>SUM(E50:G50)</f>
        <v/>
      </c>
      <c r="P50" s="37">
        <f>SUM(H50:J50)</f>
        <v/>
      </c>
      <c r="Q50" s="37">
        <f>SUM(K50:M50)</f>
        <v/>
      </c>
      <c r="R50" s="37">
        <f>SUM(B50:M50)</f>
        <v/>
      </c>
    </row>
    <row r="51">
      <c r="A51" s="38" t="inlineStr">
        <is>
          <t>Security</t>
        </is>
      </c>
      <c r="B51" s="39" t="n">
        <v>38.99</v>
      </c>
      <c r="C51" s="39" t="n">
        <v>40.55</v>
      </c>
      <c r="D51" s="39" t="n">
        <v>38.93</v>
      </c>
      <c r="E51" s="39" t="n">
        <v>43.64</v>
      </c>
      <c r="F51" s="39" t="n">
        <v>43.73</v>
      </c>
      <c r="G51" s="39" t="n">
        <v>44.1</v>
      </c>
      <c r="H51" s="39" t="n">
        <v>44.54</v>
      </c>
      <c r="I51" s="39" t="n">
        <v>41.69</v>
      </c>
      <c r="J51" s="39" t="n">
        <v>43.32</v>
      </c>
      <c r="K51" s="39" t="n">
        <v>45.98</v>
      </c>
      <c r="L51" s="39" t="n">
        <v>49.36</v>
      </c>
      <c r="M51" s="39" t="n">
        <v>49.83</v>
      </c>
      <c r="N51" s="39">
        <f>SUM(B51:D51)</f>
        <v/>
      </c>
      <c r="O51" s="39">
        <f>SUM(E51:G51)</f>
        <v/>
      </c>
      <c r="P51" s="39">
        <f>SUM(H51:J51)</f>
        <v/>
      </c>
      <c r="Q51" s="39">
        <f>SUM(K51:M51)</f>
        <v/>
      </c>
      <c r="R51" s="39">
        <f>SUM(B51:M51)</f>
        <v/>
      </c>
    </row>
    <row r="52">
      <c r="A52" s="36" t="inlineStr">
        <is>
          <t>Support</t>
        </is>
      </c>
      <c r="B52" s="37" t="n">
        <v>59.7</v>
      </c>
      <c r="C52" s="37" t="n">
        <v>61.3</v>
      </c>
      <c r="D52" s="37" t="n">
        <v>59.15</v>
      </c>
      <c r="E52" s="37" t="n">
        <v>61.54</v>
      </c>
      <c r="F52" s="37" t="n">
        <v>65.56</v>
      </c>
      <c r="G52" s="37" t="n">
        <v>62.09</v>
      </c>
      <c r="H52" s="37" t="n">
        <v>61.71</v>
      </c>
      <c r="I52" s="37" t="n">
        <v>62.06</v>
      </c>
      <c r="J52" s="37" t="n">
        <v>62.07</v>
      </c>
      <c r="K52" s="37" t="n">
        <v>74.40000000000001</v>
      </c>
      <c r="L52" s="37" t="n">
        <v>74.70999999999999</v>
      </c>
      <c r="M52" s="37" t="n">
        <v>70.56</v>
      </c>
      <c r="N52" s="37">
        <f>SUM(B52:D52)</f>
        <v/>
      </c>
      <c r="O52" s="37">
        <f>SUM(E52:G52)</f>
        <v/>
      </c>
      <c r="P52" s="37">
        <f>SUM(H52:J52)</f>
        <v/>
      </c>
      <c r="Q52" s="37">
        <f>SUM(K52:M52)</f>
        <v/>
      </c>
      <c r="R52" s="37">
        <f>SUM(B52:M52)</f>
        <v/>
      </c>
    </row>
    <row r="53">
      <c r="A53" s="38" t="inlineStr">
        <is>
          <t>Partners</t>
        </is>
      </c>
      <c r="B53" s="39" t="n">
        <v>41.52</v>
      </c>
      <c r="C53" s="39" t="n">
        <v>39.22</v>
      </c>
      <c r="D53" s="39" t="n">
        <v>41.5</v>
      </c>
      <c r="E53" s="39" t="n">
        <v>41.99</v>
      </c>
      <c r="F53" s="39" t="n">
        <v>44.32</v>
      </c>
      <c r="G53" s="39" t="n">
        <v>40.92</v>
      </c>
      <c r="H53" s="39" t="n">
        <v>45.23</v>
      </c>
      <c r="I53" s="39" t="n">
        <v>41.31</v>
      </c>
      <c r="J53" s="39" t="n">
        <v>44.05</v>
      </c>
      <c r="K53" s="39" t="n">
        <v>46.73</v>
      </c>
      <c r="L53" s="39" t="n">
        <v>45.72</v>
      </c>
      <c r="M53" s="39" t="n">
        <v>47.79</v>
      </c>
      <c r="N53" s="39">
        <f>SUM(B53:D53)</f>
        <v/>
      </c>
      <c r="O53" s="39">
        <f>SUM(E53:G53)</f>
        <v/>
      </c>
      <c r="P53" s="39">
        <f>SUM(H53:J53)</f>
        <v/>
      </c>
      <c r="Q53" s="39">
        <f>SUM(K53:M53)</f>
        <v/>
      </c>
      <c r="R53" s="39">
        <f>SUM(B53:M53)</f>
        <v/>
      </c>
    </row>
    <row r="54">
      <c r="A54" s="36" t="inlineStr">
        <is>
          <t>Content</t>
        </is>
      </c>
      <c r="B54" s="37" t="n">
        <v>6.28</v>
      </c>
      <c r="C54" s="37" t="n">
        <v>5.83</v>
      </c>
      <c r="D54" s="37" t="n">
        <v>6</v>
      </c>
      <c r="E54" s="37" t="n">
        <v>6.28</v>
      </c>
      <c r="F54" s="37" t="n">
        <v>6.29</v>
      </c>
      <c r="G54" s="37" t="n">
        <v>6.43</v>
      </c>
      <c r="H54" s="37" t="n">
        <v>6.32</v>
      </c>
      <c r="I54" s="37" t="n">
        <v>6.54</v>
      </c>
      <c r="J54" s="37" t="n">
        <v>6</v>
      </c>
      <c r="K54" s="37" t="n">
        <v>7.48</v>
      </c>
      <c r="L54" s="37" t="n">
        <v>7.17</v>
      </c>
      <c r="M54" s="37" t="n">
        <v>7.37</v>
      </c>
      <c r="N54" s="37">
        <f>SUM(B54:D54)</f>
        <v/>
      </c>
      <c r="O54" s="37">
        <f>SUM(E54:G54)</f>
        <v/>
      </c>
      <c r="P54" s="37">
        <f>SUM(H54:J54)</f>
        <v/>
      </c>
      <c r="Q54" s="37">
        <f>SUM(K54:M54)</f>
        <v/>
      </c>
      <c r="R54" s="37">
        <f>SUM(B54:M54)</f>
        <v/>
      </c>
    </row>
    <row r="55">
      <c r="A55" s="54" t="inlineStr">
        <is>
          <t>Cost of Subscription</t>
        </is>
      </c>
      <c r="B55" s="76">
        <f>SUM(B50:B54)</f>
        <v/>
      </c>
      <c r="C55" s="76">
        <f>SUM(C50:C54)</f>
        <v/>
      </c>
      <c r="D55" s="76">
        <f>SUM(D50:D54)</f>
        <v/>
      </c>
      <c r="E55" s="76">
        <f>SUM(E50:E54)</f>
        <v/>
      </c>
      <c r="F55" s="76">
        <f>SUM(F50:F54)</f>
        <v/>
      </c>
      <c r="G55" s="76">
        <f>SUM(G50:G54)</f>
        <v/>
      </c>
      <c r="H55" s="76">
        <f>SUM(H50:H54)</f>
        <v/>
      </c>
      <c r="I55" s="76">
        <f>SUM(I50:I54)</f>
        <v/>
      </c>
      <c r="J55" s="76">
        <f>SUM(J50:J54)</f>
        <v/>
      </c>
      <c r="K55" s="76">
        <f>SUM(K50:K54)</f>
        <v/>
      </c>
      <c r="L55" s="76">
        <f>SUM(L50:L54)</f>
        <v/>
      </c>
      <c r="M55" s="76">
        <f>SUM(M50:M54)</f>
        <v/>
      </c>
      <c r="N55" s="76">
        <f>SUM(B55:D55)</f>
        <v/>
      </c>
      <c r="O55" s="76">
        <f>SUM(E55:G55)</f>
        <v/>
      </c>
      <c r="P55" s="76">
        <f>SUM(H55:J55)</f>
        <v/>
      </c>
      <c r="Q55" s="76">
        <f>SUM(K55:M55)</f>
        <v/>
      </c>
      <c r="R55" s="76">
        <f>SUM(B55:M55)</f>
        <v/>
      </c>
    </row>
    <row r="56">
      <c r="A56" s="38" t="inlineStr">
        <is>
          <t>Cost of Services</t>
        </is>
      </c>
      <c r="B56" s="39" t="n">
        <v>42.4</v>
      </c>
      <c r="C56" s="39" t="n">
        <v>107.3</v>
      </c>
      <c r="D56" s="39" t="n">
        <v>97.06</v>
      </c>
      <c r="E56" s="39" t="n">
        <v>81.78</v>
      </c>
      <c r="F56" s="39" t="n">
        <v>90.98999999999999</v>
      </c>
      <c r="G56" s="39" t="n">
        <v>78.98999999999999</v>
      </c>
      <c r="H56" s="39" t="n">
        <v>102.49</v>
      </c>
      <c r="I56" s="39" t="n">
        <v>71.16</v>
      </c>
      <c r="J56" s="39" t="n">
        <v>117.48</v>
      </c>
      <c r="K56" s="39" t="n">
        <v>55.76</v>
      </c>
      <c r="L56" s="39" t="n">
        <v>101.35</v>
      </c>
      <c r="M56" s="39" t="n">
        <v>130.19</v>
      </c>
      <c r="N56" s="39">
        <f>SUM(B56:D56)</f>
        <v/>
      </c>
      <c r="O56" s="39">
        <f>SUM(E56:G56)</f>
        <v/>
      </c>
      <c r="P56" s="39">
        <f>SUM(H56:J56)</f>
        <v/>
      </c>
      <c r="Q56" s="39">
        <f>SUM(K56:M56)</f>
        <v/>
      </c>
      <c r="R56" s="39">
        <f>SUM(B56:M56)</f>
        <v/>
      </c>
    </row>
    <row r="57">
      <c r="A57" s="54" t="inlineStr">
        <is>
          <t>Cost of Revenue</t>
        </is>
      </c>
      <c r="B57" s="76">
        <f>B55+B56</f>
        <v/>
      </c>
      <c r="C57" s="76">
        <f>C55+C56</f>
        <v/>
      </c>
      <c r="D57" s="76">
        <f>D55+D56</f>
        <v/>
      </c>
      <c r="E57" s="76">
        <f>E55+E56</f>
        <v/>
      </c>
      <c r="F57" s="76">
        <f>F55+F56</f>
        <v/>
      </c>
      <c r="G57" s="76">
        <f>G55+G56</f>
        <v/>
      </c>
      <c r="H57" s="76">
        <f>H55+H56</f>
        <v/>
      </c>
      <c r="I57" s="76">
        <f>I55+I56</f>
        <v/>
      </c>
      <c r="J57" s="76">
        <f>J55+J56</f>
        <v/>
      </c>
      <c r="K57" s="76">
        <f>K55+K56</f>
        <v/>
      </c>
      <c r="L57" s="76">
        <f>L55+L56</f>
        <v/>
      </c>
      <c r="M57" s="76">
        <f>M55+M56</f>
        <v/>
      </c>
      <c r="N57" s="76">
        <f>SUM(B57:D57)</f>
        <v/>
      </c>
      <c r="O57" s="76">
        <f>SUM(E57:G57)</f>
        <v/>
      </c>
      <c r="P57" s="76">
        <f>SUM(H57:J57)</f>
        <v/>
      </c>
      <c r="Q57" s="76">
        <f>SUM(K57:M57)</f>
        <v/>
      </c>
      <c r="R57" s="76">
        <f>SUM(B57:M57)</f>
        <v/>
      </c>
    </row>
    <row r="5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</row>
    <row r="59">
      <c r="A59" s="36" t="inlineStr">
        <is>
          <t>Subscriptions Contribution</t>
        </is>
      </c>
      <c r="B59" s="37">
        <f>B44-B55</f>
        <v/>
      </c>
      <c r="C59" s="37">
        <f>C44-C55</f>
        <v/>
      </c>
      <c r="D59" s="37">
        <f>D44-D55</f>
        <v/>
      </c>
      <c r="E59" s="37">
        <f>E44-E55</f>
        <v/>
      </c>
      <c r="F59" s="37">
        <f>F44-F55</f>
        <v/>
      </c>
      <c r="G59" s="37">
        <f>G44-G55</f>
        <v/>
      </c>
      <c r="H59" s="37">
        <f>H44-H55</f>
        <v/>
      </c>
      <c r="I59" s="37">
        <f>I44-I55</f>
        <v/>
      </c>
      <c r="J59" s="37">
        <f>J44-J55</f>
        <v/>
      </c>
      <c r="K59" s="37">
        <f>K44-K55</f>
        <v/>
      </c>
      <c r="L59" s="37">
        <f>L44-L55</f>
        <v/>
      </c>
      <c r="M59" s="37">
        <f>M44-M55</f>
        <v/>
      </c>
      <c r="N59" s="37">
        <f>SUM(B59:D59)</f>
        <v/>
      </c>
      <c r="O59" s="37">
        <f>SUM(E59:G59)</f>
        <v/>
      </c>
      <c r="P59" s="37">
        <f>SUM(H59:J59)</f>
        <v/>
      </c>
      <c r="Q59" s="37">
        <f>SUM(K59:M59)</f>
        <v/>
      </c>
      <c r="R59" s="37">
        <f>SUM(B59:M59)</f>
        <v/>
      </c>
    </row>
    <row r="60">
      <c r="A60" s="38" t="inlineStr">
        <is>
          <t>Services Contribution</t>
        </is>
      </c>
      <c r="B60" s="39">
        <f>B46-B56</f>
        <v/>
      </c>
      <c r="C60" s="39">
        <f>C46-C56</f>
        <v/>
      </c>
      <c r="D60" s="39">
        <f>D46-D56</f>
        <v/>
      </c>
      <c r="E60" s="39">
        <f>E46-E56</f>
        <v/>
      </c>
      <c r="F60" s="39">
        <f>F46-F56</f>
        <v/>
      </c>
      <c r="G60" s="39">
        <f>G46-G56</f>
        <v/>
      </c>
      <c r="H60" s="39">
        <f>H46-H56</f>
        <v/>
      </c>
      <c r="I60" s="39">
        <f>I46-I56</f>
        <v/>
      </c>
      <c r="J60" s="39">
        <f>J46-J56</f>
        <v/>
      </c>
      <c r="K60" s="39">
        <f>K46-K56</f>
        <v/>
      </c>
      <c r="L60" s="39">
        <f>L46-L56</f>
        <v/>
      </c>
      <c r="M60" s="39">
        <f>M46-M56</f>
        <v/>
      </c>
      <c r="N60" s="39">
        <f>SUM(B60:D60)</f>
        <v/>
      </c>
      <c r="O60" s="39">
        <f>SUM(E60:G60)</f>
        <v/>
      </c>
      <c r="P60" s="39">
        <f>SUM(H60:J60)</f>
        <v/>
      </c>
      <c r="Q60" s="39">
        <f>SUM(K60:M60)</f>
        <v/>
      </c>
      <c r="R60" s="39">
        <f>SUM(B60:M60)</f>
        <v/>
      </c>
    </row>
    <row r="61">
      <c r="A61" s="54" t="inlineStr">
        <is>
          <t>Contribution Margin</t>
        </is>
      </c>
      <c r="B61" s="76">
        <f>B59+B60</f>
        <v/>
      </c>
      <c r="C61" s="76">
        <f>C59+C60</f>
        <v/>
      </c>
      <c r="D61" s="76">
        <f>D59+D60</f>
        <v/>
      </c>
      <c r="E61" s="76">
        <f>E59+E60</f>
        <v/>
      </c>
      <c r="F61" s="76">
        <f>F59+F60</f>
        <v/>
      </c>
      <c r="G61" s="76">
        <f>G59+G60</f>
        <v/>
      </c>
      <c r="H61" s="76">
        <f>H59+H60</f>
        <v/>
      </c>
      <c r="I61" s="76">
        <f>I59+I60</f>
        <v/>
      </c>
      <c r="J61" s="76">
        <f>J59+J60</f>
        <v/>
      </c>
      <c r="K61" s="76">
        <f>K59+K60</f>
        <v/>
      </c>
      <c r="L61" s="76">
        <f>L59+L60</f>
        <v/>
      </c>
      <c r="M61" s="76">
        <f>M59+M60</f>
        <v/>
      </c>
      <c r="N61" s="76">
        <f>SUM(B61:D61)</f>
        <v/>
      </c>
      <c r="O61" s="76">
        <f>SUM(E61:G61)</f>
        <v/>
      </c>
      <c r="P61" s="76">
        <f>SUM(H61:J61)</f>
        <v/>
      </c>
      <c r="Q61" s="76">
        <f>SUM(K61:M61)</f>
        <v/>
      </c>
      <c r="R61" s="76">
        <f>SUM(B61:M61)</f>
        <v/>
      </c>
    </row>
    <row r="62">
      <c r="A62" s="36" t="inlineStr">
        <is>
          <t>D&amp;A</t>
        </is>
      </c>
      <c r="B62" s="37" t="n">
        <v>26.45</v>
      </c>
      <c r="C62" s="37" t="n">
        <v>26.97</v>
      </c>
      <c r="D62" s="37" t="n">
        <v>26.99</v>
      </c>
      <c r="E62" s="37" t="n">
        <v>27.23</v>
      </c>
      <c r="F62" s="37" t="n">
        <v>28.16</v>
      </c>
      <c r="G62" s="37" t="n">
        <v>28.63</v>
      </c>
      <c r="H62" s="37" t="n">
        <v>28.75</v>
      </c>
      <c r="I62" s="37" t="n">
        <v>28.19</v>
      </c>
      <c r="J62" s="37" t="n">
        <v>28.45</v>
      </c>
      <c r="K62" s="37" t="n">
        <v>30.69</v>
      </c>
      <c r="L62" s="37" t="n">
        <v>31.64</v>
      </c>
      <c r="M62" s="37" t="n">
        <v>32.68</v>
      </c>
      <c r="N62" s="37">
        <f>SUM(B62:D62)</f>
        <v/>
      </c>
      <c r="O62" s="37">
        <f>SUM(E62:G62)</f>
        <v/>
      </c>
      <c r="P62" s="37">
        <f>SUM(H62:J62)</f>
        <v/>
      </c>
      <c r="Q62" s="37">
        <f>SUM(K62:M62)</f>
        <v/>
      </c>
      <c r="R62" s="37">
        <f>SUM(B62:M62)</f>
        <v/>
      </c>
    </row>
    <row r="63">
      <c r="A63" s="54" t="inlineStr">
        <is>
          <t>Contribution Margin GAAP</t>
        </is>
      </c>
      <c r="B63" s="76">
        <f>B61-B62</f>
        <v/>
      </c>
      <c r="C63" s="76">
        <f>C61-C62</f>
        <v/>
      </c>
      <c r="D63" s="76">
        <f>D61-D62</f>
        <v/>
      </c>
      <c r="E63" s="76">
        <f>E61-E62</f>
        <v/>
      </c>
      <c r="F63" s="76">
        <f>F61-F62</f>
        <v/>
      </c>
      <c r="G63" s="76">
        <f>G61-G62</f>
        <v/>
      </c>
      <c r="H63" s="76">
        <f>H61-H62</f>
        <v/>
      </c>
      <c r="I63" s="76">
        <f>I61-I62</f>
        <v/>
      </c>
      <c r="J63" s="76">
        <f>J61-J62</f>
        <v/>
      </c>
      <c r="K63" s="76">
        <f>K61-K62</f>
        <v/>
      </c>
      <c r="L63" s="76">
        <f>L61-L62</f>
        <v/>
      </c>
      <c r="M63" s="76">
        <f>M61-M62</f>
        <v/>
      </c>
      <c r="N63" s="76">
        <f>SUM(B63:D63)</f>
        <v/>
      </c>
      <c r="O63" s="76">
        <f>SUM(E63:G63)</f>
        <v/>
      </c>
      <c r="P63" s="76">
        <f>SUM(H63:J63)</f>
        <v/>
      </c>
      <c r="Q63" s="76">
        <f>SUM(K63:M63)</f>
        <v/>
      </c>
      <c r="R63" s="76">
        <f>SUM(B63:M63)</f>
        <v/>
      </c>
    </row>
    <row r="64">
      <c r="A64" s="38" t="inlineStr">
        <is>
          <t>Subscription Margin %</t>
        </is>
      </c>
      <c r="B64" s="47">
        <f>IFERROR(B59/B44,0)</f>
        <v/>
      </c>
      <c r="C64" s="47">
        <f>IFERROR(C59/C44,0)</f>
        <v/>
      </c>
      <c r="D64" s="47">
        <f>IFERROR(D59/D44,0)</f>
        <v/>
      </c>
      <c r="E64" s="47">
        <f>IFERROR(E59/E44,0)</f>
        <v/>
      </c>
      <c r="F64" s="47">
        <f>IFERROR(F59/F44,0)</f>
        <v/>
      </c>
      <c r="G64" s="47">
        <f>IFERROR(G59/G44,0)</f>
        <v/>
      </c>
      <c r="H64" s="47">
        <f>IFERROR(H59/H44,0)</f>
        <v/>
      </c>
      <c r="I64" s="47">
        <f>IFERROR(I59/I44,0)</f>
        <v/>
      </c>
      <c r="J64" s="47">
        <f>IFERROR(J59/J44,0)</f>
        <v/>
      </c>
      <c r="K64" s="47">
        <f>IFERROR(K59/K44,0)</f>
        <v/>
      </c>
      <c r="L64" s="47">
        <f>IFERROR(L59/L44,0)</f>
        <v/>
      </c>
      <c r="M64" s="47">
        <f>IFERROR(M59/M44,0)</f>
        <v/>
      </c>
      <c r="N64" s="47">
        <f>IFERROR(N59/N44,0)</f>
        <v/>
      </c>
      <c r="O64" s="47">
        <f>IFERROR(O59/O44,0)</f>
        <v/>
      </c>
      <c r="P64" s="47">
        <f>IFERROR(P59/P44,0)</f>
        <v/>
      </c>
      <c r="Q64" s="47">
        <f>IFERROR(Q59/Q44,0)</f>
        <v/>
      </c>
      <c r="R64" s="47">
        <f>IFERROR(R59/R44,0)</f>
        <v/>
      </c>
    </row>
    <row r="65">
      <c r="A65" s="36" t="inlineStr">
        <is>
          <t>Services Margin %</t>
        </is>
      </c>
      <c r="B65" s="49">
        <f>IFERROR(B60/B46,0)</f>
        <v/>
      </c>
      <c r="C65" s="49">
        <f>IFERROR(C60/C46,0)</f>
        <v/>
      </c>
      <c r="D65" s="49">
        <f>IFERROR(D60/D46,0)</f>
        <v/>
      </c>
      <c r="E65" s="49">
        <f>IFERROR(E60/E46,0)</f>
        <v/>
      </c>
      <c r="F65" s="49">
        <f>IFERROR(F60/F46,0)</f>
        <v/>
      </c>
      <c r="G65" s="49">
        <f>IFERROR(G60/G46,0)</f>
        <v/>
      </c>
      <c r="H65" s="49">
        <f>IFERROR(H60/H46,0)</f>
        <v/>
      </c>
      <c r="I65" s="49">
        <f>IFERROR(I60/I46,0)</f>
        <v/>
      </c>
      <c r="J65" s="49">
        <f>IFERROR(J60/J46,0)</f>
        <v/>
      </c>
      <c r="K65" s="49">
        <f>IFERROR(K60/K46,0)</f>
        <v/>
      </c>
      <c r="L65" s="49">
        <f>IFERROR(L60/L46,0)</f>
        <v/>
      </c>
      <c r="M65" s="49">
        <f>IFERROR(M60/M46,0)</f>
        <v/>
      </c>
      <c r="N65" s="49">
        <f>IFERROR(N60/N46,0)</f>
        <v/>
      </c>
      <c r="O65" s="49">
        <f>IFERROR(O60/O46,0)</f>
        <v/>
      </c>
      <c r="P65" s="49">
        <f>IFERROR(P60/P46,0)</f>
        <v/>
      </c>
      <c r="Q65" s="49">
        <f>IFERROR(Q60/Q46,0)</f>
        <v/>
      </c>
      <c r="R65" s="49">
        <f>IFERROR(R60/R46,0)</f>
        <v/>
      </c>
    </row>
    <row r="66">
      <c r="A66" s="38" t="inlineStr">
        <is>
          <t>Total Margin %</t>
        </is>
      </c>
      <c r="B66" s="47">
        <f>IFERROR(B61/B47,0)</f>
        <v/>
      </c>
      <c r="C66" s="47">
        <f>IFERROR(C61/C47,0)</f>
        <v/>
      </c>
      <c r="D66" s="47">
        <f>IFERROR(D61/D47,0)</f>
        <v/>
      </c>
      <c r="E66" s="47">
        <f>IFERROR(E61/E47,0)</f>
        <v/>
      </c>
      <c r="F66" s="47">
        <f>IFERROR(F61/F47,0)</f>
        <v/>
      </c>
      <c r="G66" s="47">
        <f>IFERROR(G61/G47,0)</f>
        <v/>
      </c>
      <c r="H66" s="47">
        <f>IFERROR(H61/H47,0)</f>
        <v/>
      </c>
      <c r="I66" s="47">
        <f>IFERROR(I61/I47,0)</f>
        <v/>
      </c>
      <c r="J66" s="47">
        <f>IFERROR(J61/J47,0)</f>
        <v/>
      </c>
      <c r="K66" s="47">
        <f>IFERROR(K61/K47,0)</f>
        <v/>
      </c>
      <c r="L66" s="47">
        <f>IFERROR(L61/L47,0)</f>
        <v/>
      </c>
      <c r="M66" s="47">
        <f>IFERROR(M61/M47,0)</f>
        <v/>
      </c>
      <c r="N66" s="47">
        <f>IFERROR(N61/N47,0)</f>
        <v/>
      </c>
      <c r="O66" s="47">
        <f>IFERROR(O61/O47,0)</f>
        <v/>
      </c>
      <c r="P66" s="47">
        <f>IFERROR(P61/P47,0)</f>
        <v/>
      </c>
      <c r="Q66" s="47">
        <f>IFERROR(Q61/Q47,0)</f>
        <v/>
      </c>
      <c r="R66" s="47">
        <f>IFERROR(R61/R47,0)</f>
        <v/>
      </c>
    </row>
    <row r="67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</row>
    <row r="68">
      <c r="A68" s="45" t="inlineStr">
        <is>
          <t>R&amp;D</t>
        </is>
      </c>
      <c r="B68" s="45" t="n"/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</row>
    <row r="69">
      <c r="A69" s="36" t="inlineStr">
        <is>
          <t>R&amp;D (includes Cap Software)</t>
        </is>
      </c>
      <c r="B69" s="37" t="n">
        <v>135.86</v>
      </c>
      <c r="C69" s="37" t="n">
        <v>131.21</v>
      </c>
      <c r="D69" s="37" t="n">
        <v>130.64</v>
      </c>
      <c r="E69" s="37" t="n">
        <v>131.7</v>
      </c>
      <c r="F69" s="37" t="n">
        <v>144.79</v>
      </c>
      <c r="G69" s="37" t="n">
        <v>144.23</v>
      </c>
      <c r="H69" s="37" t="n">
        <v>145.61</v>
      </c>
      <c r="I69" s="37" t="n">
        <v>134.51</v>
      </c>
      <c r="J69" s="37" t="n">
        <v>134.72</v>
      </c>
      <c r="K69" s="37" t="n">
        <v>149.39</v>
      </c>
      <c r="L69" s="37" t="n">
        <v>151.25</v>
      </c>
      <c r="M69" s="37" t="n">
        <v>162.74</v>
      </c>
      <c r="N69" s="37">
        <f>SUM(B69:D69)</f>
        <v/>
      </c>
      <c r="O69" s="37">
        <f>SUM(E69:G69)</f>
        <v/>
      </c>
      <c r="P69" s="37">
        <f>SUM(H69:J69)</f>
        <v/>
      </c>
      <c r="Q69" s="37">
        <f>SUM(K69:M69)</f>
        <v/>
      </c>
      <c r="R69" s="37">
        <f>SUM(B69:M69)</f>
        <v/>
      </c>
    </row>
    <row r="70">
      <c r="A70" s="38" t="inlineStr">
        <is>
          <t>Research &amp; Development</t>
        </is>
      </c>
      <c r="B70" s="39" t="n">
        <v>96.95</v>
      </c>
      <c r="C70" s="39" t="n">
        <v>94.29000000000001</v>
      </c>
      <c r="D70" s="39" t="n">
        <v>93.94</v>
      </c>
      <c r="E70" s="39" t="n">
        <v>97.09999999999999</v>
      </c>
      <c r="F70" s="39" t="n">
        <v>95.52</v>
      </c>
      <c r="G70" s="39" t="n">
        <v>108.17</v>
      </c>
      <c r="H70" s="39" t="n">
        <v>99.67</v>
      </c>
      <c r="I70" s="39" t="n">
        <v>94.52</v>
      </c>
      <c r="J70" s="39" t="n">
        <v>99.90000000000001</v>
      </c>
      <c r="K70" s="39" t="n">
        <v>99.81999999999999</v>
      </c>
      <c r="L70" s="39" t="n">
        <v>110.43</v>
      </c>
      <c r="M70" s="39" t="n">
        <v>108.23</v>
      </c>
      <c r="N70" s="39">
        <f>SUM(B70:D70)</f>
        <v/>
      </c>
      <c r="O70" s="39">
        <f>SUM(E70:G70)</f>
        <v/>
      </c>
      <c r="P70" s="39">
        <f>SUM(H70:J70)</f>
        <v/>
      </c>
      <c r="Q70" s="39">
        <f>SUM(K70:M70)</f>
        <v/>
      </c>
      <c r="R70" s="39">
        <f>SUM(B70:M70)</f>
        <v/>
      </c>
    </row>
    <row r="71">
      <c r="A71" s="36" t="inlineStr">
        <is>
          <t>Capitalized R&amp;D</t>
        </is>
      </c>
      <c r="B71" s="37" t="n">
        <v>-38.91</v>
      </c>
      <c r="C71" s="37" t="n">
        <v>-36.92</v>
      </c>
      <c r="D71" s="37" t="n">
        <v>-36.7</v>
      </c>
      <c r="E71" s="37" t="n">
        <v>-34.6</v>
      </c>
      <c r="F71" s="37" t="n">
        <v>-49.27</v>
      </c>
      <c r="G71" s="37" t="n">
        <v>-36.06</v>
      </c>
      <c r="H71" s="37" t="n">
        <v>-45.94</v>
      </c>
      <c r="I71" s="37" t="n">
        <v>-39.99</v>
      </c>
      <c r="J71" s="37" t="n">
        <v>-34.82</v>
      </c>
      <c r="K71" s="37" t="n">
        <v>-49.57</v>
      </c>
      <c r="L71" s="37" t="n">
        <v>-40.82</v>
      </c>
      <c r="M71" s="37" t="n">
        <v>-54.51</v>
      </c>
      <c r="N71" s="37">
        <f>SUM(B71:D71)</f>
        <v/>
      </c>
      <c r="O71" s="37">
        <f>SUM(E71:G71)</f>
        <v/>
      </c>
      <c r="P71" s="37">
        <f>SUM(H71:J71)</f>
        <v/>
      </c>
      <c r="Q71" s="37">
        <f>SUM(K71:M71)</f>
        <v/>
      </c>
      <c r="R71" s="37">
        <f>SUM(B71:M71)</f>
        <v/>
      </c>
    </row>
    <row r="72">
      <c r="A72" s="38" t="inlineStr">
        <is>
          <t>Product Management</t>
        </is>
      </c>
      <c r="B72" s="39" t="n">
        <v>48.35</v>
      </c>
      <c r="C72" s="39" t="n">
        <v>57.7</v>
      </c>
      <c r="D72" s="39" t="n">
        <v>52.99</v>
      </c>
      <c r="E72" s="39" t="n">
        <v>53.59</v>
      </c>
      <c r="F72" s="39" t="n">
        <v>57.62</v>
      </c>
      <c r="G72" s="39" t="n">
        <v>54.81</v>
      </c>
      <c r="H72" s="39" t="n">
        <v>57.11</v>
      </c>
      <c r="I72" s="39" t="n">
        <v>60.91</v>
      </c>
      <c r="J72" s="39" t="n">
        <v>57.07</v>
      </c>
      <c r="K72" s="39" t="n">
        <v>64.45999999999999</v>
      </c>
      <c r="L72" s="39" t="n">
        <v>57.27</v>
      </c>
      <c r="M72" s="39" t="n">
        <v>59.77</v>
      </c>
      <c r="N72" s="39">
        <f>SUM(B72:D72)</f>
        <v/>
      </c>
      <c r="O72" s="39">
        <f>SUM(E72:G72)</f>
        <v/>
      </c>
      <c r="P72" s="39">
        <f>SUM(H72:J72)</f>
        <v/>
      </c>
      <c r="Q72" s="39">
        <f>SUM(K72:M72)</f>
        <v/>
      </c>
      <c r="R72" s="39">
        <f>SUM(B72:M72)</f>
        <v/>
      </c>
    </row>
    <row r="73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</row>
    <row r="74">
      <c r="A74" s="54" t="inlineStr">
        <is>
          <t>Contribution Margin + R&amp;D $</t>
        </is>
      </c>
      <c r="B74" s="76">
        <f>B61-B69-B72</f>
        <v/>
      </c>
      <c r="C74" s="76">
        <f>C61-C69-C72</f>
        <v/>
      </c>
      <c r="D74" s="76">
        <f>D61-D69-D72</f>
        <v/>
      </c>
      <c r="E74" s="76">
        <f>E61-E69-E72</f>
        <v/>
      </c>
      <c r="F74" s="76">
        <f>F61-F69-F72</f>
        <v/>
      </c>
      <c r="G74" s="76">
        <f>G61-G69-G72</f>
        <v/>
      </c>
      <c r="H74" s="76">
        <f>H61-H69-H72</f>
        <v/>
      </c>
      <c r="I74" s="76">
        <f>I61-I69-I72</f>
        <v/>
      </c>
      <c r="J74" s="76">
        <f>J61-J69-J72</f>
        <v/>
      </c>
      <c r="K74" s="76">
        <f>K61-K69-K72</f>
        <v/>
      </c>
      <c r="L74" s="76">
        <f>L61-L69-L72</f>
        <v/>
      </c>
      <c r="M74" s="76">
        <f>M61-M69-M72</f>
        <v/>
      </c>
      <c r="N74" s="76">
        <f>SUM(B74:D74)</f>
        <v/>
      </c>
      <c r="O74" s="76">
        <f>SUM(E74:G74)</f>
        <v/>
      </c>
      <c r="P74" s="76">
        <f>SUM(H74:J74)</f>
        <v/>
      </c>
      <c r="Q74" s="76">
        <f>SUM(K74:M74)</f>
        <v/>
      </c>
      <c r="R74" s="76">
        <f>SUM(B74:M74)</f>
        <v/>
      </c>
    </row>
    <row r="75">
      <c r="A75" s="36" t="inlineStr">
        <is>
          <t>Contribution Margin + R&amp;D %</t>
        </is>
      </c>
      <c r="B75" s="49">
        <f>IFERROR(B74/B47,0)</f>
        <v/>
      </c>
      <c r="C75" s="49">
        <f>IFERROR(C74/C47,0)</f>
        <v/>
      </c>
      <c r="D75" s="49">
        <f>IFERROR(D74/D47,0)</f>
        <v/>
      </c>
      <c r="E75" s="49">
        <f>IFERROR(E74/E47,0)</f>
        <v/>
      </c>
      <c r="F75" s="49">
        <f>IFERROR(F74/F47,0)</f>
        <v/>
      </c>
      <c r="G75" s="49">
        <f>IFERROR(G74/G47,0)</f>
        <v/>
      </c>
      <c r="H75" s="49">
        <f>IFERROR(H74/H47,0)</f>
        <v/>
      </c>
      <c r="I75" s="49">
        <f>IFERROR(I74/I47,0)</f>
        <v/>
      </c>
      <c r="J75" s="49">
        <f>IFERROR(J74/J47,0)</f>
        <v/>
      </c>
      <c r="K75" s="49">
        <f>IFERROR(K74/K47,0)</f>
        <v/>
      </c>
      <c r="L75" s="49">
        <f>IFERROR(L74/L47,0)</f>
        <v/>
      </c>
      <c r="M75" s="49">
        <f>IFERROR(M74/M47,0)</f>
        <v/>
      </c>
      <c r="N75" s="49">
        <f>IFERROR(N74/N47,0)</f>
        <v/>
      </c>
      <c r="O75" s="49">
        <f>IFERROR(O74/O47,0)</f>
        <v/>
      </c>
      <c r="P75" s="49">
        <f>IFERROR(P74/P47,0)</f>
        <v/>
      </c>
      <c r="Q75" s="49">
        <f>IFERROR(Q74/Q47,0)</f>
        <v/>
      </c>
      <c r="R75" s="49">
        <f>IFERROR(R74/R47,0)</f>
        <v/>
      </c>
    </row>
    <row r="76">
      <c r="A76" s="3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</row>
    <row r="77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</row>
    <row r="78" ht="15.5" customHeight="1">
      <c r="A78" s="45" t="inlineStr">
        <is>
          <t>InsureSight</t>
        </is>
      </c>
      <c r="B78" s="45" t="n"/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</row>
    <row r="79">
      <c r="A79" s="45" t="inlineStr">
        <is>
          <t>Revenue</t>
        </is>
      </c>
      <c r="B79" s="45" t="n"/>
      <c r="C79" s="45" t="n"/>
      <c r="D79" s="45" t="n"/>
      <c r="E79" s="45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</row>
    <row r="80">
      <c r="A80" s="36" t="inlineStr">
        <is>
          <t>Subscription</t>
        </is>
      </c>
      <c r="B80" s="37" t="n">
        <v>642.02</v>
      </c>
      <c r="C80" s="37" t="n">
        <v>646.87</v>
      </c>
      <c r="D80" s="37" t="n">
        <v>636.13</v>
      </c>
      <c r="E80" s="37" t="n">
        <v>670.09</v>
      </c>
      <c r="F80" s="37" t="n">
        <v>705.9400000000001</v>
      </c>
      <c r="G80" s="37" t="n">
        <v>693.17</v>
      </c>
      <c r="H80" s="37" t="n">
        <v>667.61</v>
      </c>
      <c r="I80" s="37" t="n">
        <v>720.21</v>
      </c>
      <c r="J80" s="37" t="n">
        <v>733.3099999999999</v>
      </c>
      <c r="K80" s="37" t="n">
        <v>799.16</v>
      </c>
      <c r="L80" s="37" t="n">
        <v>773.02</v>
      </c>
      <c r="M80" s="37" t="n">
        <v>788.21</v>
      </c>
      <c r="N80" s="37">
        <f>SUM(B80:D80)</f>
        <v/>
      </c>
      <c r="O80" s="37">
        <f>SUM(E80:G80)</f>
        <v/>
      </c>
      <c r="P80" s="37">
        <f>SUM(H80:J80)</f>
        <v/>
      </c>
      <c r="Q80" s="37">
        <f>SUM(K80:M80)</f>
        <v/>
      </c>
      <c r="R80" s="37">
        <f>SUM(B80:M80)</f>
        <v/>
      </c>
    </row>
    <row r="81">
      <c r="A81" s="38" t="inlineStr">
        <is>
          <t>Transactions</t>
        </is>
      </c>
      <c r="B81" s="39" t="n">
        <v>149.16</v>
      </c>
      <c r="C81" s="39" t="n">
        <v>138.54</v>
      </c>
      <c r="D81" s="39" t="n">
        <v>151.97</v>
      </c>
      <c r="E81" s="39" t="n">
        <v>168.3</v>
      </c>
      <c r="F81" s="39" t="n">
        <v>139.58</v>
      </c>
      <c r="G81" s="39" t="n">
        <v>165.15</v>
      </c>
      <c r="H81" s="39" t="n">
        <v>139.97</v>
      </c>
      <c r="I81" s="39" t="n">
        <v>160.26</v>
      </c>
      <c r="J81" s="39" t="n">
        <v>176.49</v>
      </c>
      <c r="K81" s="39" t="n">
        <v>163.5</v>
      </c>
      <c r="L81" s="39" t="n">
        <v>175.93</v>
      </c>
      <c r="M81" s="39" t="n">
        <v>177</v>
      </c>
      <c r="N81" s="39">
        <f>SUM(B81:D81)</f>
        <v/>
      </c>
      <c r="O81" s="39">
        <f>SUM(E81:G81)</f>
        <v/>
      </c>
      <c r="P81" s="39">
        <f>SUM(H81:J81)</f>
        <v/>
      </c>
      <c r="Q81" s="39">
        <f>SUM(K81:M81)</f>
        <v/>
      </c>
      <c r="R81" s="39">
        <f>SUM(B81:M81)</f>
        <v/>
      </c>
    </row>
    <row r="82">
      <c r="A82" s="36" t="inlineStr">
        <is>
          <t>Services</t>
        </is>
      </c>
      <c r="B82" s="37" t="n">
        <v>68.39</v>
      </c>
      <c r="C82" s="37" t="n">
        <v>86.95999999999999</v>
      </c>
      <c r="D82" s="37" t="n">
        <v>79.09</v>
      </c>
      <c r="E82" s="37" t="n">
        <v>65.37</v>
      </c>
      <c r="F82" s="37" t="n">
        <v>67.75</v>
      </c>
      <c r="G82" s="37" t="n">
        <v>76</v>
      </c>
      <c r="H82" s="37" t="n">
        <v>93.73</v>
      </c>
      <c r="I82" s="37" t="n">
        <v>46.71</v>
      </c>
      <c r="J82" s="37" t="n">
        <v>63.23</v>
      </c>
      <c r="K82" s="37" t="n">
        <v>74.7</v>
      </c>
      <c r="L82" s="37" t="n">
        <v>103</v>
      </c>
      <c r="M82" s="37" t="n">
        <v>84.09</v>
      </c>
      <c r="N82" s="37">
        <f>SUM(B82:D82)</f>
        <v/>
      </c>
      <c r="O82" s="37">
        <f>SUM(E82:G82)</f>
        <v/>
      </c>
      <c r="P82" s="37">
        <f>SUM(H82:J82)</f>
        <v/>
      </c>
      <c r="Q82" s="37">
        <f>SUM(K82:M82)</f>
        <v/>
      </c>
      <c r="R82" s="37">
        <f>SUM(B82:M82)</f>
        <v/>
      </c>
    </row>
    <row r="83">
      <c r="A83" s="54" t="inlineStr">
        <is>
          <t>Revenue</t>
        </is>
      </c>
      <c r="B83" s="76">
        <f>B80+B81+B82</f>
        <v/>
      </c>
      <c r="C83" s="76">
        <f>C80+C81+C82</f>
        <v/>
      </c>
      <c r="D83" s="76">
        <f>D80+D81+D82</f>
        <v/>
      </c>
      <c r="E83" s="76">
        <f>E80+E81+E82</f>
        <v/>
      </c>
      <c r="F83" s="76">
        <f>F80+F81+F82</f>
        <v/>
      </c>
      <c r="G83" s="76">
        <f>G80+G81+G82</f>
        <v/>
      </c>
      <c r="H83" s="76">
        <f>H80+H81+H82</f>
        <v/>
      </c>
      <c r="I83" s="76">
        <f>I80+I81+I82</f>
        <v/>
      </c>
      <c r="J83" s="76">
        <f>J80+J81+J82</f>
        <v/>
      </c>
      <c r="K83" s="76">
        <f>K80+K81+K82</f>
        <v/>
      </c>
      <c r="L83" s="76">
        <f>L80+L81+L82</f>
        <v/>
      </c>
      <c r="M83" s="76">
        <f>M80+M81+M82</f>
        <v/>
      </c>
      <c r="N83" s="76">
        <f>SUM(B83:D83)</f>
        <v/>
      </c>
      <c r="O83" s="76">
        <f>SUM(E83:G83)</f>
        <v/>
      </c>
      <c r="P83" s="76">
        <f>SUM(H83:J83)</f>
        <v/>
      </c>
      <c r="Q83" s="76">
        <f>SUM(K83:M83)</f>
        <v/>
      </c>
      <c r="R83" s="76">
        <f>SUM(B83:M83)</f>
        <v/>
      </c>
    </row>
    <row r="84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</row>
    <row r="85">
      <c r="A85" s="45" t="inlineStr">
        <is>
          <t>Cost of Revenue</t>
        </is>
      </c>
      <c r="B85" s="45" t="n"/>
      <c r="C85" s="45" t="n"/>
      <c r="D85" s="45" t="n"/>
      <c r="E85" s="45" t="n"/>
      <c r="F85" s="45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</row>
    <row r="86">
      <c r="A86" s="38" t="inlineStr">
        <is>
          <t>NetOps</t>
        </is>
      </c>
      <c r="B86" s="39" t="n">
        <v>140.04</v>
      </c>
      <c r="C86" s="39" t="n">
        <v>144.16</v>
      </c>
      <c r="D86" s="39" t="n">
        <v>135.67</v>
      </c>
      <c r="E86" s="39" t="n">
        <v>150.31</v>
      </c>
      <c r="F86" s="39" t="n">
        <v>155.22</v>
      </c>
      <c r="G86" s="39" t="n">
        <v>148.59</v>
      </c>
      <c r="H86" s="39" t="n">
        <v>149.17</v>
      </c>
      <c r="I86" s="39" t="n">
        <v>150.61</v>
      </c>
      <c r="J86" s="39" t="n">
        <v>165.38</v>
      </c>
      <c r="K86" s="39" t="n">
        <v>180.56</v>
      </c>
      <c r="L86" s="39" t="n">
        <v>163.37</v>
      </c>
      <c r="M86" s="39" t="n">
        <v>172.11</v>
      </c>
      <c r="N86" s="39">
        <f>SUM(B86:D86)</f>
        <v/>
      </c>
      <c r="O86" s="39">
        <f>SUM(E86:G86)</f>
        <v/>
      </c>
      <c r="P86" s="39">
        <f>SUM(H86:J86)</f>
        <v/>
      </c>
      <c r="Q86" s="39">
        <f>SUM(K86:M86)</f>
        <v/>
      </c>
      <c r="R86" s="39">
        <f>SUM(B86:M86)</f>
        <v/>
      </c>
    </row>
    <row r="87">
      <c r="A87" s="36" t="inlineStr">
        <is>
          <t>Security</t>
        </is>
      </c>
      <c r="B87" s="37" t="n">
        <v>31.06</v>
      </c>
      <c r="C87" s="37" t="n">
        <v>33.82</v>
      </c>
      <c r="D87" s="37" t="n">
        <v>31.86</v>
      </c>
      <c r="E87" s="37" t="n">
        <v>32</v>
      </c>
      <c r="F87" s="37" t="n">
        <v>34.41</v>
      </c>
      <c r="G87" s="37" t="n">
        <v>35.87</v>
      </c>
      <c r="H87" s="37" t="n">
        <v>33.24</v>
      </c>
      <c r="I87" s="37" t="n">
        <v>37.1</v>
      </c>
      <c r="J87" s="37" t="n">
        <v>37.28</v>
      </c>
      <c r="K87" s="37" t="n">
        <v>41.91</v>
      </c>
      <c r="L87" s="37" t="n">
        <v>39.02</v>
      </c>
      <c r="M87" s="37" t="n">
        <v>41.18</v>
      </c>
      <c r="N87" s="37">
        <f>SUM(B87:D87)</f>
        <v/>
      </c>
      <c r="O87" s="37">
        <f>SUM(E87:G87)</f>
        <v/>
      </c>
      <c r="P87" s="37">
        <f>SUM(H87:J87)</f>
        <v/>
      </c>
      <c r="Q87" s="37">
        <f>SUM(K87:M87)</f>
        <v/>
      </c>
      <c r="R87" s="37">
        <f>SUM(B87:M87)</f>
        <v/>
      </c>
    </row>
    <row r="88">
      <c r="A88" s="38" t="inlineStr">
        <is>
          <t>Support</t>
        </is>
      </c>
      <c r="B88" s="39" t="n">
        <v>53.37</v>
      </c>
      <c r="C88" s="39" t="n">
        <v>52.33</v>
      </c>
      <c r="D88" s="39" t="n">
        <v>52.01</v>
      </c>
      <c r="E88" s="39" t="n">
        <v>53.63</v>
      </c>
      <c r="F88" s="39" t="n">
        <v>58.34</v>
      </c>
      <c r="G88" s="39" t="n">
        <v>55.72</v>
      </c>
      <c r="H88" s="39" t="n">
        <v>55.53</v>
      </c>
      <c r="I88" s="39" t="n">
        <v>59.02</v>
      </c>
      <c r="J88" s="39" t="n">
        <v>58.52</v>
      </c>
      <c r="K88" s="39" t="n">
        <v>62.39</v>
      </c>
      <c r="L88" s="39" t="n">
        <v>60.28</v>
      </c>
      <c r="M88" s="39" t="n">
        <v>63.92</v>
      </c>
      <c r="N88" s="39">
        <f>SUM(B88:D88)</f>
        <v/>
      </c>
      <c r="O88" s="39">
        <f>SUM(E88:G88)</f>
        <v/>
      </c>
      <c r="P88" s="39">
        <f>SUM(H88:J88)</f>
        <v/>
      </c>
      <c r="Q88" s="39">
        <f>SUM(K88:M88)</f>
        <v/>
      </c>
      <c r="R88" s="39">
        <f>SUM(B88:M88)</f>
        <v/>
      </c>
    </row>
    <row r="89">
      <c r="A89" s="36" t="inlineStr">
        <is>
          <t>Partners</t>
        </is>
      </c>
      <c r="B89" s="37" t="n">
        <v>39.55</v>
      </c>
      <c r="C89" s="37" t="n">
        <v>38.89</v>
      </c>
      <c r="D89" s="37" t="n">
        <v>38.65</v>
      </c>
      <c r="E89" s="37" t="n">
        <v>39.3</v>
      </c>
      <c r="F89" s="37" t="n">
        <v>40.57</v>
      </c>
      <c r="G89" s="37" t="n">
        <v>40.7</v>
      </c>
      <c r="H89" s="37" t="n">
        <v>39.14</v>
      </c>
      <c r="I89" s="37" t="n">
        <v>42.43</v>
      </c>
      <c r="J89" s="37" t="n">
        <v>44.18</v>
      </c>
      <c r="K89" s="37" t="n">
        <v>46.22</v>
      </c>
      <c r="L89" s="37" t="n">
        <v>45.13</v>
      </c>
      <c r="M89" s="37" t="n">
        <v>48.21</v>
      </c>
      <c r="N89" s="37">
        <f>SUM(B89:D89)</f>
        <v/>
      </c>
      <c r="O89" s="37">
        <f>SUM(E89:G89)</f>
        <v/>
      </c>
      <c r="P89" s="37">
        <f>SUM(H89:J89)</f>
        <v/>
      </c>
      <c r="Q89" s="37">
        <f>SUM(K89:M89)</f>
        <v/>
      </c>
      <c r="R89" s="37">
        <f>SUM(B89:M89)</f>
        <v/>
      </c>
    </row>
    <row r="90">
      <c r="A90" s="38" t="inlineStr">
        <is>
          <t>Content</t>
        </is>
      </c>
      <c r="B90" s="39" t="n">
        <v>6.55</v>
      </c>
      <c r="C90" s="39" t="n">
        <v>6.19</v>
      </c>
      <c r="D90" s="39" t="n">
        <v>6.3</v>
      </c>
      <c r="E90" s="39" t="n">
        <v>6.73</v>
      </c>
      <c r="F90" s="39" t="n">
        <v>7</v>
      </c>
      <c r="G90" s="39" t="n">
        <v>6.73</v>
      </c>
      <c r="H90" s="39" t="n">
        <v>6.62</v>
      </c>
      <c r="I90" s="39" t="n">
        <v>7.49</v>
      </c>
      <c r="J90" s="39" t="n">
        <v>7.39</v>
      </c>
      <c r="K90" s="39" t="n">
        <v>8.15</v>
      </c>
      <c r="L90" s="39" t="n">
        <v>8.01</v>
      </c>
      <c r="M90" s="39" t="n">
        <v>8.09</v>
      </c>
      <c r="N90" s="39">
        <f>SUM(B90:D90)</f>
        <v/>
      </c>
      <c r="O90" s="39">
        <f>SUM(E90:G90)</f>
        <v/>
      </c>
      <c r="P90" s="39">
        <f>SUM(H90:J90)</f>
        <v/>
      </c>
      <c r="Q90" s="39">
        <f>SUM(K90:M90)</f>
        <v/>
      </c>
      <c r="R90" s="39">
        <f>SUM(B90:M90)</f>
        <v/>
      </c>
    </row>
    <row r="91">
      <c r="A91" s="54" t="inlineStr">
        <is>
          <t>Cost of Subscription</t>
        </is>
      </c>
      <c r="B91" s="76">
        <f>SUM(B86:B90)</f>
        <v/>
      </c>
      <c r="C91" s="76">
        <f>SUM(C86:C90)</f>
        <v/>
      </c>
      <c r="D91" s="76">
        <f>SUM(D86:D90)</f>
        <v/>
      </c>
      <c r="E91" s="76">
        <f>SUM(E86:E90)</f>
        <v/>
      </c>
      <c r="F91" s="76">
        <f>SUM(F86:F90)</f>
        <v/>
      </c>
      <c r="G91" s="76">
        <f>SUM(G86:G90)</f>
        <v/>
      </c>
      <c r="H91" s="76">
        <f>SUM(H86:H90)</f>
        <v/>
      </c>
      <c r="I91" s="76">
        <f>SUM(I86:I90)</f>
        <v/>
      </c>
      <c r="J91" s="76">
        <f>SUM(J86:J90)</f>
        <v/>
      </c>
      <c r="K91" s="76">
        <f>SUM(K86:K90)</f>
        <v/>
      </c>
      <c r="L91" s="76">
        <f>SUM(L86:L90)</f>
        <v/>
      </c>
      <c r="M91" s="76">
        <f>SUM(M86:M90)</f>
        <v/>
      </c>
      <c r="N91" s="76">
        <f>SUM(B91:D91)</f>
        <v/>
      </c>
      <c r="O91" s="76">
        <f>SUM(E91:G91)</f>
        <v/>
      </c>
      <c r="P91" s="76">
        <f>SUM(H91:J91)</f>
        <v/>
      </c>
      <c r="Q91" s="76">
        <f>SUM(K91:M91)</f>
        <v/>
      </c>
      <c r="R91" s="76">
        <f>SUM(B91:M91)</f>
        <v/>
      </c>
    </row>
    <row r="92">
      <c r="A92" s="36" t="inlineStr">
        <is>
          <t>Cost of Services</t>
        </is>
      </c>
      <c r="B92" s="37" t="n">
        <v>43.39</v>
      </c>
      <c r="C92" s="37" t="n">
        <v>60.52</v>
      </c>
      <c r="D92" s="37" t="n">
        <v>51.88</v>
      </c>
      <c r="E92" s="37" t="n">
        <v>41.95</v>
      </c>
      <c r="F92" s="37" t="n">
        <v>43.19</v>
      </c>
      <c r="G92" s="37" t="n">
        <v>50.61</v>
      </c>
      <c r="H92" s="37" t="n">
        <v>55.16</v>
      </c>
      <c r="I92" s="37" t="n">
        <v>27.63</v>
      </c>
      <c r="J92" s="37" t="n">
        <v>43.25</v>
      </c>
      <c r="K92" s="37" t="n">
        <v>46.15</v>
      </c>
      <c r="L92" s="37" t="n">
        <v>73.64</v>
      </c>
      <c r="M92" s="37" t="n">
        <v>56.32</v>
      </c>
      <c r="N92" s="37">
        <f>SUM(B92:D92)</f>
        <v/>
      </c>
      <c r="O92" s="37">
        <f>SUM(E92:G92)</f>
        <v/>
      </c>
      <c r="P92" s="37">
        <f>SUM(H92:J92)</f>
        <v/>
      </c>
      <c r="Q92" s="37">
        <f>SUM(K92:M92)</f>
        <v/>
      </c>
      <c r="R92" s="37">
        <f>SUM(B92:M92)</f>
        <v/>
      </c>
    </row>
    <row r="93">
      <c r="A93" s="54" t="inlineStr">
        <is>
          <t>Cost of Revenue</t>
        </is>
      </c>
      <c r="B93" s="76">
        <f>B91+B92</f>
        <v/>
      </c>
      <c r="C93" s="76">
        <f>C91+C92</f>
        <v/>
      </c>
      <c r="D93" s="76">
        <f>D91+D92</f>
        <v/>
      </c>
      <c r="E93" s="76">
        <f>E91+E92</f>
        <v/>
      </c>
      <c r="F93" s="76">
        <f>F91+F92</f>
        <v/>
      </c>
      <c r="G93" s="76">
        <f>G91+G92</f>
        <v/>
      </c>
      <c r="H93" s="76">
        <f>H91+H92</f>
        <v/>
      </c>
      <c r="I93" s="76">
        <f>I91+I92</f>
        <v/>
      </c>
      <c r="J93" s="76">
        <f>J91+J92</f>
        <v/>
      </c>
      <c r="K93" s="76">
        <f>K91+K92</f>
        <v/>
      </c>
      <c r="L93" s="76">
        <f>L91+L92</f>
        <v/>
      </c>
      <c r="M93" s="76">
        <f>M91+M92</f>
        <v/>
      </c>
      <c r="N93" s="76">
        <f>SUM(B93:D93)</f>
        <v/>
      </c>
      <c r="O93" s="76">
        <f>SUM(E93:G93)</f>
        <v/>
      </c>
      <c r="P93" s="76">
        <f>SUM(H93:J93)</f>
        <v/>
      </c>
      <c r="Q93" s="76">
        <f>SUM(K93:M93)</f>
        <v/>
      </c>
      <c r="R93" s="76">
        <f>SUM(B93:M93)</f>
        <v/>
      </c>
    </row>
    <row r="94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</row>
    <row r="95">
      <c r="A95" s="38" t="inlineStr">
        <is>
          <t>Subscriptions Contribution</t>
        </is>
      </c>
      <c r="B95" s="39">
        <f>B80-B91</f>
        <v/>
      </c>
      <c r="C95" s="39">
        <f>C80-C91</f>
        <v/>
      </c>
      <c r="D95" s="39">
        <f>D80-D91</f>
        <v/>
      </c>
      <c r="E95" s="39">
        <f>E80-E91</f>
        <v/>
      </c>
      <c r="F95" s="39">
        <f>F80-F91</f>
        <v/>
      </c>
      <c r="G95" s="39">
        <f>G80-G91</f>
        <v/>
      </c>
      <c r="H95" s="39">
        <f>H80-H91</f>
        <v/>
      </c>
      <c r="I95" s="39">
        <f>I80-I91</f>
        <v/>
      </c>
      <c r="J95" s="39">
        <f>J80-J91</f>
        <v/>
      </c>
      <c r="K95" s="39">
        <f>K80-K91</f>
        <v/>
      </c>
      <c r="L95" s="39">
        <f>L80-L91</f>
        <v/>
      </c>
      <c r="M95" s="39">
        <f>M80-M91</f>
        <v/>
      </c>
      <c r="N95" s="39">
        <f>SUM(B95:D95)</f>
        <v/>
      </c>
      <c r="O95" s="39">
        <f>SUM(E95:G95)</f>
        <v/>
      </c>
      <c r="P95" s="39">
        <f>SUM(H95:J95)</f>
        <v/>
      </c>
      <c r="Q95" s="39">
        <f>SUM(K95:M95)</f>
        <v/>
      </c>
      <c r="R95" s="39">
        <f>SUM(B95:M95)</f>
        <v/>
      </c>
    </row>
    <row r="96">
      <c r="A96" s="36" t="inlineStr">
        <is>
          <t>Services Contribution</t>
        </is>
      </c>
      <c r="B96" s="37">
        <f>B82-B92</f>
        <v/>
      </c>
      <c r="C96" s="37">
        <f>C82-C92</f>
        <v/>
      </c>
      <c r="D96" s="37">
        <f>D82-D92</f>
        <v/>
      </c>
      <c r="E96" s="37">
        <f>E82-E92</f>
        <v/>
      </c>
      <c r="F96" s="37">
        <f>F82-F92</f>
        <v/>
      </c>
      <c r="G96" s="37">
        <f>G82-G92</f>
        <v/>
      </c>
      <c r="H96" s="37">
        <f>H82-H92</f>
        <v/>
      </c>
      <c r="I96" s="37">
        <f>I82-I92</f>
        <v/>
      </c>
      <c r="J96" s="37">
        <f>J82-J92</f>
        <v/>
      </c>
      <c r="K96" s="37">
        <f>K82-K92</f>
        <v/>
      </c>
      <c r="L96" s="37">
        <f>L82-L92</f>
        <v/>
      </c>
      <c r="M96" s="37">
        <f>M82-M92</f>
        <v/>
      </c>
      <c r="N96" s="37">
        <f>SUM(B96:D96)</f>
        <v/>
      </c>
      <c r="O96" s="37">
        <f>SUM(E96:G96)</f>
        <v/>
      </c>
      <c r="P96" s="37">
        <f>SUM(H96:J96)</f>
        <v/>
      </c>
      <c r="Q96" s="37">
        <f>SUM(K96:M96)</f>
        <v/>
      </c>
      <c r="R96" s="37">
        <f>SUM(B96:M96)</f>
        <v/>
      </c>
    </row>
    <row r="97">
      <c r="A97" s="54" t="inlineStr">
        <is>
          <t>Contribution Margin</t>
        </is>
      </c>
      <c r="B97" s="76">
        <f>B95+B96</f>
        <v/>
      </c>
      <c r="C97" s="76">
        <f>C95+C96</f>
        <v/>
      </c>
      <c r="D97" s="76">
        <f>D95+D96</f>
        <v/>
      </c>
      <c r="E97" s="76">
        <f>E95+E96</f>
        <v/>
      </c>
      <c r="F97" s="76">
        <f>F95+F96</f>
        <v/>
      </c>
      <c r="G97" s="76">
        <f>G95+G96</f>
        <v/>
      </c>
      <c r="H97" s="76">
        <f>H95+H96</f>
        <v/>
      </c>
      <c r="I97" s="76">
        <f>I95+I96</f>
        <v/>
      </c>
      <c r="J97" s="76">
        <f>J95+J96</f>
        <v/>
      </c>
      <c r="K97" s="76">
        <f>K95+K96</f>
        <v/>
      </c>
      <c r="L97" s="76">
        <f>L95+L96</f>
        <v/>
      </c>
      <c r="M97" s="76">
        <f>M95+M96</f>
        <v/>
      </c>
      <c r="N97" s="76">
        <f>SUM(B97:D97)</f>
        <v/>
      </c>
      <c r="O97" s="76">
        <f>SUM(E97:G97)</f>
        <v/>
      </c>
      <c r="P97" s="76">
        <f>SUM(H97:J97)</f>
        <v/>
      </c>
      <c r="Q97" s="76">
        <f>SUM(K97:M97)</f>
        <v/>
      </c>
      <c r="R97" s="76">
        <f>SUM(B97:M97)</f>
        <v/>
      </c>
    </row>
    <row r="98">
      <c r="A98" s="38" t="inlineStr">
        <is>
          <t>D&amp;A</t>
        </is>
      </c>
      <c r="B98" s="39" t="n">
        <v>8.6</v>
      </c>
      <c r="C98" s="39" t="n">
        <v>8.720000000000001</v>
      </c>
      <c r="D98" s="39" t="n">
        <v>8.67</v>
      </c>
      <c r="E98" s="39" t="n">
        <v>9.039999999999999</v>
      </c>
      <c r="F98" s="39" t="n">
        <v>9.130000000000001</v>
      </c>
      <c r="G98" s="39" t="n">
        <v>9.34</v>
      </c>
      <c r="H98" s="39" t="n">
        <v>9.01</v>
      </c>
      <c r="I98" s="39" t="n">
        <v>9.27</v>
      </c>
      <c r="J98" s="39" t="n">
        <v>9.73</v>
      </c>
      <c r="K98" s="39" t="n">
        <v>10.37</v>
      </c>
      <c r="L98" s="39" t="n">
        <v>10.52</v>
      </c>
      <c r="M98" s="39" t="n">
        <v>10.49</v>
      </c>
      <c r="N98" s="39">
        <f>SUM(B98:D98)</f>
        <v/>
      </c>
      <c r="O98" s="39">
        <f>SUM(E98:G98)</f>
        <v/>
      </c>
      <c r="P98" s="39">
        <f>SUM(H98:J98)</f>
        <v/>
      </c>
      <c r="Q98" s="39">
        <f>SUM(K98:M98)</f>
        <v/>
      </c>
      <c r="R98" s="39">
        <f>SUM(B98:M98)</f>
        <v/>
      </c>
    </row>
    <row r="99">
      <c r="A99" s="54" t="inlineStr">
        <is>
          <t>Contribution Margin GAAP</t>
        </is>
      </c>
      <c r="B99" s="76">
        <f>B97-B98</f>
        <v/>
      </c>
      <c r="C99" s="76">
        <f>C97-C98</f>
        <v/>
      </c>
      <c r="D99" s="76">
        <f>D97-D98</f>
        <v/>
      </c>
      <c r="E99" s="76">
        <f>E97-E98</f>
        <v/>
      </c>
      <c r="F99" s="76">
        <f>F97-F98</f>
        <v/>
      </c>
      <c r="G99" s="76">
        <f>G97-G98</f>
        <v/>
      </c>
      <c r="H99" s="76">
        <f>H97-H98</f>
        <v/>
      </c>
      <c r="I99" s="76">
        <f>I97-I98</f>
        <v/>
      </c>
      <c r="J99" s="76">
        <f>J97-J98</f>
        <v/>
      </c>
      <c r="K99" s="76">
        <f>K97-K98</f>
        <v/>
      </c>
      <c r="L99" s="76">
        <f>L97-L98</f>
        <v/>
      </c>
      <c r="M99" s="76">
        <f>M97-M98</f>
        <v/>
      </c>
      <c r="N99" s="76">
        <f>SUM(B99:D99)</f>
        <v/>
      </c>
      <c r="O99" s="76">
        <f>SUM(E99:G99)</f>
        <v/>
      </c>
      <c r="P99" s="76">
        <f>SUM(H99:J99)</f>
        <v/>
      </c>
      <c r="Q99" s="76">
        <f>SUM(K99:M99)</f>
        <v/>
      </c>
      <c r="R99" s="76">
        <f>SUM(B99:M99)</f>
        <v/>
      </c>
    </row>
    <row r="100">
      <c r="A100" s="36" t="inlineStr">
        <is>
          <t>Subscription Margin %</t>
        </is>
      </c>
      <c r="B100" s="49">
        <f>IFERROR(B95/B80,0)</f>
        <v/>
      </c>
      <c r="C100" s="49">
        <f>IFERROR(C95/C80,0)</f>
        <v/>
      </c>
      <c r="D100" s="49">
        <f>IFERROR(D95/D80,0)</f>
        <v/>
      </c>
      <c r="E100" s="49">
        <f>IFERROR(E95/E80,0)</f>
        <v/>
      </c>
      <c r="F100" s="49">
        <f>IFERROR(F95/F80,0)</f>
        <v/>
      </c>
      <c r="G100" s="49">
        <f>IFERROR(G95/G80,0)</f>
        <v/>
      </c>
      <c r="H100" s="49">
        <f>IFERROR(H95/H80,0)</f>
        <v/>
      </c>
      <c r="I100" s="49">
        <f>IFERROR(I95/I80,0)</f>
        <v/>
      </c>
      <c r="J100" s="49">
        <f>IFERROR(J95/J80,0)</f>
        <v/>
      </c>
      <c r="K100" s="49">
        <f>IFERROR(K95/K80,0)</f>
        <v/>
      </c>
      <c r="L100" s="49">
        <f>IFERROR(L95/L80,0)</f>
        <v/>
      </c>
      <c r="M100" s="49">
        <f>IFERROR(M95/M80,0)</f>
        <v/>
      </c>
      <c r="N100" s="49">
        <f>IFERROR(N95/N80,0)</f>
        <v/>
      </c>
      <c r="O100" s="49">
        <f>IFERROR(O95/O80,0)</f>
        <v/>
      </c>
      <c r="P100" s="49">
        <f>IFERROR(P95/P80,0)</f>
        <v/>
      </c>
      <c r="Q100" s="49">
        <f>IFERROR(Q95/Q80,0)</f>
        <v/>
      </c>
      <c r="R100" s="49">
        <f>IFERROR(R95/R80,0)</f>
        <v/>
      </c>
    </row>
    <row r="101">
      <c r="A101" s="38" t="inlineStr">
        <is>
          <t>Services Margin %</t>
        </is>
      </c>
      <c r="B101" s="47">
        <f>IFERROR(B96/B82,0)</f>
        <v/>
      </c>
      <c r="C101" s="47">
        <f>IFERROR(C96/C82,0)</f>
        <v/>
      </c>
      <c r="D101" s="47">
        <f>IFERROR(D96/D82,0)</f>
        <v/>
      </c>
      <c r="E101" s="47">
        <f>IFERROR(E96/E82,0)</f>
        <v/>
      </c>
      <c r="F101" s="47">
        <f>IFERROR(F96/F82,0)</f>
        <v/>
      </c>
      <c r="G101" s="47">
        <f>IFERROR(G96/G82,0)</f>
        <v/>
      </c>
      <c r="H101" s="47">
        <f>IFERROR(H96/H82,0)</f>
        <v/>
      </c>
      <c r="I101" s="47">
        <f>IFERROR(I96/I82,0)</f>
        <v/>
      </c>
      <c r="J101" s="47">
        <f>IFERROR(J96/J82,0)</f>
        <v/>
      </c>
      <c r="K101" s="47">
        <f>IFERROR(K96/K82,0)</f>
        <v/>
      </c>
      <c r="L101" s="47">
        <f>IFERROR(L96/L82,0)</f>
        <v/>
      </c>
      <c r="M101" s="47">
        <f>IFERROR(M96/M82,0)</f>
        <v/>
      </c>
      <c r="N101" s="47">
        <f>IFERROR(N96/N82,0)</f>
        <v/>
      </c>
      <c r="O101" s="47">
        <f>IFERROR(O96/O82,0)</f>
        <v/>
      </c>
      <c r="P101" s="47">
        <f>IFERROR(P96/P82,0)</f>
        <v/>
      </c>
      <c r="Q101" s="47">
        <f>IFERROR(Q96/Q82,0)</f>
        <v/>
      </c>
      <c r="R101" s="47">
        <f>IFERROR(R96/R82,0)</f>
        <v/>
      </c>
    </row>
    <row r="102">
      <c r="A102" s="36" t="inlineStr">
        <is>
          <t>Total Margin %</t>
        </is>
      </c>
      <c r="B102" s="49">
        <f>IFERROR(B97/B83,0)</f>
        <v/>
      </c>
      <c r="C102" s="49">
        <f>IFERROR(C97/C83,0)</f>
        <v/>
      </c>
      <c r="D102" s="49">
        <f>IFERROR(D97/D83,0)</f>
        <v/>
      </c>
      <c r="E102" s="49">
        <f>IFERROR(E97/E83,0)</f>
        <v/>
      </c>
      <c r="F102" s="49">
        <f>IFERROR(F97/F83,0)</f>
        <v/>
      </c>
      <c r="G102" s="49">
        <f>IFERROR(G97/G83,0)</f>
        <v/>
      </c>
      <c r="H102" s="49">
        <f>IFERROR(H97/H83,0)</f>
        <v/>
      </c>
      <c r="I102" s="49">
        <f>IFERROR(I97/I83,0)</f>
        <v/>
      </c>
      <c r="J102" s="49">
        <f>IFERROR(J97/J83,0)</f>
        <v/>
      </c>
      <c r="K102" s="49">
        <f>IFERROR(K97/K83,0)</f>
        <v/>
      </c>
      <c r="L102" s="49">
        <f>IFERROR(L97/L83,0)</f>
        <v/>
      </c>
      <c r="M102" s="49">
        <f>IFERROR(M97/M83,0)</f>
        <v/>
      </c>
      <c r="N102" s="49">
        <f>IFERROR(N97/N83,0)</f>
        <v/>
      </c>
      <c r="O102" s="49">
        <f>IFERROR(O97/O83,0)</f>
        <v/>
      </c>
      <c r="P102" s="49">
        <f>IFERROR(P97/P83,0)</f>
        <v/>
      </c>
      <c r="Q102" s="49">
        <f>IFERROR(Q97/Q83,0)</f>
        <v/>
      </c>
      <c r="R102" s="49">
        <f>IFERROR(R97/R83,0)</f>
        <v/>
      </c>
    </row>
    <row r="103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</row>
    <row r="104">
      <c r="A104" s="45" t="inlineStr">
        <is>
          <t>R&amp;D</t>
        </is>
      </c>
      <c r="B104" s="45" t="n"/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</row>
    <row r="105">
      <c r="A105" s="38" t="inlineStr">
        <is>
          <t>R&amp;D (includes Cap Software)</t>
        </is>
      </c>
      <c r="B105" s="39" t="n">
        <v>94.98999999999999</v>
      </c>
      <c r="C105" s="39" t="n">
        <v>112.28</v>
      </c>
      <c r="D105" s="39" t="n">
        <v>105.78</v>
      </c>
      <c r="E105" s="39" t="n">
        <v>100.28</v>
      </c>
      <c r="F105" s="39" t="n">
        <v>103.72</v>
      </c>
      <c r="G105" s="39" t="n">
        <v>103.63</v>
      </c>
      <c r="H105" s="39" t="n">
        <v>110.63</v>
      </c>
      <c r="I105" s="39" t="n">
        <v>109.11</v>
      </c>
      <c r="J105" s="39" t="n">
        <v>114.51</v>
      </c>
      <c r="K105" s="39" t="n">
        <v>116.16</v>
      </c>
      <c r="L105" s="39" t="n">
        <v>123.2</v>
      </c>
      <c r="M105" s="39" t="n">
        <v>131.04</v>
      </c>
      <c r="N105" s="39">
        <f>SUM(B105:D105)</f>
        <v/>
      </c>
      <c r="O105" s="39">
        <f>SUM(E105:G105)</f>
        <v/>
      </c>
      <c r="P105" s="39">
        <f>SUM(H105:J105)</f>
        <v/>
      </c>
      <c r="Q105" s="39">
        <f>SUM(K105:M105)</f>
        <v/>
      </c>
      <c r="R105" s="39">
        <f>SUM(B105:M105)</f>
        <v/>
      </c>
    </row>
    <row r="106">
      <c r="A106" s="36" t="inlineStr">
        <is>
          <t>Research &amp; Development</t>
        </is>
      </c>
      <c r="B106" s="37" t="n">
        <v>67.90000000000001</v>
      </c>
      <c r="C106" s="37" t="n">
        <v>79.51000000000001</v>
      </c>
      <c r="D106" s="37" t="n">
        <v>77</v>
      </c>
      <c r="E106" s="37" t="n">
        <v>71.84</v>
      </c>
      <c r="F106" s="37" t="n">
        <v>72.94</v>
      </c>
      <c r="G106" s="37" t="n">
        <v>73.64</v>
      </c>
      <c r="H106" s="37" t="n">
        <v>81.47</v>
      </c>
      <c r="I106" s="37" t="n">
        <v>79.52</v>
      </c>
      <c r="J106" s="37" t="n">
        <v>77.27</v>
      </c>
      <c r="K106" s="37" t="n">
        <v>86.89</v>
      </c>
      <c r="L106" s="37" t="n">
        <v>84.39</v>
      </c>
      <c r="M106" s="37" t="n">
        <v>85.84</v>
      </c>
      <c r="N106" s="37">
        <f>SUM(B106:D106)</f>
        <v/>
      </c>
      <c r="O106" s="37">
        <f>SUM(E106:G106)</f>
        <v/>
      </c>
      <c r="P106" s="37">
        <f>SUM(H106:J106)</f>
        <v/>
      </c>
      <c r="Q106" s="37">
        <f>SUM(K106:M106)</f>
        <v/>
      </c>
      <c r="R106" s="37">
        <f>SUM(B106:M106)</f>
        <v/>
      </c>
    </row>
    <row r="107">
      <c r="A107" s="38" t="inlineStr">
        <is>
          <t>Capitalized R&amp;D</t>
        </is>
      </c>
      <c r="B107" s="39" t="n">
        <v>-27.09</v>
      </c>
      <c r="C107" s="39" t="n">
        <v>-32.77</v>
      </c>
      <c r="D107" s="39" t="n">
        <v>-28.78</v>
      </c>
      <c r="E107" s="39" t="n">
        <v>-28.44</v>
      </c>
      <c r="F107" s="39" t="n">
        <v>-30.78</v>
      </c>
      <c r="G107" s="39" t="n">
        <v>-29.99</v>
      </c>
      <c r="H107" s="39" t="n">
        <v>-29.16</v>
      </c>
      <c r="I107" s="39" t="n">
        <v>-29.59</v>
      </c>
      <c r="J107" s="39" t="n">
        <v>-37.24</v>
      </c>
      <c r="K107" s="39" t="n">
        <v>-29.27</v>
      </c>
      <c r="L107" s="39" t="n">
        <v>-38.81</v>
      </c>
      <c r="M107" s="39" t="n">
        <v>-45.2</v>
      </c>
      <c r="N107" s="39">
        <f>SUM(B107:D107)</f>
        <v/>
      </c>
      <c r="O107" s="39">
        <f>SUM(E107:G107)</f>
        <v/>
      </c>
      <c r="P107" s="39">
        <f>SUM(H107:J107)</f>
        <v/>
      </c>
      <c r="Q107" s="39">
        <f>SUM(K107:M107)</f>
        <v/>
      </c>
      <c r="R107" s="39">
        <f>SUM(B107:M107)</f>
        <v/>
      </c>
    </row>
    <row r="108">
      <c r="A108" s="36" t="inlineStr">
        <is>
          <t>Product Management</t>
        </is>
      </c>
      <c r="B108" s="37" t="n">
        <v>36.13</v>
      </c>
      <c r="C108" s="37" t="n">
        <v>36.62</v>
      </c>
      <c r="D108" s="37" t="n">
        <v>32.74</v>
      </c>
      <c r="E108" s="37" t="n">
        <v>37.45</v>
      </c>
      <c r="F108" s="37" t="n">
        <v>33.81</v>
      </c>
      <c r="G108" s="37" t="n">
        <v>37.85</v>
      </c>
      <c r="H108" s="37" t="n">
        <v>35.78</v>
      </c>
      <c r="I108" s="37" t="n">
        <v>35.8</v>
      </c>
      <c r="J108" s="37" t="n">
        <v>41.5</v>
      </c>
      <c r="K108" s="37" t="n">
        <v>41.82</v>
      </c>
      <c r="L108" s="37" t="n">
        <v>44.44</v>
      </c>
      <c r="M108" s="37" t="n">
        <v>39.45</v>
      </c>
      <c r="N108" s="37">
        <f>SUM(B108:D108)</f>
        <v/>
      </c>
      <c r="O108" s="37">
        <f>SUM(E108:G108)</f>
        <v/>
      </c>
      <c r="P108" s="37">
        <f>SUM(H108:J108)</f>
        <v/>
      </c>
      <c r="Q108" s="37">
        <f>SUM(K108:M108)</f>
        <v/>
      </c>
      <c r="R108" s="37">
        <f>SUM(B108:M108)</f>
        <v/>
      </c>
    </row>
    <row r="109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</row>
    <row r="110">
      <c r="A110" s="54" t="inlineStr">
        <is>
          <t>Contribution Margin + R&amp;D $</t>
        </is>
      </c>
      <c r="B110" s="76">
        <f>B97-B105-B108</f>
        <v/>
      </c>
      <c r="C110" s="76">
        <f>C97-C105-C108</f>
        <v/>
      </c>
      <c r="D110" s="76">
        <f>D97-D105-D108</f>
        <v/>
      </c>
      <c r="E110" s="76">
        <f>E97-E105-E108</f>
        <v/>
      </c>
      <c r="F110" s="76">
        <f>F97-F105-F108</f>
        <v/>
      </c>
      <c r="G110" s="76">
        <f>G97-G105-G108</f>
        <v/>
      </c>
      <c r="H110" s="76">
        <f>H97-H105-H108</f>
        <v/>
      </c>
      <c r="I110" s="76">
        <f>I97-I105-I108</f>
        <v/>
      </c>
      <c r="J110" s="76">
        <f>J97-J105-J108</f>
        <v/>
      </c>
      <c r="K110" s="76">
        <f>K97-K105-K108</f>
        <v/>
      </c>
      <c r="L110" s="76">
        <f>L97-L105-L108</f>
        <v/>
      </c>
      <c r="M110" s="76">
        <f>M97-M105-M108</f>
        <v/>
      </c>
      <c r="N110" s="76">
        <f>SUM(B110:D110)</f>
        <v/>
      </c>
      <c r="O110" s="76">
        <f>SUM(E110:G110)</f>
        <v/>
      </c>
      <c r="P110" s="76">
        <f>SUM(H110:J110)</f>
        <v/>
      </c>
      <c r="Q110" s="76">
        <f>SUM(K110:M110)</f>
        <v/>
      </c>
      <c r="R110" s="76">
        <f>SUM(B110:M110)</f>
        <v/>
      </c>
    </row>
    <row r="111">
      <c r="A111" s="38" t="inlineStr">
        <is>
          <t>Contribution Margin + R&amp;D %</t>
        </is>
      </c>
      <c r="B111" s="47">
        <f>IFERROR(B110/B83,0)</f>
        <v/>
      </c>
      <c r="C111" s="47">
        <f>IFERROR(C110/C83,0)</f>
        <v/>
      </c>
      <c r="D111" s="47">
        <f>IFERROR(D110/D83,0)</f>
        <v/>
      </c>
      <c r="E111" s="47">
        <f>IFERROR(E110/E83,0)</f>
        <v/>
      </c>
      <c r="F111" s="47">
        <f>IFERROR(F110/F83,0)</f>
        <v/>
      </c>
      <c r="G111" s="47">
        <f>IFERROR(G110/G83,0)</f>
        <v/>
      </c>
      <c r="H111" s="47">
        <f>IFERROR(H110/H83,0)</f>
        <v/>
      </c>
      <c r="I111" s="47">
        <f>IFERROR(I110/I83,0)</f>
        <v/>
      </c>
      <c r="J111" s="47">
        <f>IFERROR(J110/J83,0)</f>
        <v/>
      </c>
      <c r="K111" s="47">
        <f>IFERROR(K110/K83,0)</f>
        <v/>
      </c>
      <c r="L111" s="47">
        <f>IFERROR(L110/L83,0)</f>
        <v/>
      </c>
      <c r="M111" s="47">
        <f>IFERROR(M110/M83,0)</f>
        <v/>
      </c>
      <c r="N111" s="47">
        <f>IFERROR(N110/N83,0)</f>
        <v/>
      </c>
      <c r="O111" s="47">
        <f>IFERROR(O110/O83,0)</f>
        <v/>
      </c>
      <c r="P111" s="47">
        <f>IFERROR(P110/P83,0)</f>
        <v/>
      </c>
      <c r="Q111" s="47">
        <f>IFERROR(Q110/Q83,0)</f>
        <v/>
      </c>
      <c r="R111" s="47">
        <f>IFERROR(R110/R83,0)</f>
        <v/>
      </c>
    </row>
    <row r="112">
      <c r="A112" s="3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</row>
    <row r="113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</row>
    <row r="114" ht="15.5" customHeight="1">
      <c r="A114" s="45" t="inlineStr">
        <is>
          <t>DocFast</t>
        </is>
      </c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</row>
    <row r="115">
      <c r="A115" s="45" t="inlineStr">
        <is>
          <t>Revenue</t>
        </is>
      </c>
      <c r="B115" s="45" t="n"/>
      <c r="C115" s="45" t="n"/>
      <c r="D115" s="45" t="n"/>
      <c r="E115" s="45" t="n"/>
      <c r="F115" s="45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</row>
    <row r="116">
      <c r="A116" s="38" t="inlineStr">
        <is>
          <t>Subscription</t>
        </is>
      </c>
      <c r="B116" s="39" t="n">
        <v>269.34</v>
      </c>
      <c r="C116" s="39" t="n">
        <v>277.48</v>
      </c>
      <c r="D116" s="39" t="n">
        <v>277.81</v>
      </c>
      <c r="E116" s="39" t="n">
        <v>276.83</v>
      </c>
      <c r="F116" s="39" t="n">
        <v>267.19</v>
      </c>
      <c r="G116" s="39" t="n">
        <v>288.37</v>
      </c>
      <c r="H116" s="39" t="n">
        <v>276.8</v>
      </c>
      <c r="I116" s="39" t="n">
        <v>298.92</v>
      </c>
      <c r="J116" s="39" t="n">
        <v>305.22</v>
      </c>
      <c r="K116" s="39" t="n">
        <v>331.32</v>
      </c>
      <c r="L116" s="39" t="n">
        <v>331.74</v>
      </c>
      <c r="M116" s="39" t="n">
        <v>332.02</v>
      </c>
      <c r="N116" s="39">
        <f>SUM(B116:D116)</f>
        <v/>
      </c>
      <c r="O116" s="39">
        <f>SUM(E116:G116)</f>
        <v/>
      </c>
      <c r="P116" s="39">
        <f>SUM(H116:J116)</f>
        <v/>
      </c>
      <c r="Q116" s="39">
        <f>SUM(K116:M116)</f>
        <v/>
      </c>
      <c r="R116" s="39">
        <f>SUM(B116:M116)</f>
        <v/>
      </c>
    </row>
    <row r="117">
      <c r="A117" s="36" t="inlineStr">
        <is>
          <t>Transactions</t>
        </is>
      </c>
      <c r="B117" s="37" t="n">
        <v>62.18</v>
      </c>
      <c r="C117" s="37" t="n">
        <v>54.82</v>
      </c>
      <c r="D117" s="37" t="n">
        <v>60.58</v>
      </c>
      <c r="E117" s="37" t="n">
        <v>57.27</v>
      </c>
      <c r="F117" s="37" t="n">
        <v>60.68</v>
      </c>
      <c r="G117" s="37" t="n">
        <v>61.87</v>
      </c>
      <c r="H117" s="37" t="n">
        <v>69.69</v>
      </c>
      <c r="I117" s="37" t="n">
        <v>73.31</v>
      </c>
      <c r="J117" s="37" t="n">
        <v>61.25</v>
      </c>
      <c r="K117" s="37" t="n">
        <v>77.92</v>
      </c>
      <c r="L117" s="37" t="n">
        <v>79.72</v>
      </c>
      <c r="M117" s="37" t="n">
        <v>67.33</v>
      </c>
      <c r="N117" s="37">
        <f>SUM(B117:D117)</f>
        <v/>
      </c>
      <c r="O117" s="37">
        <f>SUM(E117:G117)</f>
        <v/>
      </c>
      <c r="P117" s="37">
        <f>SUM(H117:J117)</f>
        <v/>
      </c>
      <c r="Q117" s="37">
        <f>SUM(K117:M117)</f>
        <v/>
      </c>
      <c r="R117" s="37">
        <f>SUM(B117:M117)</f>
        <v/>
      </c>
    </row>
    <row r="118">
      <c r="A118" s="38" t="inlineStr">
        <is>
          <t>Services</t>
        </is>
      </c>
      <c r="B118" s="39" t="n">
        <v>19.89</v>
      </c>
      <c r="C118" s="39" t="n">
        <v>23.81</v>
      </c>
      <c r="D118" s="39" t="n">
        <v>31.96</v>
      </c>
      <c r="E118" s="39" t="n">
        <v>23.98</v>
      </c>
      <c r="F118" s="39" t="n">
        <v>33.44</v>
      </c>
      <c r="G118" s="39" t="n">
        <v>33.7</v>
      </c>
      <c r="H118" s="39" t="n">
        <v>26.31</v>
      </c>
      <c r="I118" s="39" t="n">
        <v>25.19</v>
      </c>
      <c r="J118" s="39" t="n">
        <v>36.45</v>
      </c>
      <c r="K118" s="39" t="n">
        <v>15.55</v>
      </c>
      <c r="L118" s="39" t="n">
        <v>14.7</v>
      </c>
      <c r="M118" s="39" t="n">
        <v>30.48</v>
      </c>
      <c r="N118" s="39">
        <f>SUM(B118:D118)</f>
        <v/>
      </c>
      <c r="O118" s="39">
        <f>SUM(E118:G118)</f>
        <v/>
      </c>
      <c r="P118" s="39">
        <f>SUM(H118:J118)</f>
        <v/>
      </c>
      <c r="Q118" s="39">
        <f>SUM(K118:M118)</f>
        <v/>
      </c>
      <c r="R118" s="39">
        <f>SUM(B118:M118)</f>
        <v/>
      </c>
    </row>
    <row r="119">
      <c r="A119" s="54" t="inlineStr">
        <is>
          <t>Revenue</t>
        </is>
      </c>
      <c r="B119" s="76">
        <f>B116+B117+B118</f>
        <v/>
      </c>
      <c r="C119" s="76">
        <f>C116+C117+C118</f>
        <v/>
      </c>
      <c r="D119" s="76">
        <f>D116+D117+D118</f>
        <v/>
      </c>
      <c r="E119" s="76">
        <f>E116+E117+E118</f>
        <v/>
      </c>
      <c r="F119" s="76">
        <f>F116+F117+F118</f>
        <v/>
      </c>
      <c r="G119" s="76">
        <f>G116+G117+G118</f>
        <v/>
      </c>
      <c r="H119" s="76">
        <f>H116+H117+H118</f>
        <v/>
      </c>
      <c r="I119" s="76">
        <f>I116+I117+I118</f>
        <v/>
      </c>
      <c r="J119" s="76">
        <f>J116+J117+J118</f>
        <v/>
      </c>
      <c r="K119" s="76">
        <f>K116+K117+K118</f>
        <v/>
      </c>
      <c r="L119" s="76">
        <f>L116+L117+L118</f>
        <v/>
      </c>
      <c r="M119" s="76">
        <f>M116+M117+M118</f>
        <v/>
      </c>
      <c r="N119" s="76">
        <f>SUM(B119:D119)</f>
        <v/>
      </c>
      <c r="O119" s="76">
        <f>SUM(E119:G119)</f>
        <v/>
      </c>
      <c r="P119" s="76">
        <f>SUM(H119:J119)</f>
        <v/>
      </c>
      <c r="Q119" s="76">
        <f>SUM(K119:M119)</f>
        <v/>
      </c>
      <c r="R119" s="76">
        <f>SUM(B119:M119)</f>
        <v/>
      </c>
    </row>
    <row r="120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</row>
    <row r="121">
      <c r="A121" s="45" t="inlineStr">
        <is>
          <t>Cost of Revenue</t>
        </is>
      </c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</row>
    <row r="122">
      <c r="A122" s="36" t="inlineStr">
        <is>
          <t>NetOps</t>
        </is>
      </c>
      <c r="B122" s="37" t="n">
        <v>64.11</v>
      </c>
      <c r="C122" s="37" t="n">
        <v>66.95999999999999</v>
      </c>
      <c r="D122" s="37" t="n">
        <v>66.86</v>
      </c>
      <c r="E122" s="37" t="n">
        <v>70.38</v>
      </c>
      <c r="F122" s="37" t="n">
        <v>67.22</v>
      </c>
      <c r="G122" s="37" t="n">
        <v>70.06</v>
      </c>
      <c r="H122" s="37" t="n">
        <v>70.58</v>
      </c>
      <c r="I122" s="37" t="n">
        <v>76.72</v>
      </c>
      <c r="J122" s="37" t="n">
        <v>73.77</v>
      </c>
      <c r="K122" s="37" t="n">
        <v>83.72</v>
      </c>
      <c r="L122" s="37" t="n">
        <v>84.98999999999999</v>
      </c>
      <c r="M122" s="37" t="n">
        <v>79.81</v>
      </c>
      <c r="N122" s="37">
        <f>SUM(B122:D122)</f>
        <v/>
      </c>
      <c r="O122" s="37">
        <f>SUM(E122:G122)</f>
        <v/>
      </c>
      <c r="P122" s="37">
        <f>SUM(H122:J122)</f>
        <v/>
      </c>
      <c r="Q122" s="37">
        <f>SUM(K122:M122)</f>
        <v/>
      </c>
      <c r="R122" s="37">
        <f>SUM(B122:M122)</f>
        <v/>
      </c>
    </row>
    <row r="123">
      <c r="A123" s="38" t="inlineStr">
        <is>
          <t>Security</t>
        </is>
      </c>
      <c r="B123" s="39" t="n">
        <v>16.68</v>
      </c>
      <c r="C123" s="39" t="n">
        <v>17.42</v>
      </c>
      <c r="D123" s="39" t="n">
        <v>16.02</v>
      </c>
      <c r="E123" s="39" t="n">
        <v>15.82</v>
      </c>
      <c r="F123" s="39" t="n">
        <v>15.73</v>
      </c>
      <c r="G123" s="39" t="n">
        <v>17.61</v>
      </c>
      <c r="H123" s="39" t="n">
        <v>17.37</v>
      </c>
      <c r="I123" s="39" t="n">
        <v>17.75</v>
      </c>
      <c r="J123" s="39" t="n">
        <v>18.71</v>
      </c>
      <c r="K123" s="39" t="n">
        <v>19.04</v>
      </c>
      <c r="L123" s="39" t="n">
        <v>20.28</v>
      </c>
      <c r="M123" s="39" t="n">
        <v>20.17</v>
      </c>
      <c r="N123" s="39">
        <f>SUM(B123:D123)</f>
        <v/>
      </c>
      <c r="O123" s="39">
        <f>SUM(E123:G123)</f>
        <v/>
      </c>
      <c r="P123" s="39">
        <f>SUM(H123:J123)</f>
        <v/>
      </c>
      <c r="Q123" s="39">
        <f>SUM(K123:M123)</f>
        <v/>
      </c>
      <c r="R123" s="39">
        <f>SUM(B123:M123)</f>
        <v/>
      </c>
    </row>
    <row r="124">
      <c r="A124" s="36" t="inlineStr">
        <is>
          <t>Support</t>
        </is>
      </c>
      <c r="B124" s="37" t="n">
        <v>25.86</v>
      </c>
      <c r="C124" s="37" t="n">
        <v>28.5</v>
      </c>
      <c r="D124" s="37" t="n">
        <v>28.75</v>
      </c>
      <c r="E124" s="37" t="n">
        <v>27.96</v>
      </c>
      <c r="F124" s="37" t="n">
        <v>25.71</v>
      </c>
      <c r="G124" s="37" t="n">
        <v>30.23</v>
      </c>
      <c r="H124" s="37" t="n">
        <v>28.46</v>
      </c>
      <c r="I124" s="37" t="n">
        <v>29.44</v>
      </c>
      <c r="J124" s="37" t="n">
        <v>30.3</v>
      </c>
      <c r="K124" s="37" t="n">
        <v>32.7</v>
      </c>
      <c r="L124" s="37" t="n">
        <v>33.19</v>
      </c>
      <c r="M124" s="37" t="n">
        <v>32.67</v>
      </c>
      <c r="N124" s="37">
        <f>SUM(B124:D124)</f>
        <v/>
      </c>
      <c r="O124" s="37">
        <f>SUM(E124:G124)</f>
        <v/>
      </c>
      <c r="P124" s="37">
        <f>SUM(H124:J124)</f>
        <v/>
      </c>
      <c r="Q124" s="37">
        <f>SUM(K124:M124)</f>
        <v/>
      </c>
      <c r="R124" s="37">
        <f>SUM(B124:M124)</f>
        <v/>
      </c>
    </row>
    <row r="125">
      <c r="A125" s="38" t="inlineStr">
        <is>
          <t>Partners</t>
        </is>
      </c>
      <c r="B125" s="39" t="n">
        <v>11.15</v>
      </c>
      <c r="C125" s="39" t="n">
        <v>11.46</v>
      </c>
      <c r="D125" s="39" t="n">
        <v>10.67</v>
      </c>
      <c r="E125" s="39" t="n">
        <v>11.58</v>
      </c>
      <c r="F125" s="39" t="n">
        <v>10.83</v>
      </c>
      <c r="G125" s="39" t="n">
        <v>11.91</v>
      </c>
      <c r="H125" s="39" t="n">
        <v>11.3</v>
      </c>
      <c r="I125" s="39" t="n">
        <v>11.88</v>
      </c>
      <c r="J125" s="39" t="n">
        <v>12.49</v>
      </c>
      <c r="K125" s="39" t="n">
        <v>13.87</v>
      </c>
      <c r="L125" s="39" t="n">
        <v>12.96</v>
      </c>
      <c r="M125" s="39" t="n">
        <v>13.69</v>
      </c>
      <c r="N125" s="39">
        <f>SUM(B125:D125)</f>
        <v/>
      </c>
      <c r="O125" s="39">
        <f>SUM(E125:G125)</f>
        <v/>
      </c>
      <c r="P125" s="39">
        <f>SUM(H125:J125)</f>
        <v/>
      </c>
      <c r="Q125" s="39">
        <f>SUM(K125:M125)</f>
        <v/>
      </c>
      <c r="R125" s="39">
        <f>SUM(B125:M125)</f>
        <v/>
      </c>
    </row>
    <row r="126">
      <c r="A126" s="36" t="inlineStr">
        <is>
          <t>Content</t>
        </is>
      </c>
      <c r="B126" s="37" t="n">
        <v>2.16</v>
      </c>
      <c r="C126" s="37" t="n">
        <v>2.22</v>
      </c>
      <c r="D126" s="37" t="n">
        <v>2.21</v>
      </c>
      <c r="E126" s="37" t="n">
        <v>2.27</v>
      </c>
      <c r="F126" s="37" t="n">
        <v>2.09</v>
      </c>
      <c r="G126" s="37" t="n">
        <v>2.39</v>
      </c>
      <c r="H126" s="37" t="n">
        <v>2.29</v>
      </c>
      <c r="I126" s="37" t="n">
        <v>2.29</v>
      </c>
      <c r="J126" s="37" t="n">
        <v>2.53</v>
      </c>
      <c r="K126" s="37" t="n">
        <v>2.58</v>
      </c>
      <c r="L126" s="37" t="n">
        <v>2.64</v>
      </c>
      <c r="M126" s="37" t="n">
        <v>2.69</v>
      </c>
      <c r="N126" s="37">
        <f>SUM(B126:D126)</f>
        <v/>
      </c>
      <c r="O126" s="37">
        <f>SUM(E126:G126)</f>
        <v/>
      </c>
      <c r="P126" s="37">
        <f>SUM(H126:J126)</f>
        <v/>
      </c>
      <c r="Q126" s="37">
        <f>SUM(K126:M126)</f>
        <v/>
      </c>
      <c r="R126" s="37">
        <f>SUM(B126:M126)</f>
        <v/>
      </c>
    </row>
    <row r="127">
      <c r="A127" s="54" t="inlineStr">
        <is>
          <t>Cost of Subscription</t>
        </is>
      </c>
      <c r="B127" s="76">
        <f>SUM(B122:B126)</f>
        <v/>
      </c>
      <c r="C127" s="76">
        <f>SUM(C122:C126)</f>
        <v/>
      </c>
      <c r="D127" s="76">
        <f>SUM(D122:D126)</f>
        <v/>
      </c>
      <c r="E127" s="76">
        <f>SUM(E122:E126)</f>
        <v/>
      </c>
      <c r="F127" s="76">
        <f>SUM(F122:F126)</f>
        <v/>
      </c>
      <c r="G127" s="76">
        <f>SUM(G122:G126)</f>
        <v/>
      </c>
      <c r="H127" s="76">
        <f>SUM(H122:H126)</f>
        <v/>
      </c>
      <c r="I127" s="76">
        <f>SUM(I122:I126)</f>
        <v/>
      </c>
      <c r="J127" s="76">
        <f>SUM(J122:J126)</f>
        <v/>
      </c>
      <c r="K127" s="76">
        <f>SUM(K122:K126)</f>
        <v/>
      </c>
      <c r="L127" s="76">
        <f>SUM(L122:L126)</f>
        <v/>
      </c>
      <c r="M127" s="76">
        <f>SUM(M122:M126)</f>
        <v/>
      </c>
      <c r="N127" s="76">
        <f>SUM(B127:D127)</f>
        <v/>
      </c>
      <c r="O127" s="76">
        <f>SUM(E127:G127)</f>
        <v/>
      </c>
      <c r="P127" s="76">
        <f>SUM(H127:J127)</f>
        <v/>
      </c>
      <c r="Q127" s="76">
        <f>SUM(K127:M127)</f>
        <v/>
      </c>
      <c r="R127" s="76">
        <f>SUM(B127:M127)</f>
        <v/>
      </c>
    </row>
    <row r="128">
      <c r="A128" s="38" t="inlineStr">
        <is>
          <t>Cost of Services</t>
        </is>
      </c>
      <c r="B128" s="39" t="n">
        <v>13.59</v>
      </c>
      <c r="C128" s="39" t="n">
        <v>15.71</v>
      </c>
      <c r="D128" s="39" t="n">
        <v>23.27</v>
      </c>
      <c r="E128" s="39" t="n">
        <v>15.39</v>
      </c>
      <c r="F128" s="39" t="n">
        <v>24.3</v>
      </c>
      <c r="G128" s="39" t="n">
        <v>21.67</v>
      </c>
      <c r="H128" s="39" t="n">
        <v>18.72</v>
      </c>
      <c r="I128" s="39" t="n">
        <v>18.5</v>
      </c>
      <c r="J128" s="39" t="n">
        <v>24.25</v>
      </c>
      <c r="K128" s="39" t="n">
        <v>10.96</v>
      </c>
      <c r="L128" s="39" t="n">
        <v>10.26</v>
      </c>
      <c r="M128" s="39" t="n">
        <v>20.41</v>
      </c>
      <c r="N128" s="39">
        <f>SUM(B128:D128)</f>
        <v/>
      </c>
      <c r="O128" s="39">
        <f>SUM(E128:G128)</f>
        <v/>
      </c>
      <c r="P128" s="39">
        <f>SUM(H128:J128)</f>
        <v/>
      </c>
      <c r="Q128" s="39">
        <f>SUM(K128:M128)</f>
        <v/>
      </c>
      <c r="R128" s="39">
        <f>SUM(B128:M128)</f>
        <v/>
      </c>
    </row>
    <row r="129">
      <c r="A129" s="54" t="inlineStr">
        <is>
          <t>Cost of Revenue</t>
        </is>
      </c>
      <c r="B129" s="76">
        <f>B127+B128</f>
        <v/>
      </c>
      <c r="C129" s="76">
        <f>C127+C128</f>
        <v/>
      </c>
      <c r="D129" s="76">
        <f>D127+D128</f>
        <v/>
      </c>
      <c r="E129" s="76">
        <f>E127+E128</f>
        <v/>
      </c>
      <c r="F129" s="76">
        <f>F127+F128</f>
        <v/>
      </c>
      <c r="G129" s="76">
        <f>G127+G128</f>
        <v/>
      </c>
      <c r="H129" s="76">
        <f>H127+H128</f>
        <v/>
      </c>
      <c r="I129" s="76">
        <f>I127+I128</f>
        <v/>
      </c>
      <c r="J129" s="76">
        <f>J127+J128</f>
        <v/>
      </c>
      <c r="K129" s="76">
        <f>K127+K128</f>
        <v/>
      </c>
      <c r="L129" s="76">
        <f>L127+L128</f>
        <v/>
      </c>
      <c r="M129" s="76">
        <f>M127+M128</f>
        <v/>
      </c>
      <c r="N129" s="76">
        <f>SUM(B129:D129)</f>
        <v/>
      </c>
      <c r="O129" s="76">
        <f>SUM(E129:G129)</f>
        <v/>
      </c>
      <c r="P129" s="76">
        <f>SUM(H129:J129)</f>
        <v/>
      </c>
      <c r="Q129" s="76">
        <f>SUM(K129:M129)</f>
        <v/>
      </c>
      <c r="R129" s="76">
        <f>SUM(B129:M129)</f>
        <v/>
      </c>
    </row>
    <row r="130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</row>
    <row r="131">
      <c r="A131" s="36" t="inlineStr">
        <is>
          <t>Subscriptions Contribution</t>
        </is>
      </c>
      <c r="B131" s="37">
        <f>B116-B127</f>
        <v/>
      </c>
      <c r="C131" s="37">
        <f>C116-C127</f>
        <v/>
      </c>
      <c r="D131" s="37">
        <f>D116-D127</f>
        <v/>
      </c>
      <c r="E131" s="37">
        <f>E116-E127</f>
        <v/>
      </c>
      <c r="F131" s="37">
        <f>F116-F127</f>
        <v/>
      </c>
      <c r="G131" s="37">
        <f>G116-G127</f>
        <v/>
      </c>
      <c r="H131" s="37">
        <f>H116-H127</f>
        <v/>
      </c>
      <c r="I131" s="37">
        <f>I116-I127</f>
        <v/>
      </c>
      <c r="J131" s="37">
        <f>J116-J127</f>
        <v/>
      </c>
      <c r="K131" s="37">
        <f>K116-K127</f>
        <v/>
      </c>
      <c r="L131" s="37">
        <f>L116-L127</f>
        <v/>
      </c>
      <c r="M131" s="37">
        <f>M116-M127</f>
        <v/>
      </c>
      <c r="N131" s="37">
        <f>SUM(B131:D131)</f>
        <v/>
      </c>
      <c r="O131" s="37">
        <f>SUM(E131:G131)</f>
        <v/>
      </c>
      <c r="P131" s="37">
        <f>SUM(H131:J131)</f>
        <v/>
      </c>
      <c r="Q131" s="37">
        <f>SUM(K131:M131)</f>
        <v/>
      </c>
      <c r="R131" s="37">
        <f>SUM(B131:M131)</f>
        <v/>
      </c>
    </row>
    <row r="132">
      <c r="A132" s="38" t="inlineStr">
        <is>
          <t>Services Contribution</t>
        </is>
      </c>
      <c r="B132" s="39">
        <f>B118-B128</f>
        <v/>
      </c>
      <c r="C132" s="39">
        <f>C118-C128</f>
        <v/>
      </c>
      <c r="D132" s="39">
        <f>D118-D128</f>
        <v/>
      </c>
      <c r="E132" s="39">
        <f>E118-E128</f>
        <v/>
      </c>
      <c r="F132" s="39">
        <f>F118-F128</f>
        <v/>
      </c>
      <c r="G132" s="39">
        <f>G118-G128</f>
        <v/>
      </c>
      <c r="H132" s="39">
        <f>H118-H128</f>
        <v/>
      </c>
      <c r="I132" s="39">
        <f>I118-I128</f>
        <v/>
      </c>
      <c r="J132" s="39">
        <f>J118-J128</f>
        <v/>
      </c>
      <c r="K132" s="39">
        <f>K118-K128</f>
        <v/>
      </c>
      <c r="L132" s="39">
        <f>L118-L128</f>
        <v/>
      </c>
      <c r="M132" s="39">
        <f>M118-M128</f>
        <v/>
      </c>
      <c r="N132" s="39">
        <f>SUM(B132:D132)</f>
        <v/>
      </c>
      <c r="O132" s="39">
        <f>SUM(E132:G132)</f>
        <v/>
      </c>
      <c r="P132" s="39">
        <f>SUM(H132:J132)</f>
        <v/>
      </c>
      <c r="Q132" s="39">
        <f>SUM(K132:M132)</f>
        <v/>
      </c>
      <c r="R132" s="39">
        <f>SUM(B132:M132)</f>
        <v/>
      </c>
    </row>
    <row r="133">
      <c r="A133" s="54" t="inlineStr">
        <is>
          <t>Contribution Margin</t>
        </is>
      </c>
      <c r="B133" s="76">
        <f>B131+B132</f>
        <v/>
      </c>
      <c r="C133" s="76">
        <f>C131+C132</f>
        <v/>
      </c>
      <c r="D133" s="76">
        <f>D131+D132</f>
        <v/>
      </c>
      <c r="E133" s="76">
        <f>E131+E132</f>
        <v/>
      </c>
      <c r="F133" s="76">
        <f>F131+F132</f>
        <v/>
      </c>
      <c r="G133" s="76">
        <f>G131+G132</f>
        <v/>
      </c>
      <c r="H133" s="76">
        <f>H131+H132</f>
        <v/>
      </c>
      <c r="I133" s="76">
        <f>I131+I132</f>
        <v/>
      </c>
      <c r="J133" s="76">
        <f>J131+J132</f>
        <v/>
      </c>
      <c r="K133" s="76">
        <f>K131+K132</f>
        <v/>
      </c>
      <c r="L133" s="76">
        <f>L131+L132</f>
        <v/>
      </c>
      <c r="M133" s="76">
        <f>M131+M132</f>
        <v/>
      </c>
      <c r="N133" s="76">
        <f>SUM(B133:D133)</f>
        <v/>
      </c>
      <c r="O133" s="76">
        <f>SUM(E133:G133)</f>
        <v/>
      </c>
      <c r="P133" s="76">
        <f>SUM(H133:J133)</f>
        <v/>
      </c>
      <c r="Q133" s="76">
        <f>SUM(K133:M133)</f>
        <v/>
      </c>
      <c r="R133" s="76">
        <f>SUM(B133:M133)</f>
        <v/>
      </c>
    </row>
    <row r="134">
      <c r="A134" s="36" t="inlineStr">
        <is>
          <t>D&amp;A</t>
        </is>
      </c>
      <c r="B134" s="37" t="n">
        <v>3.51</v>
      </c>
      <c r="C134" s="37" t="n">
        <v>3.56</v>
      </c>
      <c r="D134" s="37" t="n">
        <v>3.7</v>
      </c>
      <c r="E134" s="37" t="n">
        <v>3.58</v>
      </c>
      <c r="F134" s="37" t="n">
        <v>3.61</v>
      </c>
      <c r="G134" s="37" t="n">
        <v>3.84</v>
      </c>
      <c r="H134" s="37" t="n">
        <v>3.73</v>
      </c>
      <c r="I134" s="37" t="n">
        <v>3.97</v>
      </c>
      <c r="J134" s="37" t="n">
        <v>4.03</v>
      </c>
      <c r="K134" s="37" t="n">
        <v>4.25</v>
      </c>
      <c r="L134" s="37" t="n">
        <v>4.26</v>
      </c>
      <c r="M134" s="37" t="n">
        <v>4.3</v>
      </c>
      <c r="N134" s="37">
        <f>SUM(B134:D134)</f>
        <v/>
      </c>
      <c r="O134" s="37">
        <f>SUM(E134:G134)</f>
        <v/>
      </c>
      <c r="P134" s="37">
        <f>SUM(H134:J134)</f>
        <v/>
      </c>
      <c r="Q134" s="37">
        <f>SUM(K134:M134)</f>
        <v/>
      </c>
      <c r="R134" s="37">
        <f>SUM(B134:M134)</f>
        <v/>
      </c>
    </row>
    <row r="135">
      <c r="A135" s="54" t="inlineStr">
        <is>
          <t>Contribution Margin GAAP</t>
        </is>
      </c>
      <c r="B135" s="76">
        <f>B133-B134</f>
        <v/>
      </c>
      <c r="C135" s="76">
        <f>C133-C134</f>
        <v/>
      </c>
      <c r="D135" s="76">
        <f>D133-D134</f>
        <v/>
      </c>
      <c r="E135" s="76">
        <f>E133-E134</f>
        <v/>
      </c>
      <c r="F135" s="76">
        <f>F133-F134</f>
        <v/>
      </c>
      <c r="G135" s="76">
        <f>G133-G134</f>
        <v/>
      </c>
      <c r="H135" s="76">
        <f>H133-H134</f>
        <v/>
      </c>
      <c r="I135" s="76">
        <f>I133-I134</f>
        <v/>
      </c>
      <c r="J135" s="76">
        <f>J133-J134</f>
        <v/>
      </c>
      <c r="K135" s="76">
        <f>K133-K134</f>
        <v/>
      </c>
      <c r="L135" s="76">
        <f>L133-L134</f>
        <v/>
      </c>
      <c r="M135" s="76">
        <f>M133-M134</f>
        <v/>
      </c>
      <c r="N135" s="76">
        <f>SUM(B135:D135)</f>
        <v/>
      </c>
      <c r="O135" s="76">
        <f>SUM(E135:G135)</f>
        <v/>
      </c>
      <c r="P135" s="76">
        <f>SUM(H135:J135)</f>
        <v/>
      </c>
      <c r="Q135" s="76">
        <f>SUM(K135:M135)</f>
        <v/>
      </c>
      <c r="R135" s="76">
        <f>SUM(B135:M135)</f>
        <v/>
      </c>
    </row>
    <row r="136">
      <c r="A136" s="38" t="inlineStr">
        <is>
          <t>Subscription Margin %</t>
        </is>
      </c>
      <c r="B136" s="47">
        <f>IFERROR(B131/B116,0)</f>
        <v/>
      </c>
      <c r="C136" s="47">
        <f>IFERROR(C131/C116,0)</f>
        <v/>
      </c>
      <c r="D136" s="47">
        <f>IFERROR(D131/D116,0)</f>
        <v/>
      </c>
      <c r="E136" s="47">
        <f>IFERROR(E131/E116,0)</f>
        <v/>
      </c>
      <c r="F136" s="47">
        <f>IFERROR(F131/F116,0)</f>
        <v/>
      </c>
      <c r="G136" s="47">
        <f>IFERROR(G131/G116,0)</f>
        <v/>
      </c>
      <c r="H136" s="47">
        <f>IFERROR(H131/H116,0)</f>
        <v/>
      </c>
      <c r="I136" s="47">
        <f>IFERROR(I131/I116,0)</f>
        <v/>
      </c>
      <c r="J136" s="47">
        <f>IFERROR(J131/J116,0)</f>
        <v/>
      </c>
      <c r="K136" s="47">
        <f>IFERROR(K131/K116,0)</f>
        <v/>
      </c>
      <c r="L136" s="47">
        <f>IFERROR(L131/L116,0)</f>
        <v/>
      </c>
      <c r="M136" s="47">
        <f>IFERROR(M131/M116,0)</f>
        <v/>
      </c>
      <c r="N136" s="47">
        <f>IFERROR(N131/N116,0)</f>
        <v/>
      </c>
      <c r="O136" s="47">
        <f>IFERROR(O131/O116,0)</f>
        <v/>
      </c>
      <c r="P136" s="47">
        <f>IFERROR(P131/P116,0)</f>
        <v/>
      </c>
      <c r="Q136" s="47">
        <f>IFERROR(Q131/Q116,0)</f>
        <v/>
      </c>
      <c r="R136" s="47">
        <f>IFERROR(R131/R116,0)</f>
        <v/>
      </c>
    </row>
    <row r="137">
      <c r="A137" s="36" t="inlineStr">
        <is>
          <t>Services Margin %</t>
        </is>
      </c>
      <c r="B137" s="49">
        <f>IFERROR(B132/B118,0)</f>
        <v/>
      </c>
      <c r="C137" s="49">
        <f>IFERROR(C132/C118,0)</f>
        <v/>
      </c>
      <c r="D137" s="49">
        <f>IFERROR(D132/D118,0)</f>
        <v/>
      </c>
      <c r="E137" s="49">
        <f>IFERROR(E132/E118,0)</f>
        <v/>
      </c>
      <c r="F137" s="49">
        <f>IFERROR(F132/F118,0)</f>
        <v/>
      </c>
      <c r="G137" s="49">
        <f>IFERROR(G132/G118,0)</f>
        <v/>
      </c>
      <c r="H137" s="49">
        <f>IFERROR(H132/H118,0)</f>
        <v/>
      </c>
      <c r="I137" s="49">
        <f>IFERROR(I132/I118,0)</f>
        <v/>
      </c>
      <c r="J137" s="49">
        <f>IFERROR(J132/J118,0)</f>
        <v/>
      </c>
      <c r="K137" s="49">
        <f>IFERROR(K132/K118,0)</f>
        <v/>
      </c>
      <c r="L137" s="49">
        <f>IFERROR(L132/L118,0)</f>
        <v/>
      </c>
      <c r="M137" s="49">
        <f>IFERROR(M132/M118,0)</f>
        <v/>
      </c>
      <c r="N137" s="49">
        <f>IFERROR(N132/N118,0)</f>
        <v/>
      </c>
      <c r="O137" s="49">
        <f>IFERROR(O132/O118,0)</f>
        <v/>
      </c>
      <c r="P137" s="49">
        <f>IFERROR(P132/P118,0)</f>
        <v/>
      </c>
      <c r="Q137" s="49">
        <f>IFERROR(Q132/Q118,0)</f>
        <v/>
      </c>
      <c r="R137" s="49">
        <f>IFERROR(R132/R118,0)</f>
        <v/>
      </c>
    </row>
    <row r="138">
      <c r="A138" s="38" t="inlineStr">
        <is>
          <t>Total Margin %</t>
        </is>
      </c>
      <c r="B138" s="47">
        <f>IFERROR(B133/B119,0)</f>
        <v/>
      </c>
      <c r="C138" s="47">
        <f>IFERROR(C133/C119,0)</f>
        <v/>
      </c>
      <c r="D138" s="47">
        <f>IFERROR(D133/D119,0)</f>
        <v/>
      </c>
      <c r="E138" s="47">
        <f>IFERROR(E133/E119,0)</f>
        <v/>
      </c>
      <c r="F138" s="47">
        <f>IFERROR(F133/F119,0)</f>
        <v/>
      </c>
      <c r="G138" s="47">
        <f>IFERROR(G133/G119,0)</f>
        <v/>
      </c>
      <c r="H138" s="47">
        <f>IFERROR(H133/H119,0)</f>
        <v/>
      </c>
      <c r="I138" s="47">
        <f>IFERROR(I133/I119,0)</f>
        <v/>
      </c>
      <c r="J138" s="47">
        <f>IFERROR(J133/J119,0)</f>
        <v/>
      </c>
      <c r="K138" s="47">
        <f>IFERROR(K133/K119,0)</f>
        <v/>
      </c>
      <c r="L138" s="47">
        <f>IFERROR(L133/L119,0)</f>
        <v/>
      </c>
      <c r="M138" s="47">
        <f>IFERROR(M133/M119,0)</f>
        <v/>
      </c>
      <c r="N138" s="47">
        <f>IFERROR(N133/N119,0)</f>
        <v/>
      </c>
      <c r="O138" s="47">
        <f>IFERROR(O133/O119,0)</f>
        <v/>
      </c>
      <c r="P138" s="47">
        <f>IFERROR(P133/P119,0)</f>
        <v/>
      </c>
      <c r="Q138" s="47">
        <f>IFERROR(Q133/Q119,0)</f>
        <v/>
      </c>
      <c r="R138" s="47">
        <f>IFERROR(R133/R119,0)</f>
        <v/>
      </c>
    </row>
    <row r="139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</row>
    <row r="140">
      <c r="A140" s="45" t="inlineStr">
        <is>
          <t>R&amp;D</t>
        </is>
      </c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</row>
    <row r="141">
      <c r="A141" s="36" t="inlineStr">
        <is>
          <t>R&amp;D (includes Cap Software)</t>
        </is>
      </c>
      <c r="B141" s="37" t="n">
        <v>48.74</v>
      </c>
      <c r="C141" s="37" t="n">
        <v>55.96</v>
      </c>
      <c r="D141" s="37" t="n">
        <v>53.56</v>
      </c>
      <c r="E141" s="37" t="n">
        <v>55.6</v>
      </c>
      <c r="F141" s="37" t="n">
        <v>55.46</v>
      </c>
      <c r="G141" s="37" t="n">
        <v>55.02</v>
      </c>
      <c r="H141" s="37" t="n">
        <v>55.68</v>
      </c>
      <c r="I141" s="37" t="n">
        <v>58</v>
      </c>
      <c r="J141" s="37" t="n">
        <v>56.77</v>
      </c>
      <c r="K141" s="37" t="n">
        <v>66.39</v>
      </c>
      <c r="L141" s="37" t="n">
        <v>66.22</v>
      </c>
      <c r="M141" s="37" t="n">
        <v>60.35</v>
      </c>
      <c r="N141" s="37">
        <f>SUM(B141:D141)</f>
        <v/>
      </c>
      <c r="O141" s="37">
        <f>SUM(E141:G141)</f>
        <v/>
      </c>
      <c r="P141" s="37">
        <f>SUM(H141:J141)</f>
        <v/>
      </c>
      <c r="Q141" s="37">
        <f>SUM(K141:M141)</f>
        <v/>
      </c>
      <c r="R141" s="37">
        <f>SUM(B141:M141)</f>
        <v/>
      </c>
    </row>
    <row r="142">
      <c r="A142" s="38" t="inlineStr">
        <is>
          <t>Research &amp; Development</t>
        </is>
      </c>
      <c r="B142" s="39" t="n">
        <v>32.41</v>
      </c>
      <c r="C142" s="39" t="n">
        <v>40.07</v>
      </c>
      <c r="D142" s="39" t="n">
        <v>40.12</v>
      </c>
      <c r="E142" s="39" t="n">
        <v>38.98</v>
      </c>
      <c r="F142" s="39" t="n">
        <v>38.87</v>
      </c>
      <c r="G142" s="39" t="n">
        <v>37.46</v>
      </c>
      <c r="H142" s="39" t="n">
        <v>38.8</v>
      </c>
      <c r="I142" s="39" t="n">
        <v>39.42</v>
      </c>
      <c r="J142" s="39" t="n">
        <v>41.48</v>
      </c>
      <c r="K142" s="39" t="n">
        <v>48.56</v>
      </c>
      <c r="L142" s="39" t="n">
        <v>43.2</v>
      </c>
      <c r="M142" s="39" t="n">
        <v>44.09</v>
      </c>
      <c r="N142" s="39">
        <f>SUM(B142:D142)</f>
        <v/>
      </c>
      <c r="O142" s="39">
        <f>SUM(E142:G142)</f>
        <v/>
      </c>
      <c r="P142" s="39">
        <f>SUM(H142:J142)</f>
        <v/>
      </c>
      <c r="Q142" s="39">
        <f>SUM(K142:M142)</f>
        <v/>
      </c>
      <c r="R142" s="39">
        <f>SUM(B142:M142)</f>
        <v/>
      </c>
    </row>
    <row r="143">
      <c r="A143" s="36" t="inlineStr">
        <is>
          <t>Capitalized R&amp;D</t>
        </is>
      </c>
      <c r="B143" s="37" t="n">
        <v>-16.33</v>
      </c>
      <c r="C143" s="37" t="n">
        <v>-15.89</v>
      </c>
      <c r="D143" s="37" t="n">
        <v>-13.44</v>
      </c>
      <c r="E143" s="37" t="n">
        <v>-16.62</v>
      </c>
      <c r="F143" s="37" t="n">
        <v>-16.59</v>
      </c>
      <c r="G143" s="37" t="n">
        <v>-17.56</v>
      </c>
      <c r="H143" s="37" t="n">
        <v>-16.88</v>
      </c>
      <c r="I143" s="37" t="n">
        <v>-18.58</v>
      </c>
      <c r="J143" s="37" t="n">
        <v>-15.29</v>
      </c>
      <c r="K143" s="37" t="n">
        <v>-17.83</v>
      </c>
      <c r="L143" s="37" t="n">
        <v>-23.02</v>
      </c>
      <c r="M143" s="37" t="n">
        <v>-16.26</v>
      </c>
      <c r="N143" s="37">
        <f>SUM(B143:D143)</f>
        <v/>
      </c>
      <c r="O143" s="37">
        <f>SUM(E143:G143)</f>
        <v/>
      </c>
      <c r="P143" s="37">
        <f>SUM(H143:J143)</f>
        <v/>
      </c>
      <c r="Q143" s="37">
        <f>SUM(K143:M143)</f>
        <v/>
      </c>
      <c r="R143" s="37">
        <f>SUM(B143:M143)</f>
        <v/>
      </c>
    </row>
    <row r="144">
      <c r="A144" s="38" t="inlineStr">
        <is>
          <t>Product Management</t>
        </is>
      </c>
      <c r="B144" s="39" t="n">
        <v>16.45</v>
      </c>
      <c r="C144" s="39" t="n">
        <v>19.16</v>
      </c>
      <c r="D144" s="39" t="n">
        <v>20.18</v>
      </c>
      <c r="E144" s="39" t="n">
        <v>18.83</v>
      </c>
      <c r="F144" s="39" t="n">
        <v>19.12</v>
      </c>
      <c r="G144" s="39" t="n">
        <v>18.45</v>
      </c>
      <c r="H144" s="39" t="n">
        <v>18.36</v>
      </c>
      <c r="I144" s="39" t="n">
        <v>18.96</v>
      </c>
      <c r="J144" s="39" t="n">
        <v>18.61</v>
      </c>
      <c r="K144" s="39" t="n">
        <v>20.03</v>
      </c>
      <c r="L144" s="39" t="n">
        <v>21.41</v>
      </c>
      <c r="M144" s="39" t="n">
        <v>20.32</v>
      </c>
      <c r="N144" s="39">
        <f>SUM(B144:D144)</f>
        <v/>
      </c>
      <c r="O144" s="39">
        <f>SUM(E144:G144)</f>
        <v/>
      </c>
      <c r="P144" s="39">
        <f>SUM(H144:J144)</f>
        <v/>
      </c>
      <c r="Q144" s="39">
        <f>SUM(K144:M144)</f>
        <v/>
      </c>
      <c r="R144" s="39">
        <f>SUM(B144:M144)</f>
        <v/>
      </c>
    </row>
    <row r="145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</row>
    <row r="146">
      <c r="A146" s="54" t="inlineStr">
        <is>
          <t>Contribution Margin + R&amp;D $</t>
        </is>
      </c>
      <c r="B146" s="76">
        <f>B133-B141-B144</f>
        <v/>
      </c>
      <c r="C146" s="76">
        <f>C133-C141-C144</f>
        <v/>
      </c>
      <c r="D146" s="76">
        <f>D133-D141-D144</f>
        <v/>
      </c>
      <c r="E146" s="76">
        <f>E133-E141-E144</f>
        <v/>
      </c>
      <c r="F146" s="76">
        <f>F133-F141-F144</f>
        <v/>
      </c>
      <c r="G146" s="76">
        <f>G133-G141-G144</f>
        <v/>
      </c>
      <c r="H146" s="76">
        <f>H133-H141-H144</f>
        <v/>
      </c>
      <c r="I146" s="76">
        <f>I133-I141-I144</f>
        <v/>
      </c>
      <c r="J146" s="76">
        <f>J133-J141-J144</f>
        <v/>
      </c>
      <c r="K146" s="76">
        <f>K133-K141-K144</f>
        <v/>
      </c>
      <c r="L146" s="76">
        <f>L133-L141-L144</f>
        <v/>
      </c>
      <c r="M146" s="76">
        <f>M133-M141-M144</f>
        <v/>
      </c>
      <c r="N146" s="76">
        <f>SUM(B146:D146)</f>
        <v/>
      </c>
      <c r="O146" s="76">
        <f>SUM(E146:G146)</f>
        <v/>
      </c>
      <c r="P146" s="76">
        <f>SUM(H146:J146)</f>
        <v/>
      </c>
      <c r="Q146" s="76">
        <f>SUM(K146:M146)</f>
        <v/>
      </c>
      <c r="R146" s="76">
        <f>SUM(B146:M146)</f>
        <v/>
      </c>
    </row>
    <row r="147">
      <c r="A147" s="36" t="inlineStr">
        <is>
          <t>Contribution Margin + R&amp;D %</t>
        </is>
      </c>
      <c r="B147" s="49">
        <f>IFERROR(B146/B119,0)</f>
        <v/>
      </c>
      <c r="C147" s="49">
        <f>IFERROR(C146/C119,0)</f>
        <v/>
      </c>
      <c r="D147" s="49">
        <f>IFERROR(D146/D119,0)</f>
        <v/>
      </c>
      <c r="E147" s="49">
        <f>IFERROR(E146/E119,0)</f>
        <v/>
      </c>
      <c r="F147" s="49">
        <f>IFERROR(F146/F119,0)</f>
        <v/>
      </c>
      <c r="G147" s="49">
        <f>IFERROR(G146/G119,0)</f>
        <v/>
      </c>
      <c r="H147" s="49">
        <f>IFERROR(H146/H119,0)</f>
        <v/>
      </c>
      <c r="I147" s="49">
        <f>IFERROR(I146/I119,0)</f>
        <v/>
      </c>
      <c r="J147" s="49">
        <f>IFERROR(J146/J119,0)</f>
        <v/>
      </c>
      <c r="K147" s="49">
        <f>IFERROR(K146/K119,0)</f>
        <v/>
      </c>
      <c r="L147" s="49">
        <f>IFERROR(L146/L119,0)</f>
        <v/>
      </c>
      <c r="M147" s="49">
        <f>IFERROR(M146/M119,0)</f>
        <v/>
      </c>
      <c r="N147" s="49">
        <f>IFERROR(N146/N119,0)</f>
        <v/>
      </c>
      <c r="O147" s="49">
        <f>IFERROR(O146/O119,0)</f>
        <v/>
      </c>
      <c r="P147" s="49">
        <f>IFERROR(P146/P119,0)</f>
        <v/>
      </c>
      <c r="Q147" s="49">
        <f>IFERROR(Q146/Q119,0)</f>
        <v/>
      </c>
      <c r="R147" s="49">
        <f>IFERROR(R146/R119,0)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E37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38" customWidth="1" min="1" max="1"/>
    <col width="22" customWidth="1" min="2" max="5"/>
    <col width="22" customWidth="1" min="3" max="3"/>
    <col width="22" customWidth="1" min="4" max="4"/>
    <col width="22" customWidth="1" min="5" max="5"/>
  </cols>
  <sheetData>
    <row r="1" ht="15.5" customHeight="1">
      <c r="A1" s="42" t="inlineStr">
        <is>
          <t>Keystone BenefitTech, Inc.</t>
        </is>
      </c>
      <c r="E1" s="43" t="inlineStr">
        <is>
          <t>Last Updated: 2026-02-28</t>
        </is>
      </c>
    </row>
    <row r="2">
      <c r="A2" s="44" t="inlineStr">
        <is>
          <t>Functional P&amp;L Summary — January 2025</t>
        </is>
      </c>
    </row>
    <row r="4">
      <c r="A4" s="34" t="inlineStr">
        <is>
          <t>Line Item</t>
        </is>
      </c>
      <c r="B4" s="35" t="inlineStr">
        <is>
          <t>iGO</t>
        </is>
      </c>
      <c r="C4" s="35" t="inlineStr">
        <is>
          <t>Affirm</t>
        </is>
      </c>
      <c r="D4" s="35" t="inlineStr">
        <is>
          <t>InsureSight</t>
        </is>
      </c>
      <c r="E4" s="35" t="inlineStr">
        <is>
          <t>US</t>
        </is>
      </c>
    </row>
    <row r="5">
      <c r="A5" s="45" t="inlineStr">
        <is>
          <t>Revenue</t>
        </is>
      </c>
      <c r="B5" s="45" t="n"/>
      <c r="C5" s="45" t="n"/>
      <c r="D5" s="45" t="n"/>
      <c r="E5" s="45" t="n"/>
    </row>
    <row r="6">
      <c r="A6" s="36" t="inlineStr">
        <is>
          <t>Subscription</t>
        </is>
      </c>
      <c r="B6" s="37">
        <f>'Functional P&amp;L - Monthly Trend'!B8</f>
        <v/>
      </c>
      <c r="C6" s="37">
        <f>'Functional P&amp;L - Monthly Trend'!B44</f>
        <v/>
      </c>
      <c r="D6" s="37">
        <f>'Functional P&amp;L - Monthly Trend'!B80</f>
        <v/>
      </c>
      <c r="E6" s="37">
        <f>SUM(B6:D6)</f>
        <v/>
      </c>
    </row>
    <row r="7">
      <c r="A7" s="38" t="inlineStr">
        <is>
          <t>Transactions</t>
        </is>
      </c>
      <c r="B7" s="39">
        <f>'Functional P&amp;L - Monthly Trend'!B9</f>
        <v/>
      </c>
      <c r="C7" s="39">
        <f>'Functional P&amp;L - Monthly Trend'!B45</f>
        <v/>
      </c>
      <c r="D7" s="39">
        <f>'Functional P&amp;L - Monthly Trend'!B81</f>
        <v/>
      </c>
      <c r="E7" s="39">
        <f>SUM(B7:D7)</f>
        <v/>
      </c>
    </row>
    <row r="8">
      <c r="A8" s="36" t="inlineStr">
        <is>
          <t>Services</t>
        </is>
      </c>
      <c r="B8" s="37">
        <f>'Functional P&amp;L - Monthly Trend'!B10</f>
        <v/>
      </c>
      <c r="C8" s="37">
        <f>'Functional P&amp;L - Monthly Trend'!B46</f>
        <v/>
      </c>
      <c r="D8" s="37">
        <f>'Functional P&amp;L - Monthly Trend'!B82</f>
        <v/>
      </c>
      <c r="E8" s="37">
        <f>SUM(B8:D8)</f>
        <v/>
      </c>
    </row>
    <row r="9">
      <c r="A9" s="54" t="inlineStr">
        <is>
          <t>Revenue</t>
        </is>
      </c>
      <c r="B9" s="76">
        <f>'Functional P&amp;L - Monthly Trend'!B11</f>
        <v/>
      </c>
      <c r="C9" s="76">
        <f>'Functional P&amp;L - Monthly Trend'!B47</f>
        <v/>
      </c>
      <c r="D9" s="76">
        <f>'Functional P&amp;L - Monthly Trend'!B83</f>
        <v/>
      </c>
      <c r="E9" s="76">
        <f>SUM(B9:D9)</f>
        <v/>
      </c>
    </row>
    <row r="10">
      <c r="A10" s="51" t="n"/>
      <c r="B10" s="51" t="n"/>
      <c r="C10" s="51" t="n"/>
      <c r="D10" s="51" t="n"/>
      <c r="E10" s="51" t="n"/>
    </row>
    <row r="11">
      <c r="A11" s="45" t="inlineStr">
        <is>
          <t>Cost of Revenue</t>
        </is>
      </c>
      <c r="B11" s="45" t="n"/>
      <c r="C11" s="45" t="n"/>
      <c r="D11" s="45" t="n"/>
      <c r="E11" s="45" t="n"/>
    </row>
    <row r="12">
      <c r="A12" s="38" t="inlineStr">
        <is>
          <t>NetOps</t>
        </is>
      </c>
      <c r="B12" s="39">
        <f>'Functional P&amp;L - Monthly Trend'!B14</f>
        <v/>
      </c>
      <c r="C12" s="39">
        <f>'Functional P&amp;L - Monthly Trend'!B50</f>
        <v/>
      </c>
      <c r="D12" s="39">
        <f>'Functional P&amp;L - Monthly Trend'!B86</f>
        <v/>
      </c>
      <c r="E12" s="39">
        <f>SUM(B12:D12)</f>
        <v/>
      </c>
    </row>
    <row r="13">
      <c r="A13" s="36" t="inlineStr">
        <is>
          <t>Security</t>
        </is>
      </c>
      <c r="B13" s="37">
        <f>'Functional P&amp;L - Monthly Trend'!B15</f>
        <v/>
      </c>
      <c r="C13" s="37">
        <f>'Functional P&amp;L - Monthly Trend'!B51</f>
        <v/>
      </c>
      <c r="D13" s="37">
        <f>'Functional P&amp;L - Monthly Trend'!B87</f>
        <v/>
      </c>
      <c r="E13" s="37">
        <f>SUM(B13:D13)</f>
        <v/>
      </c>
    </row>
    <row r="14">
      <c r="A14" s="38" t="inlineStr">
        <is>
          <t>Support</t>
        </is>
      </c>
      <c r="B14" s="39">
        <f>'Functional P&amp;L - Monthly Trend'!B16</f>
        <v/>
      </c>
      <c r="C14" s="39">
        <f>'Functional P&amp;L - Monthly Trend'!B52</f>
        <v/>
      </c>
      <c r="D14" s="39">
        <f>'Functional P&amp;L - Monthly Trend'!B88</f>
        <v/>
      </c>
      <c r="E14" s="39">
        <f>SUM(B14:D14)</f>
        <v/>
      </c>
    </row>
    <row r="15">
      <c r="A15" s="36" t="inlineStr">
        <is>
          <t>Partners</t>
        </is>
      </c>
      <c r="B15" s="37">
        <f>'Functional P&amp;L - Monthly Trend'!B17</f>
        <v/>
      </c>
      <c r="C15" s="37">
        <f>'Functional P&amp;L - Monthly Trend'!B53</f>
        <v/>
      </c>
      <c r="D15" s="37">
        <f>'Functional P&amp;L - Monthly Trend'!B89</f>
        <v/>
      </c>
      <c r="E15" s="37">
        <f>SUM(B15:D15)</f>
        <v/>
      </c>
    </row>
    <row r="16">
      <c r="A16" s="38" t="inlineStr">
        <is>
          <t>Content</t>
        </is>
      </c>
      <c r="B16" s="39">
        <f>'Functional P&amp;L - Monthly Trend'!B18</f>
        <v/>
      </c>
      <c r="C16" s="39">
        <f>'Functional P&amp;L - Monthly Trend'!B54</f>
        <v/>
      </c>
      <c r="D16" s="39">
        <f>'Functional P&amp;L - Monthly Trend'!B90</f>
        <v/>
      </c>
      <c r="E16" s="39">
        <f>SUM(B16:D16)</f>
        <v/>
      </c>
    </row>
    <row r="17">
      <c r="A17" s="54" t="inlineStr">
        <is>
          <t>Cost of Subscription</t>
        </is>
      </c>
      <c r="B17" s="76">
        <f>'Functional P&amp;L - Monthly Trend'!B19</f>
        <v/>
      </c>
      <c r="C17" s="76">
        <f>'Functional P&amp;L - Monthly Trend'!B55</f>
        <v/>
      </c>
      <c r="D17" s="76">
        <f>'Functional P&amp;L - Monthly Trend'!B91</f>
        <v/>
      </c>
      <c r="E17" s="76">
        <f>SUM(B17:D17)</f>
        <v/>
      </c>
    </row>
    <row r="18">
      <c r="A18" s="36" t="inlineStr">
        <is>
          <t>Cost of Services</t>
        </is>
      </c>
      <c r="B18" s="37">
        <f>'Functional P&amp;L - Monthly Trend'!B20</f>
        <v/>
      </c>
      <c r="C18" s="37">
        <f>'Functional P&amp;L - Monthly Trend'!B56</f>
        <v/>
      </c>
      <c r="D18" s="37">
        <f>'Functional P&amp;L - Monthly Trend'!B92</f>
        <v/>
      </c>
      <c r="E18" s="37">
        <f>SUM(B18:D18)</f>
        <v/>
      </c>
    </row>
    <row r="19">
      <c r="A19" s="54" t="inlineStr">
        <is>
          <t>Cost of Revenue</t>
        </is>
      </c>
      <c r="B19" s="76">
        <f>'Functional P&amp;L - Monthly Trend'!B21</f>
        <v/>
      </c>
      <c r="C19" s="76">
        <f>'Functional P&amp;L - Monthly Trend'!B57</f>
        <v/>
      </c>
      <c r="D19" s="76">
        <f>'Functional P&amp;L - Monthly Trend'!B93</f>
        <v/>
      </c>
      <c r="E19" s="76">
        <f>SUM(B19:D19)</f>
        <v/>
      </c>
    </row>
    <row r="20">
      <c r="A20" s="51" t="n"/>
      <c r="B20" s="51" t="n"/>
      <c r="C20" s="51" t="n"/>
      <c r="D20" s="51" t="n"/>
      <c r="E20" s="51" t="n"/>
    </row>
    <row r="21">
      <c r="A21" s="38" t="inlineStr">
        <is>
          <t>Subscriptions Contribution</t>
        </is>
      </c>
      <c r="B21" s="39">
        <f>'Functional P&amp;L - Monthly Trend'!B23</f>
        <v/>
      </c>
      <c r="C21" s="39">
        <f>'Functional P&amp;L - Monthly Trend'!B59</f>
        <v/>
      </c>
      <c r="D21" s="39">
        <f>'Functional P&amp;L - Monthly Trend'!B95</f>
        <v/>
      </c>
      <c r="E21" s="39">
        <f>SUM(B21:D21)</f>
        <v/>
      </c>
    </row>
    <row r="22">
      <c r="A22" s="36" t="inlineStr">
        <is>
          <t>Services Contribution</t>
        </is>
      </c>
      <c r="B22" s="37">
        <f>'Functional P&amp;L - Monthly Trend'!B24</f>
        <v/>
      </c>
      <c r="C22" s="37">
        <f>'Functional P&amp;L - Monthly Trend'!B60</f>
        <v/>
      </c>
      <c r="D22" s="37">
        <f>'Functional P&amp;L - Monthly Trend'!B96</f>
        <v/>
      </c>
      <c r="E22" s="37">
        <f>SUM(B22:D22)</f>
        <v/>
      </c>
    </row>
    <row r="23">
      <c r="A23" s="54" t="inlineStr">
        <is>
          <t>Contribution Margin</t>
        </is>
      </c>
      <c r="B23" s="76">
        <f>'Functional P&amp;L - Monthly Trend'!B25</f>
        <v/>
      </c>
      <c r="C23" s="76">
        <f>'Functional P&amp;L - Monthly Trend'!B61</f>
        <v/>
      </c>
      <c r="D23" s="76">
        <f>'Functional P&amp;L - Monthly Trend'!B97</f>
        <v/>
      </c>
      <c r="E23" s="76">
        <f>SUM(B23:D23)</f>
        <v/>
      </c>
    </row>
    <row r="24">
      <c r="A24" s="38" t="inlineStr">
        <is>
          <t>D&amp;A</t>
        </is>
      </c>
      <c r="B24" s="39">
        <f>'Functional P&amp;L - Monthly Trend'!B26</f>
        <v/>
      </c>
      <c r="C24" s="39">
        <f>'Functional P&amp;L - Monthly Trend'!B62</f>
        <v/>
      </c>
      <c r="D24" s="39">
        <f>'Functional P&amp;L - Monthly Trend'!B98</f>
        <v/>
      </c>
      <c r="E24" s="39">
        <f>SUM(B24:D24)</f>
        <v/>
      </c>
    </row>
    <row r="25">
      <c r="A25" s="54" t="inlineStr">
        <is>
          <t>Contribution Margin GAAP</t>
        </is>
      </c>
      <c r="B25" s="76">
        <f>'Functional P&amp;L - Monthly Trend'!B27</f>
        <v/>
      </c>
      <c r="C25" s="76">
        <f>'Functional P&amp;L - Monthly Trend'!B63</f>
        <v/>
      </c>
      <c r="D25" s="76">
        <f>'Functional P&amp;L - Monthly Trend'!B99</f>
        <v/>
      </c>
      <c r="E25" s="76">
        <f>SUM(B25:D25)</f>
        <v/>
      </c>
    </row>
    <row r="26">
      <c r="A26" s="36" t="inlineStr">
        <is>
          <t>Subscription Margin %</t>
        </is>
      </c>
      <c r="B26" s="49">
        <f>'Functional P&amp;L - Monthly Trend'!B28</f>
        <v/>
      </c>
      <c r="C26" s="49">
        <f>'Functional P&amp;L - Monthly Trend'!B64</f>
        <v/>
      </c>
      <c r="D26" s="49">
        <f>'Functional P&amp;L - Monthly Trend'!B100</f>
        <v/>
      </c>
      <c r="E26" s="49">
        <f>IFERROR(E21/E6,0)</f>
        <v/>
      </c>
    </row>
    <row r="27">
      <c r="A27" s="38" t="inlineStr">
        <is>
          <t>Services Margin %</t>
        </is>
      </c>
      <c r="B27" s="47">
        <f>'Functional P&amp;L - Monthly Trend'!B29</f>
        <v/>
      </c>
      <c r="C27" s="47">
        <f>'Functional P&amp;L - Monthly Trend'!B65</f>
        <v/>
      </c>
      <c r="D27" s="47">
        <f>'Functional P&amp;L - Monthly Trend'!B101</f>
        <v/>
      </c>
      <c r="E27" s="47">
        <f>IFERROR(E22/E8,0)</f>
        <v/>
      </c>
    </row>
    <row r="28">
      <c r="A28" s="36" t="inlineStr">
        <is>
          <t>Total Margin %</t>
        </is>
      </c>
      <c r="B28" s="49">
        <f>'Functional P&amp;L - Monthly Trend'!B30</f>
        <v/>
      </c>
      <c r="C28" s="49">
        <f>'Functional P&amp;L - Monthly Trend'!B66</f>
        <v/>
      </c>
      <c r="D28" s="49">
        <f>'Functional P&amp;L - Monthly Trend'!B102</f>
        <v/>
      </c>
      <c r="E28" s="49">
        <f>IFERROR(E23/E9,0)</f>
        <v/>
      </c>
    </row>
    <row r="29">
      <c r="A29" s="51" t="n"/>
      <c r="B29" s="51" t="n"/>
      <c r="C29" s="51" t="n"/>
      <c r="D29" s="51" t="n"/>
      <c r="E29" s="51" t="n"/>
    </row>
    <row r="30">
      <c r="A30" s="45" t="inlineStr">
        <is>
          <t>R&amp;D</t>
        </is>
      </c>
      <c r="B30" s="45" t="n"/>
      <c r="C30" s="45" t="n"/>
      <c r="D30" s="45" t="n"/>
      <c r="E30" s="45" t="n"/>
    </row>
    <row r="31">
      <c r="A31" s="38" t="inlineStr">
        <is>
          <t>R&amp;D (includes Cap Software)</t>
        </is>
      </c>
      <c r="B31" s="39">
        <f>'Functional P&amp;L - Monthly Trend'!B33</f>
        <v/>
      </c>
      <c r="C31" s="39">
        <f>'Functional P&amp;L - Monthly Trend'!B69</f>
        <v/>
      </c>
      <c r="D31" s="39">
        <f>'Functional P&amp;L - Monthly Trend'!B105</f>
        <v/>
      </c>
      <c r="E31" s="39">
        <f>SUM(B31:D31)</f>
        <v/>
      </c>
    </row>
    <row r="32">
      <c r="A32" s="36" t="inlineStr">
        <is>
          <t>Research &amp; Development</t>
        </is>
      </c>
      <c r="B32" s="37">
        <f>'Functional P&amp;L - Monthly Trend'!B34</f>
        <v/>
      </c>
      <c r="C32" s="37">
        <f>'Functional P&amp;L - Monthly Trend'!B70</f>
        <v/>
      </c>
      <c r="D32" s="37">
        <f>'Functional P&amp;L - Monthly Trend'!B106</f>
        <v/>
      </c>
      <c r="E32" s="37">
        <f>SUM(B32:D32)</f>
        <v/>
      </c>
    </row>
    <row r="33">
      <c r="A33" s="38" t="inlineStr">
        <is>
          <t>Capitalized R&amp;D</t>
        </is>
      </c>
      <c r="B33" s="39">
        <f>'Functional P&amp;L - Monthly Trend'!B35</f>
        <v/>
      </c>
      <c r="C33" s="39">
        <f>'Functional P&amp;L - Monthly Trend'!B71</f>
        <v/>
      </c>
      <c r="D33" s="39">
        <f>'Functional P&amp;L - Monthly Trend'!B107</f>
        <v/>
      </c>
      <c r="E33" s="39">
        <f>SUM(B33:D33)</f>
        <v/>
      </c>
    </row>
    <row r="34">
      <c r="A34" s="36" t="inlineStr">
        <is>
          <t>Product Management</t>
        </is>
      </c>
      <c r="B34" s="37">
        <f>'Functional P&amp;L - Monthly Trend'!B36</f>
        <v/>
      </c>
      <c r="C34" s="37">
        <f>'Functional P&amp;L - Monthly Trend'!B72</f>
        <v/>
      </c>
      <c r="D34" s="37">
        <f>'Functional P&amp;L - Monthly Trend'!B108</f>
        <v/>
      </c>
      <c r="E34" s="37">
        <f>SUM(B34:D34)</f>
        <v/>
      </c>
    </row>
    <row r="35">
      <c r="A35" s="51" t="n"/>
      <c r="B35" s="51" t="n"/>
      <c r="C35" s="51" t="n"/>
      <c r="D35" s="51" t="n"/>
      <c r="E35" s="51" t="n"/>
    </row>
    <row r="36">
      <c r="A36" s="54" t="inlineStr">
        <is>
          <t>Contribution Margin + R&amp;D $</t>
        </is>
      </c>
      <c r="B36" s="76">
        <f>'Functional P&amp;L - Monthly Trend'!B38</f>
        <v/>
      </c>
      <c r="C36" s="76">
        <f>'Functional P&amp;L - Monthly Trend'!B74</f>
        <v/>
      </c>
      <c r="D36" s="76">
        <f>'Functional P&amp;L - Monthly Trend'!B110</f>
        <v/>
      </c>
      <c r="E36" s="76">
        <f>SUM(B36:D36)</f>
        <v/>
      </c>
    </row>
    <row r="37">
      <c r="A37" s="38" t="inlineStr">
        <is>
          <t>Contribution Margin + R&amp;D %</t>
        </is>
      </c>
      <c r="B37" s="47">
        <f>'Functional P&amp;L - Monthly Trend'!B39</f>
        <v/>
      </c>
      <c r="C37" s="47">
        <f>'Functional P&amp;L - Monthly Trend'!B75</f>
        <v/>
      </c>
      <c r="D37" s="47">
        <f>'Functional P&amp;L - Monthly Trend'!B111</f>
        <v/>
      </c>
      <c r="E37" s="47">
        <f>IFERROR(E36/E9,0)</f>
        <v/>
      </c>
    </row>
  </sheetData>
  <conditionalFormatting sqref="B28:E28">
    <cfRule type="cellIs" priority="2" operator="lessThan" dxfId="2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E37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38" customWidth="1" min="1" max="1"/>
    <col width="22" customWidth="1" min="2" max="5"/>
    <col width="22" customWidth="1" min="3" max="3"/>
    <col width="22" customWidth="1" min="4" max="4"/>
    <col width="22" customWidth="1" min="5" max="5"/>
  </cols>
  <sheetData>
    <row r="1" ht="15.5" customHeight="1">
      <c r="A1" s="42" t="inlineStr">
        <is>
          <t>Keystone BenefitTech, Inc.</t>
        </is>
      </c>
      <c r="E1" s="43" t="inlineStr">
        <is>
          <t>Last Updated: 2026-02-28</t>
        </is>
      </c>
    </row>
    <row r="2">
      <c r="A2" s="44" t="inlineStr">
        <is>
          <t>Functional P&amp;L Summary — February 2025</t>
        </is>
      </c>
    </row>
    <row r="4">
      <c r="A4" s="34" t="inlineStr">
        <is>
          <t>Line Item</t>
        </is>
      </c>
      <c r="B4" s="35" t="inlineStr">
        <is>
          <t>iGO</t>
        </is>
      </c>
      <c r="C4" s="35" t="inlineStr">
        <is>
          <t>Affirm</t>
        </is>
      </c>
      <c r="D4" s="35" t="inlineStr">
        <is>
          <t>InsureSight</t>
        </is>
      </c>
      <c r="E4" s="35" t="inlineStr">
        <is>
          <t>US</t>
        </is>
      </c>
    </row>
    <row r="5">
      <c r="A5" s="45" t="inlineStr">
        <is>
          <t>Revenue</t>
        </is>
      </c>
      <c r="B5" s="45" t="n"/>
      <c r="C5" s="45" t="n"/>
      <c r="D5" s="45" t="n"/>
      <c r="E5" s="45" t="n"/>
    </row>
    <row r="6">
      <c r="A6" s="36" t="inlineStr">
        <is>
          <t>Subscription</t>
        </is>
      </c>
      <c r="B6" s="37">
        <f>'Functional P&amp;L - Monthly Trend'!C8</f>
        <v/>
      </c>
      <c r="C6" s="37">
        <f>'Functional P&amp;L - Monthly Trend'!C44</f>
        <v/>
      </c>
      <c r="D6" s="37">
        <f>'Functional P&amp;L - Monthly Trend'!C80</f>
        <v/>
      </c>
      <c r="E6" s="37">
        <f>SUM(B6:D6)</f>
        <v/>
      </c>
    </row>
    <row r="7">
      <c r="A7" s="38" t="inlineStr">
        <is>
          <t>Transactions</t>
        </is>
      </c>
      <c r="B7" s="39">
        <f>'Functional P&amp;L - Monthly Trend'!C9</f>
        <v/>
      </c>
      <c r="C7" s="39">
        <f>'Functional P&amp;L - Monthly Trend'!C45</f>
        <v/>
      </c>
      <c r="D7" s="39">
        <f>'Functional P&amp;L - Monthly Trend'!C81</f>
        <v/>
      </c>
      <c r="E7" s="39">
        <f>SUM(B7:D7)</f>
        <v/>
      </c>
    </row>
    <row r="8">
      <c r="A8" s="36" t="inlineStr">
        <is>
          <t>Services</t>
        </is>
      </c>
      <c r="B8" s="37">
        <f>'Functional P&amp;L - Monthly Trend'!C10</f>
        <v/>
      </c>
      <c r="C8" s="37">
        <f>'Functional P&amp;L - Monthly Trend'!C46</f>
        <v/>
      </c>
      <c r="D8" s="37">
        <f>'Functional P&amp;L - Monthly Trend'!C82</f>
        <v/>
      </c>
      <c r="E8" s="37">
        <f>SUM(B8:D8)</f>
        <v/>
      </c>
    </row>
    <row r="9">
      <c r="A9" s="54" t="inlineStr">
        <is>
          <t>Revenue</t>
        </is>
      </c>
      <c r="B9" s="76">
        <f>'Functional P&amp;L - Monthly Trend'!C11</f>
        <v/>
      </c>
      <c r="C9" s="76">
        <f>'Functional P&amp;L - Monthly Trend'!C47</f>
        <v/>
      </c>
      <c r="D9" s="76">
        <f>'Functional P&amp;L - Monthly Trend'!C83</f>
        <v/>
      </c>
      <c r="E9" s="76">
        <f>SUM(B9:D9)</f>
        <v/>
      </c>
    </row>
    <row r="10">
      <c r="A10" s="51" t="n"/>
      <c r="B10" s="51" t="n"/>
      <c r="C10" s="51" t="n"/>
      <c r="D10" s="51" t="n"/>
      <c r="E10" s="51" t="n"/>
    </row>
    <row r="11">
      <c r="A11" s="45" t="inlineStr">
        <is>
          <t>Cost of Revenue</t>
        </is>
      </c>
      <c r="B11" s="45" t="n"/>
      <c r="C11" s="45" t="n"/>
      <c r="D11" s="45" t="n"/>
      <c r="E11" s="45" t="n"/>
    </row>
    <row r="12">
      <c r="A12" s="38" t="inlineStr">
        <is>
          <t>NetOps</t>
        </is>
      </c>
      <c r="B12" s="39">
        <f>'Functional P&amp;L - Monthly Trend'!C14</f>
        <v/>
      </c>
      <c r="C12" s="39">
        <f>'Functional P&amp;L - Monthly Trend'!C50</f>
        <v/>
      </c>
      <c r="D12" s="39">
        <f>'Functional P&amp;L - Monthly Trend'!C86</f>
        <v/>
      </c>
      <c r="E12" s="39">
        <f>SUM(B12:D12)</f>
        <v/>
      </c>
    </row>
    <row r="13">
      <c r="A13" s="36" t="inlineStr">
        <is>
          <t>Security</t>
        </is>
      </c>
      <c r="B13" s="37">
        <f>'Functional P&amp;L - Monthly Trend'!C15</f>
        <v/>
      </c>
      <c r="C13" s="37">
        <f>'Functional P&amp;L - Monthly Trend'!C51</f>
        <v/>
      </c>
      <c r="D13" s="37">
        <f>'Functional P&amp;L - Monthly Trend'!C87</f>
        <v/>
      </c>
      <c r="E13" s="37">
        <f>SUM(B13:D13)</f>
        <v/>
      </c>
    </row>
    <row r="14">
      <c r="A14" s="38" t="inlineStr">
        <is>
          <t>Support</t>
        </is>
      </c>
      <c r="B14" s="39">
        <f>'Functional P&amp;L - Monthly Trend'!C16</f>
        <v/>
      </c>
      <c r="C14" s="39">
        <f>'Functional P&amp;L - Monthly Trend'!C52</f>
        <v/>
      </c>
      <c r="D14" s="39">
        <f>'Functional P&amp;L - Monthly Trend'!C88</f>
        <v/>
      </c>
      <c r="E14" s="39">
        <f>SUM(B14:D14)</f>
        <v/>
      </c>
    </row>
    <row r="15">
      <c r="A15" s="36" t="inlineStr">
        <is>
          <t>Partners</t>
        </is>
      </c>
      <c r="B15" s="37">
        <f>'Functional P&amp;L - Monthly Trend'!C17</f>
        <v/>
      </c>
      <c r="C15" s="37">
        <f>'Functional P&amp;L - Monthly Trend'!C53</f>
        <v/>
      </c>
      <c r="D15" s="37">
        <f>'Functional P&amp;L - Monthly Trend'!C89</f>
        <v/>
      </c>
      <c r="E15" s="37">
        <f>SUM(B15:D15)</f>
        <v/>
      </c>
    </row>
    <row r="16">
      <c r="A16" s="38" t="inlineStr">
        <is>
          <t>Content</t>
        </is>
      </c>
      <c r="B16" s="39">
        <f>'Functional P&amp;L - Monthly Trend'!C18</f>
        <v/>
      </c>
      <c r="C16" s="39">
        <f>'Functional P&amp;L - Monthly Trend'!C54</f>
        <v/>
      </c>
      <c r="D16" s="39">
        <f>'Functional P&amp;L - Monthly Trend'!C90</f>
        <v/>
      </c>
      <c r="E16" s="39">
        <f>SUM(B16:D16)</f>
        <v/>
      </c>
    </row>
    <row r="17">
      <c r="A17" s="54" t="inlineStr">
        <is>
          <t>Cost of Subscription</t>
        </is>
      </c>
      <c r="B17" s="76">
        <f>'Functional P&amp;L - Monthly Trend'!C19</f>
        <v/>
      </c>
      <c r="C17" s="76">
        <f>'Functional P&amp;L - Monthly Trend'!C55</f>
        <v/>
      </c>
      <c r="D17" s="76">
        <f>'Functional P&amp;L - Monthly Trend'!C91</f>
        <v/>
      </c>
      <c r="E17" s="76">
        <f>SUM(B17:D17)</f>
        <v/>
      </c>
    </row>
    <row r="18">
      <c r="A18" s="36" t="inlineStr">
        <is>
          <t>Cost of Services</t>
        </is>
      </c>
      <c r="B18" s="37">
        <f>'Functional P&amp;L - Monthly Trend'!C20</f>
        <v/>
      </c>
      <c r="C18" s="37">
        <f>'Functional P&amp;L - Monthly Trend'!C56</f>
        <v/>
      </c>
      <c r="D18" s="37">
        <f>'Functional P&amp;L - Monthly Trend'!C92</f>
        <v/>
      </c>
      <c r="E18" s="37">
        <f>SUM(B18:D18)</f>
        <v/>
      </c>
    </row>
    <row r="19">
      <c r="A19" s="54" t="inlineStr">
        <is>
          <t>Cost of Revenue</t>
        </is>
      </c>
      <c r="B19" s="76">
        <f>'Functional P&amp;L - Monthly Trend'!C21</f>
        <v/>
      </c>
      <c r="C19" s="76">
        <f>'Functional P&amp;L - Monthly Trend'!C57</f>
        <v/>
      </c>
      <c r="D19" s="76">
        <f>'Functional P&amp;L - Monthly Trend'!C93</f>
        <v/>
      </c>
      <c r="E19" s="76">
        <f>SUM(B19:D19)</f>
        <v/>
      </c>
    </row>
    <row r="20">
      <c r="A20" s="51" t="n"/>
      <c r="B20" s="51" t="n"/>
      <c r="C20" s="51" t="n"/>
      <c r="D20" s="51" t="n"/>
      <c r="E20" s="51" t="n"/>
    </row>
    <row r="21">
      <c r="A21" s="38" t="inlineStr">
        <is>
          <t>Subscriptions Contribution</t>
        </is>
      </c>
      <c r="B21" s="39">
        <f>'Functional P&amp;L - Monthly Trend'!C23</f>
        <v/>
      </c>
      <c r="C21" s="39">
        <f>'Functional P&amp;L - Monthly Trend'!C59</f>
        <v/>
      </c>
      <c r="D21" s="39">
        <f>'Functional P&amp;L - Monthly Trend'!C95</f>
        <v/>
      </c>
      <c r="E21" s="39">
        <f>SUM(B21:D21)</f>
        <v/>
      </c>
    </row>
    <row r="22">
      <c r="A22" s="36" t="inlineStr">
        <is>
          <t>Services Contribution</t>
        </is>
      </c>
      <c r="B22" s="37">
        <f>'Functional P&amp;L - Monthly Trend'!C24</f>
        <v/>
      </c>
      <c r="C22" s="37">
        <f>'Functional P&amp;L - Monthly Trend'!C60</f>
        <v/>
      </c>
      <c r="D22" s="37">
        <f>'Functional P&amp;L - Monthly Trend'!C96</f>
        <v/>
      </c>
      <c r="E22" s="37">
        <f>SUM(B22:D22)</f>
        <v/>
      </c>
    </row>
    <row r="23">
      <c r="A23" s="54" t="inlineStr">
        <is>
          <t>Contribution Margin</t>
        </is>
      </c>
      <c r="B23" s="76">
        <f>'Functional P&amp;L - Monthly Trend'!C25</f>
        <v/>
      </c>
      <c r="C23" s="76">
        <f>'Functional P&amp;L - Monthly Trend'!C61</f>
        <v/>
      </c>
      <c r="D23" s="76">
        <f>'Functional P&amp;L - Monthly Trend'!C97</f>
        <v/>
      </c>
      <c r="E23" s="76">
        <f>SUM(B23:D23)</f>
        <v/>
      </c>
    </row>
    <row r="24">
      <c r="A24" s="38" t="inlineStr">
        <is>
          <t>D&amp;A</t>
        </is>
      </c>
      <c r="B24" s="39">
        <f>'Functional P&amp;L - Monthly Trend'!C26</f>
        <v/>
      </c>
      <c r="C24" s="39">
        <f>'Functional P&amp;L - Monthly Trend'!C62</f>
        <v/>
      </c>
      <c r="D24" s="39">
        <f>'Functional P&amp;L - Monthly Trend'!C98</f>
        <v/>
      </c>
      <c r="E24" s="39">
        <f>SUM(B24:D24)</f>
        <v/>
      </c>
    </row>
    <row r="25">
      <c r="A25" s="54" t="inlineStr">
        <is>
          <t>Contribution Margin GAAP</t>
        </is>
      </c>
      <c r="B25" s="76">
        <f>'Functional P&amp;L - Monthly Trend'!C27</f>
        <v/>
      </c>
      <c r="C25" s="76">
        <f>'Functional P&amp;L - Monthly Trend'!C63</f>
        <v/>
      </c>
      <c r="D25" s="76">
        <f>'Functional P&amp;L - Monthly Trend'!C99</f>
        <v/>
      </c>
      <c r="E25" s="76">
        <f>SUM(B25:D25)</f>
        <v/>
      </c>
    </row>
    <row r="26">
      <c r="A26" s="36" t="inlineStr">
        <is>
          <t>Subscription Margin %</t>
        </is>
      </c>
      <c r="B26" s="49">
        <f>'Functional P&amp;L - Monthly Trend'!C28</f>
        <v/>
      </c>
      <c r="C26" s="49">
        <f>'Functional P&amp;L - Monthly Trend'!C64</f>
        <v/>
      </c>
      <c r="D26" s="49">
        <f>'Functional P&amp;L - Monthly Trend'!C100</f>
        <v/>
      </c>
      <c r="E26" s="49">
        <f>IFERROR(E21/E6,0)</f>
        <v/>
      </c>
    </row>
    <row r="27">
      <c r="A27" s="38" t="inlineStr">
        <is>
          <t>Services Margin %</t>
        </is>
      </c>
      <c r="B27" s="47">
        <f>'Functional P&amp;L - Monthly Trend'!C29</f>
        <v/>
      </c>
      <c r="C27" s="47">
        <f>'Functional P&amp;L - Monthly Trend'!C65</f>
        <v/>
      </c>
      <c r="D27" s="47">
        <f>'Functional P&amp;L - Monthly Trend'!C101</f>
        <v/>
      </c>
      <c r="E27" s="47">
        <f>IFERROR(E22/E8,0)</f>
        <v/>
      </c>
    </row>
    <row r="28">
      <c r="A28" s="36" t="inlineStr">
        <is>
          <t>Total Margin %</t>
        </is>
      </c>
      <c r="B28" s="49">
        <f>'Functional P&amp;L - Monthly Trend'!C30</f>
        <v/>
      </c>
      <c r="C28" s="49">
        <f>'Functional P&amp;L - Monthly Trend'!C66</f>
        <v/>
      </c>
      <c r="D28" s="49">
        <f>'Functional P&amp;L - Monthly Trend'!C102</f>
        <v/>
      </c>
      <c r="E28" s="49">
        <f>IFERROR(E23/E9,0)</f>
        <v/>
      </c>
    </row>
    <row r="29">
      <c r="A29" s="51" t="n"/>
      <c r="B29" s="51" t="n"/>
      <c r="C29" s="51" t="n"/>
      <c r="D29" s="51" t="n"/>
      <c r="E29" s="51" t="n"/>
    </row>
    <row r="30">
      <c r="A30" s="45" t="inlineStr">
        <is>
          <t>R&amp;D</t>
        </is>
      </c>
      <c r="B30" s="45" t="n"/>
      <c r="C30" s="45" t="n"/>
      <c r="D30" s="45" t="n"/>
      <c r="E30" s="45" t="n"/>
    </row>
    <row r="31">
      <c r="A31" s="38" t="inlineStr">
        <is>
          <t>R&amp;D (includes Cap Software)</t>
        </is>
      </c>
      <c r="B31" s="39">
        <f>'Functional P&amp;L - Monthly Trend'!C33</f>
        <v/>
      </c>
      <c r="C31" s="39">
        <f>'Functional P&amp;L - Monthly Trend'!C69</f>
        <v/>
      </c>
      <c r="D31" s="39">
        <f>'Functional P&amp;L - Monthly Trend'!C105</f>
        <v/>
      </c>
      <c r="E31" s="39">
        <f>SUM(B31:D31)</f>
        <v/>
      </c>
    </row>
    <row r="32">
      <c r="A32" s="36" t="inlineStr">
        <is>
          <t>Research &amp; Development</t>
        </is>
      </c>
      <c r="B32" s="37">
        <f>'Functional P&amp;L - Monthly Trend'!C34</f>
        <v/>
      </c>
      <c r="C32" s="37">
        <f>'Functional P&amp;L - Monthly Trend'!C70</f>
        <v/>
      </c>
      <c r="D32" s="37">
        <f>'Functional P&amp;L - Monthly Trend'!C106</f>
        <v/>
      </c>
      <c r="E32" s="37">
        <f>SUM(B32:D32)</f>
        <v/>
      </c>
    </row>
    <row r="33">
      <c r="A33" s="38" t="inlineStr">
        <is>
          <t>Capitalized R&amp;D</t>
        </is>
      </c>
      <c r="B33" s="39">
        <f>'Functional P&amp;L - Monthly Trend'!C35</f>
        <v/>
      </c>
      <c r="C33" s="39">
        <f>'Functional P&amp;L - Monthly Trend'!C71</f>
        <v/>
      </c>
      <c r="D33" s="39">
        <f>'Functional P&amp;L - Monthly Trend'!C107</f>
        <v/>
      </c>
      <c r="E33" s="39">
        <f>SUM(B33:D33)</f>
        <v/>
      </c>
    </row>
    <row r="34">
      <c r="A34" s="36" t="inlineStr">
        <is>
          <t>Product Management</t>
        </is>
      </c>
      <c r="B34" s="37">
        <f>'Functional P&amp;L - Monthly Trend'!C36</f>
        <v/>
      </c>
      <c r="C34" s="37">
        <f>'Functional P&amp;L - Monthly Trend'!C72</f>
        <v/>
      </c>
      <c r="D34" s="37">
        <f>'Functional P&amp;L - Monthly Trend'!C108</f>
        <v/>
      </c>
      <c r="E34" s="37">
        <f>SUM(B34:D34)</f>
        <v/>
      </c>
    </row>
    <row r="35">
      <c r="A35" s="51" t="n"/>
      <c r="B35" s="51" t="n"/>
      <c r="C35" s="51" t="n"/>
      <c r="D35" s="51" t="n"/>
      <c r="E35" s="51" t="n"/>
    </row>
    <row r="36">
      <c r="A36" s="54" t="inlineStr">
        <is>
          <t>Contribution Margin + R&amp;D $</t>
        </is>
      </c>
      <c r="B36" s="76">
        <f>'Functional P&amp;L - Monthly Trend'!C38</f>
        <v/>
      </c>
      <c r="C36" s="76">
        <f>'Functional P&amp;L - Monthly Trend'!C74</f>
        <v/>
      </c>
      <c r="D36" s="76">
        <f>'Functional P&amp;L - Monthly Trend'!C110</f>
        <v/>
      </c>
      <c r="E36" s="76">
        <f>SUM(B36:D36)</f>
        <v/>
      </c>
    </row>
    <row r="37">
      <c r="A37" s="38" t="inlineStr">
        <is>
          <t>Contribution Margin + R&amp;D %</t>
        </is>
      </c>
      <c r="B37" s="47">
        <f>'Functional P&amp;L - Monthly Trend'!C39</f>
        <v/>
      </c>
      <c r="C37" s="47">
        <f>'Functional P&amp;L - Monthly Trend'!C75</f>
        <v/>
      </c>
      <c r="D37" s="47">
        <f>'Functional P&amp;L - Monthly Trend'!C111</f>
        <v/>
      </c>
      <c r="E37" s="47">
        <f>IFERROR(E36/E9,0)</f>
        <v/>
      </c>
    </row>
  </sheetData>
  <conditionalFormatting sqref="B28:E28">
    <cfRule type="cellIs" priority="2" operator="lessThan" dxfId="2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E37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38" customWidth="1" min="1" max="1"/>
    <col width="22" customWidth="1" min="2" max="5"/>
    <col width="22" customWidth="1" min="3" max="3"/>
    <col width="22" customWidth="1" min="4" max="4"/>
    <col width="22" customWidth="1" min="5" max="5"/>
  </cols>
  <sheetData>
    <row r="1" ht="15.5" customHeight="1">
      <c r="A1" s="42" t="inlineStr">
        <is>
          <t>Keystone BenefitTech, Inc.</t>
        </is>
      </c>
      <c r="E1" s="43" t="inlineStr">
        <is>
          <t>Last Updated: 2026-02-28</t>
        </is>
      </c>
    </row>
    <row r="2">
      <c r="A2" s="44" t="inlineStr">
        <is>
          <t>Functional P&amp;L Summary — March 2025</t>
        </is>
      </c>
    </row>
    <row r="4">
      <c r="A4" s="34" t="inlineStr">
        <is>
          <t>Line Item</t>
        </is>
      </c>
      <c r="B4" s="35" t="inlineStr">
        <is>
          <t>iGO</t>
        </is>
      </c>
      <c r="C4" s="35" t="inlineStr">
        <is>
          <t>Affirm</t>
        </is>
      </c>
      <c r="D4" s="35" t="inlineStr">
        <is>
          <t>InsureSight</t>
        </is>
      </c>
      <c r="E4" s="35" t="inlineStr">
        <is>
          <t>US</t>
        </is>
      </c>
    </row>
    <row r="5">
      <c r="A5" s="45" t="inlineStr">
        <is>
          <t>Revenue</t>
        </is>
      </c>
      <c r="B5" s="45" t="n"/>
      <c r="C5" s="45" t="n"/>
      <c r="D5" s="45" t="n"/>
      <c r="E5" s="45" t="n"/>
    </row>
    <row r="6">
      <c r="A6" s="36" t="inlineStr">
        <is>
          <t>Subscription</t>
        </is>
      </c>
      <c r="B6" s="37">
        <f>'Functional P&amp;L - Monthly Trend'!D8</f>
        <v/>
      </c>
      <c r="C6" s="37">
        <f>'Functional P&amp;L - Monthly Trend'!D44</f>
        <v/>
      </c>
      <c r="D6" s="37">
        <f>'Functional P&amp;L - Monthly Trend'!D80</f>
        <v/>
      </c>
      <c r="E6" s="37">
        <f>SUM(B6:D6)</f>
        <v/>
      </c>
    </row>
    <row r="7">
      <c r="A7" s="38" t="inlineStr">
        <is>
          <t>Transactions</t>
        </is>
      </c>
      <c r="B7" s="39">
        <f>'Functional P&amp;L - Monthly Trend'!D9</f>
        <v/>
      </c>
      <c r="C7" s="39">
        <f>'Functional P&amp;L - Monthly Trend'!D45</f>
        <v/>
      </c>
      <c r="D7" s="39">
        <f>'Functional P&amp;L - Monthly Trend'!D81</f>
        <v/>
      </c>
      <c r="E7" s="39">
        <f>SUM(B7:D7)</f>
        <v/>
      </c>
    </row>
    <row r="8">
      <c r="A8" s="36" t="inlineStr">
        <is>
          <t>Services</t>
        </is>
      </c>
      <c r="B8" s="37">
        <f>'Functional P&amp;L - Monthly Trend'!D10</f>
        <v/>
      </c>
      <c r="C8" s="37">
        <f>'Functional P&amp;L - Monthly Trend'!D46</f>
        <v/>
      </c>
      <c r="D8" s="37">
        <f>'Functional P&amp;L - Monthly Trend'!D82</f>
        <v/>
      </c>
      <c r="E8" s="37">
        <f>SUM(B8:D8)</f>
        <v/>
      </c>
    </row>
    <row r="9">
      <c r="A9" s="54" t="inlineStr">
        <is>
          <t>Revenue</t>
        </is>
      </c>
      <c r="B9" s="76">
        <f>'Functional P&amp;L - Monthly Trend'!D11</f>
        <v/>
      </c>
      <c r="C9" s="76">
        <f>'Functional P&amp;L - Monthly Trend'!D47</f>
        <v/>
      </c>
      <c r="D9" s="76">
        <f>'Functional P&amp;L - Monthly Trend'!D83</f>
        <v/>
      </c>
      <c r="E9" s="76">
        <f>SUM(B9:D9)</f>
        <v/>
      </c>
    </row>
    <row r="10">
      <c r="A10" s="51" t="n"/>
      <c r="B10" s="51" t="n"/>
      <c r="C10" s="51" t="n"/>
      <c r="D10" s="51" t="n"/>
      <c r="E10" s="51" t="n"/>
    </row>
    <row r="11">
      <c r="A11" s="45" t="inlineStr">
        <is>
          <t>Cost of Revenue</t>
        </is>
      </c>
      <c r="B11" s="45" t="n"/>
      <c r="C11" s="45" t="n"/>
      <c r="D11" s="45" t="n"/>
      <c r="E11" s="45" t="n"/>
    </row>
    <row r="12">
      <c r="A12" s="38" t="inlineStr">
        <is>
          <t>NetOps</t>
        </is>
      </c>
      <c r="B12" s="39">
        <f>'Functional P&amp;L - Monthly Trend'!D14</f>
        <v/>
      </c>
      <c r="C12" s="39">
        <f>'Functional P&amp;L - Monthly Trend'!D50</f>
        <v/>
      </c>
      <c r="D12" s="39">
        <f>'Functional P&amp;L - Monthly Trend'!D86</f>
        <v/>
      </c>
      <c r="E12" s="39">
        <f>SUM(B12:D12)</f>
        <v/>
      </c>
    </row>
    <row r="13">
      <c r="A13" s="36" t="inlineStr">
        <is>
          <t>Security</t>
        </is>
      </c>
      <c r="B13" s="37">
        <f>'Functional P&amp;L - Monthly Trend'!D15</f>
        <v/>
      </c>
      <c r="C13" s="37">
        <f>'Functional P&amp;L - Monthly Trend'!D51</f>
        <v/>
      </c>
      <c r="D13" s="37">
        <f>'Functional P&amp;L - Monthly Trend'!D87</f>
        <v/>
      </c>
      <c r="E13" s="37">
        <f>SUM(B13:D13)</f>
        <v/>
      </c>
    </row>
    <row r="14">
      <c r="A14" s="38" t="inlineStr">
        <is>
          <t>Support</t>
        </is>
      </c>
      <c r="B14" s="39">
        <f>'Functional P&amp;L - Monthly Trend'!D16</f>
        <v/>
      </c>
      <c r="C14" s="39">
        <f>'Functional P&amp;L - Monthly Trend'!D52</f>
        <v/>
      </c>
      <c r="D14" s="39">
        <f>'Functional P&amp;L - Monthly Trend'!D88</f>
        <v/>
      </c>
      <c r="E14" s="39">
        <f>SUM(B14:D14)</f>
        <v/>
      </c>
    </row>
    <row r="15">
      <c r="A15" s="36" t="inlineStr">
        <is>
          <t>Partners</t>
        </is>
      </c>
      <c r="B15" s="37">
        <f>'Functional P&amp;L - Monthly Trend'!D17</f>
        <v/>
      </c>
      <c r="C15" s="37">
        <f>'Functional P&amp;L - Monthly Trend'!D53</f>
        <v/>
      </c>
      <c r="D15" s="37">
        <f>'Functional P&amp;L - Monthly Trend'!D89</f>
        <v/>
      </c>
      <c r="E15" s="37">
        <f>SUM(B15:D15)</f>
        <v/>
      </c>
    </row>
    <row r="16">
      <c r="A16" s="38" t="inlineStr">
        <is>
          <t>Content</t>
        </is>
      </c>
      <c r="B16" s="39">
        <f>'Functional P&amp;L - Monthly Trend'!D18</f>
        <v/>
      </c>
      <c r="C16" s="39">
        <f>'Functional P&amp;L - Monthly Trend'!D54</f>
        <v/>
      </c>
      <c r="D16" s="39">
        <f>'Functional P&amp;L - Monthly Trend'!D90</f>
        <v/>
      </c>
      <c r="E16" s="39">
        <f>SUM(B16:D16)</f>
        <v/>
      </c>
    </row>
    <row r="17">
      <c r="A17" s="54" t="inlineStr">
        <is>
          <t>Cost of Subscription</t>
        </is>
      </c>
      <c r="B17" s="76">
        <f>'Functional P&amp;L - Monthly Trend'!D19</f>
        <v/>
      </c>
      <c r="C17" s="76">
        <f>'Functional P&amp;L - Monthly Trend'!D55</f>
        <v/>
      </c>
      <c r="D17" s="76">
        <f>'Functional P&amp;L - Monthly Trend'!D91</f>
        <v/>
      </c>
      <c r="E17" s="76">
        <f>SUM(B17:D17)</f>
        <v/>
      </c>
    </row>
    <row r="18">
      <c r="A18" s="36" t="inlineStr">
        <is>
          <t>Cost of Services</t>
        </is>
      </c>
      <c r="B18" s="37">
        <f>'Functional P&amp;L - Monthly Trend'!D20</f>
        <v/>
      </c>
      <c r="C18" s="37">
        <f>'Functional P&amp;L - Monthly Trend'!D56</f>
        <v/>
      </c>
      <c r="D18" s="37">
        <f>'Functional P&amp;L - Monthly Trend'!D92</f>
        <v/>
      </c>
      <c r="E18" s="37">
        <f>SUM(B18:D18)</f>
        <v/>
      </c>
    </row>
    <row r="19">
      <c r="A19" s="54" t="inlineStr">
        <is>
          <t>Cost of Revenue</t>
        </is>
      </c>
      <c r="B19" s="76">
        <f>'Functional P&amp;L - Monthly Trend'!D21</f>
        <v/>
      </c>
      <c r="C19" s="76">
        <f>'Functional P&amp;L - Monthly Trend'!D57</f>
        <v/>
      </c>
      <c r="D19" s="76">
        <f>'Functional P&amp;L - Monthly Trend'!D93</f>
        <v/>
      </c>
      <c r="E19" s="76">
        <f>SUM(B19:D19)</f>
        <v/>
      </c>
    </row>
    <row r="20">
      <c r="A20" s="51" t="n"/>
      <c r="B20" s="51" t="n"/>
      <c r="C20" s="51" t="n"/>
      <c r="D20" s="51" t="n"/>
      <c r="E20" s="51" t="n"/>
    </row>
    <row r="21">
      <c r="A21" s="38" t="inlineStr">
        <is>
          <t>Subscriptions Contribution</t>
        </is>
      </c>
      <c r="B21" s="39">
        <f>'Functional P&amp;L - Monthly Trend'!D23</f>
        <v/>
      </c>
      <c r="C21" s="39">
        <f>'Functional P&amp;L - Monthly Trend'!D59</f>
        <v/>
      </c>
      <c r="D21" s="39">
        <f>'Functional P&amp;L - Monthly Trend'!D95</f>
        <v/>
      </c>
      <c r="E21" s="39">
        <f>SUM(B21:D21)</f>
        <v/>
      </c>
    </row>
    <row r="22">
      <c r="A22" s="36" t="inlineStr">
        <is>
          <t>Services Contribution</t>
        </is>
      </c>
      <c r="B22" s="37">
        <f>'Functional P&amp;L - Monthly Trend'!D24</f>
        <v/>
      </c>
      <c r="C22" s="37">
        <f>'Functional P&amp;L - Monthly Trend'!D60</f>
        <v/>
      </c>
      <c r="D22" s="37">
        <f>'Functional P&amp;L - Monthly Trend'!D96</f>
        <v/>
      </c>
      <c r="E22" s="37">
        <f>SUM(B22:D22)</f>
        <v/>
      </c>
    </row>
    <row r="23">
      <c r="A23" s="54" t="inlineStr">
        <is>
          <t>Contribution Margin</t>
        </is>
      </c>
      <c r="B23" s="76">
        <f>'Functional P&amp;L - Monthly Trend'!D25</f>
        <v/>
      </c>
      <c r="C23" s="76">
        <f>'Functional P&amp;L - Monthly Trend'!D61</f>
        <v/>
      </c>
      <c r="D23" s="76">
        <f>'Functional P&amp;L - Monthly Trend'!D97</f>
        <v/>
      </c>
      <c r="E23" s="76">
        <f>SUM(B23:D23)</f>
        <v/>
      </c>
    </row>
    <row r="24">
      <c r="A24" s="38" t="inlineStr">
        <is>
          <t>D&amp;A</t>
        </is>
      </c>
      <c r="B24" s="39">
        <f>'Functional P&amp;L - Monthly Trend'!D26</f>
        <v/>
      </c>
      <c r="C24" s="39">
        <f>'Functional P&amp;L - Monthly Trend'!D62</f>
        <v/>
      </c>
      <c r="D24" s="39">
        <f>'Functional P&amp;L - Monthly Trend'!D98</f>
        <v/>
      </c>
      <c r="E24" s="39">
        <f>SUM(B24:D24)</f>
        <v/>
      </c>
    </row>
    <row r="25">
      <c r="A25" s="54" t="inlineStr">
        <is>
          <t>Contribution Margin GAAP</t>
        </is>
      </c>
      <c r="B25" s="76">
        <f>'Functional P&amp;L - Monthly Trend'!D27</f>
        <v/>
      </c>
      <c r="C25" s="76">
        <f>'Functional P&amp;L - Monthly Trend'!D63</f>
        <v/>
      </c>
      <c r="D25" s="76">
        <f>'Functional P&amp;L - Monthly Trend'!D99</f>
        <v/>
      </c>
      <c r="E25" s="76">
        <f>SUM(B25:D25)</f>
        <v/>
      </c>
    </row>
    <row r="26">
      <c r="A26" s="36" t="inlineStr">
        <is>
          <t>Subscription Margin %</t>
        </is>
      </c>
      <c r="B26" s="49">
        <f>'Functional P&amp;L - Monthly Trend'!D28</f>
        <v/>
      </c>
      <c r="C26" s="49">
        <f>'Functional P&amp;L - Monthly Trend'!D64</f>
        <v/>
      </c>
      <c r="D26" s="49">
        <f>'Functional P&amp;L - Monthly Trend'!D100</f>
        <v/>
      </c>
      <c r="E26" s="49">
        <f>IFERROR(E21/E6,0)</f>
        <v/>
      </c>
    </row>
    <row r="27">
      <c r="A27" s="38" t="inlineStr">
        <is>
          <t>Services Margin %</t>
        </is>
      </c>
      <c r="B27" s="47">
        <f>'Functional P&amp;L - Monthly Trend'!D29</f>
        <v/>
      </c>
      <c r="C27" s="47">
        <f>'Functional P&amp;L - Monthly Trend'!D65</f>
        <v/>
      </c>
      <c r="D27" s="47">
        <f>'Functional P&amp;L - Monthly Trend'!D101</f>
        <v/>
      </c>
      <c r="E27" s="47">
        <f>IFERROR(E22/E8,0)</f>
        <v/>
      </c>
    </row>
    <row r="28">
      <c r="A28" s="36" t="inlineStr">
        <is>
          <t>Total Margin %</t>
        </is>
      </c>
      <c r="B28" s="49">
        <f>'Functional P&amp;L - Monthly Trend'!D30</f>
        <v/>
      </c>
      <c r="C28" s="49">
        <f>'Functional P&amp;L - Monthly Trend'!D66</f>
        <v/>
      </c>
      <c r="D28" s="49">
        <f>'Functional P&amp;L - Monthly Trend'!D102</f>
        <v/>
      </c>
      <c r="E28" s="49">
        <f>IFERROR(E23/E9,0)</f>
        <v/>
      </c>
    </row>
    <row r="29">
      <c r="A29" s="51" t="n"/>
      <c r="B29" s="51" t="n"/>
      <c r="C29" s="51" t="n"/>
      <c r="D29" s="51" t="n"/>
      <c r="E29" s="51" t="n"/>
    </row>
    <row r="30">
      <c r="A30" s="45" t="inlineStr">
        <is>
          <t>R&amp;D</t>
        </is>
      </c>
      <c r="B30" s="45" t="n"/>
      <c r="C30" s="45" t="n"/>
      <c r="D30" s="45" t="n"/>
      <c r="E30" s="45" t="n"/>
    </row>
    <row r="31">
      <c r="A31" s="38" t="inlineStr">
        <is>
          <t>R&amp;D (includes Cap Software)</t>
        </is>
      </c>
      <c r="B31" s="39">
        <f>'Functional P&amp;L - Monthly Trend'!D33</f>
        <v/>
      </c>
      <c r="C31" s="39">
        <f>'Functional P&amp;L - Monthly Trend'!D69</f>
        <v/>
      </c>
      <c r="D31" s="39">
        <f>'Functional P&amp;L - Monthly Trend'!D105</f>
        <v/>
      </c>
      <c r="E31" s="39">
        <f>SUM(B31:D31)</f>
        <v/>
      </c>
    </row>
    <row r="32">
      <c r="A32" s="36" t="inlineStr">
        <is>
          <t>Research &amp; Development</t>
        </is>
      </c>
      <c r="B32" s="37">
        <f>'Functional P&amp;L - Monthly Trend'!D34</f>
        <v/>
      </c>
      <c r="C32" s="37">
        <f>'Functional P&amp;L - Monthly Trend'!D70</f>
        <v/>
      </c>
      <c r="D32" s="37">
        <f>'Functional P&amp;L - Monthly Trend'!D106</f>
        <v/>
      </c>
      <c r="E32" s="37">
        <f>SUM(B32:D32)</f>
        <v/>
      </c>
    </row>
    <row r="33">
      <c r="A33" s="38" t="inlineStr">
        <is>
          <t>Capitalized R&amp;D</t>
        </is>
      </c>
      <c r="B33" s="39">
        <f>'Functional P&amp;L - Monthly Trend'!D35</f>
        <v/>
      </c>
      <c r="C33" s="39">
        <f>'Functional P&amp;L - Monthly Trend'!D71</f>
        <v/>
      </c>
      <c r="D33" s="39">
        <f>'Functional P&amp;L - Monthly Trend'!D107</f>
        <v/>
      </c>
      <c r="E33" s="39">
        <f>SUM(B33:D33)</f>
        <v/>
      </c>
    </row>
    <row r="34">
      <c r="A34" s="36" t="inlineStr">
        <is>
          <t>Product Management</t>
        </is>
      </c>
      <c r="B34" s="37">
        <f>'Functional P&amp;L - Monthly Trend'!D36</f>
        <v/>
      </c>
      <c r="C34" s="37">
        <f>'Functional P&amp;L - Monthly Trend'!D72</f>
        <v/>
      </c>
      <c r="D34" s="37">
        <f>'Functional P&amp;L - Monthly Trend'!D108</f>
        <v/>
      </c>
      <c r="E34" s="37">
        <f>SUM(B34:D34)</f>
        <v/>
      </c>
    </row>
    <row r="35">
      <c r="A35" s="51" t="n"/>
      <c r="B35" s="51" t="n"/>
      <c r="C35" s="51" t="n"/>
      <c r="D35" s="51" t="n"/>
      <c r="E35" s="51" t="n"/>
    </row>
    <row r="36">
      <c r="A36" s="54" t="inlineStr">
        <is>
          <t>Contribution Margin + R&amp;D $</t>
        </is>
      </c>
      <c r="B36" s="76">
        <f>'Functional P&amp;L - Monthly Trend'!D38</f>
        <v/>
      </c>
      <c r="C36" s="76">
        <f>'Functional P&amp;L - Monthly Trend'!D74</f>
        <v/>
      </c>
      <c r="D36" s="76">
        <f>'Functional P&amp;L - Monthly Trend'!D110</f>
        <v/>
      </c>
      <c r="E36" s="76">
        <f>SUM(B36:D36)</f>
        <v/>
      </c>
    </row>
    <row r="37">
      <c r="A37" s="38" t="inlineStr">
        <is>
          <t>Contribution Margin + R&amp;D %</t>
        </is>
      </c>
      <c r="B37" s="47">
        <f>'Functional P&amp;L - Monthly Trend'!D39</f>
        <v/>
      </c>
      <c r="C37" s="47">
        <f>'Functional P&amp;L - Monthly Trend'!D75</f>
        <v/>
      </c>
      <c r="D37" s="47">
        <f>'Functional P&amp;L - Monthly Trend'!D111</f>
        <v/>
      </c>
      <c r="E37" s="47">
        <f>IFERROR(E36/E9,0)</f>
        <v/>
      </c>
    </row>
  </sheetData>
  <conditionalFormatting sqref="B28:E28">
    <cfRule type="cellIs" priority="2" operator="lessThan" dxfId="2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548235"/>
    <outlinePr summaryBelow="1" summaryRight="1"/>
    <pageSetUpPr/>
  </sheetPr>
  <dimension ref="A1:E77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38" customWidth="1" min="1" max="1"/>
    <col width="16" customWidth="1" min="2" max="5"/>
    <col width="16" customWidth="1" min="3" max="3"/>
    <col width="16" customWidth="1" min="4" max="4"/>
    <col width="22" customWidth="1" min="5" max="5"/>
  </cols>
  <sheetData>
    <row r="1" ht="15.5" customHeight="1">
      <c r="A1" s="42" t="inlineStr">
        <is>
          <t>Keystone BenefitTech, Inc.</t>
        </is>
      </c>
      <c r="E1" s="43" t="inlineStr">
        <is>
          <t>Last Updated: 2026-02-28</t>
        </is>
      </c>
    </row>
    <row r="2">
      <c r="A2" s="44" t="inlineStr">
        <is>
          <t>US January 2025 Natural P&amp;L</t>
        </is>
      </c>
    </row>
    <row r="4">
      <c r="A4" s="34" t="inlineStr">
        <is>
          <t>Line Item</t>
        </is>
      </c>
      <c r="B4" s="35" t="inlineStr">
        <is>
          <t>iGO</t>
        </is>
      </c>
      <c r="C4" s="35" t="inlineStr">
        <is>
          <t>Affirm</t>
        </is>
      </c>
      <c r="D4" s="35" t="inlineStr">
        <is>
          <t>InsureSight</t>
        </is>
      </c>
      <c r="E4" s="35" t="inlineStr">
        <is>
          <t>Total</t>
        </is>
      </c>
    </row>
    <row r="5">
      <c r="A5" s="51" t="n"/>
      <c r="B5" s="51" t="n"/>
      <c r="C5" s="51" t="n"/>
      <c r="D5" s="51" t="n"/>
      <c r="E5" s="51" t="n"/>
    </row>
    <row r="6">
      <c r="A6" s="45" t="inlineStr">
        <is>
          <t>Revenue</t>
        </is>
      </c>
      <c r="B6" s="45" t="n"/>
      <c r="C6" s="45" t="n"/>
      <c r="D6" s="45" t="n"/>
      <c r="E6" s="45" t="n"/>
    </row>
    <row r="7">
      <c r="A7" s="36" t="inlineStr">
        <is>
          <t>Subscriptions</t>
        </is>
      </c>
      <c r="B7" s="37" t="n">
        <v>5050.9</v>
      </c>
      <c r="C7" s="37" t="n">
        <v>2543.88</v>
      </c>
      <c r="D7" s="37" t="n">
        <v>791.1799999999999</v>
      </c>
      <c r="E7" s="37">
        <f>SUM(B7:D7)</f>
        <v/>
      </c>
    </row>
    <row r="8">
      <c r="A8" s="38" t="inlineStr">
        <is>
          <t>Services</t>
        </is>
      </c>
      <c r="B8" s="39" t="n">
        <v>317.61</v>
      </c>
      <c r="C8" s="39" t="n">
        <v>101.1</v>
      </c>
      <c r="D8" s="39" t="n">
        <v>68.39</v>
      </c>
      <c r="E8" s="39">
        <f>SUM(B8:D8)</f>
        <v/>
      </c>
    </row>
    <row r="9">
      <c r="A9" s="54" t="inlineStr">
        <is>
          <t>Revenue</t>
        </is>
      </c>
      <c r="B9" s="76">
        <f>SUM(B7:B8)</f>
        <v/>
      </c>
      <c r="C9" s="76">
        <f>SUM(C7:C8)</f>
        <v/>
      </c>
      <c r="D9" s="76">
        <f>SUM(D7:D8)</f>
        <v/>
      </c>
      <c r="E9" s="76">
        <f>SUM(E7:E8)</f>
        <v/>
      </c>
    </row>
    <row r="10">
      <c r="A10" s="51" t="n"/>
      <c r="B10" s="51" t="n"/>
      <c r="C10" s="51" t="n"/>
      <c r="D10" s="51" t="n"/>
      <c r="E10" s="51" t="n"/>
    </row>
    <row r="11">
      <c r="A11" s="45" t="inlineStr">
        <is>
          <t>NetOps</t>
        </is>
      </c>
      <c r="B11" s="45" t="n"/>
      <c r="C11" s="45" t="n"/>
      <c r="D11" s="45" t="n"/>
      <c r="E11" s="45" t="n"/>
    </row>
    <row r="12">
      <c r="A12" s="36" t="inlineStr">
        <is>
          <t>Employee Expenses</t>
        </is>
      </c>
      <c r="B12" s="37" t="n">
        <v>216.82</v>
      </c>
      <c r="C12" s="37" t="n">
        <v>33.47</v>
      </c>
      <c r="D12" s="37" t="n">
        <v>43.79</v>
      </c>
      <c r="E12" s="37">
        <f>SUM(B12:D12)</f>
        <v/>
      </c>
    </row>
    <row r="13">
      <c r="A13" s="38" t="inlineStr">
        <is>
          <t>Professional Fees and Outsourcing Expenses</t>
        </is>
      </c>
      <c r="B13" s="39" t="n">
        <v>38.92</v>
      </c>
      <c r="C13" s="39" t="n">
        <v>5.94</v>
      </c>
      <c r="D13" s="39" t="n">
        <v>7.48</v>
      </c>
      <c r="E13" s="39">
        <f>SUM(B13:D13)</f>
        <v/>
      </c>
    </row>
    <row r="14">
      <c r="A14" s="36" t="inlineStr">
        <is>
          <t>Software and Maintenance Expense</t>
        </is>
      </c>
      <c r="B14" s="37" t="n">
        <v>59.48</v>
      </c>
      <c r="C14" s="37" t="n">
        <v>9.26</v>
      </c>
      <c r="D14" s="37" t="n">
        <v>10.38</v>
      </c>
      <c r="E14" s="37">
        <f>SUM(B14:D14)</f>
        <v/>
      </c>
    </row>
    <row r="15">
      <c r="A15" s="38" t="inlineStr">
        <is>
          <t>AWS</t>
        </is>
      </c>
      <c r="B15" s="39" t="n">
        <v>233.24</v>
      </c>
      <c r="C15" s="39" t="n">
        <v>33.62</v>
      </c>
      <c r="D15" s="39" t="n">
        <v>42.23</v>
      </c>
      <c r="E15" s="39">
        <f>'AWS Allocation'!F31</f>
        <v/>
      </c>
    </row>
    <row r="16">
      <c r="A16" s="36" t="inlineStr">
        <is>
          <t>Connectivity Charges</t>
        </is>
      </c>
      <c r="B16" s="37" t="n">
        <v>70.58</v>
      </c>
      <c r="C16" s="37" t="n">
        <v>11.38</v>
      </c>
      <c r="D16" s="37" t="n">
        <v>13.87</v>
      </c>
      <c r="E16" s="37">
        <f>SUM(B16:D16)</f>
        <v/>
      </c>
    </row>
    <row r="17">
      <c r="A17" s="38" t="inlineStr">
        <is>
          <t>Data Center Fees</t>
        </is>
      </c>
      <c r="B17" s="39" t="n">
        <v>87.86</v>
      </c>
      <c r="C17" s="39" t="n">
        <v>14.37</v>
      </c>
      <c r="D17" s="39" t="n">
        <v>16.49</v>
      </c>
      <c r="E17" s="39">
        <f>SUM(B17:D17)</f>
        <v/>
      </c>
    </row>
    <row r="18">
      <c r="A18" s="36" t="inlineStr">
        <is>
          <t>Office Expenses &amp; Rent Allocation</t>
        </is>
      </c>
      <c r="B18" s="37" t="n">
        <v>21.09</v>
      </c>
      <c r="C18" s="37" t="n">
        <v>3.62</v>
      </c>
      <c r="D18" s="37" t="n">
        <v>3.89</v>
      </c>
      <c r="E18" s="37">
        <f>SUM(B18:D18)</f>
        <v/>
      </c>
    </row>
    <row r="19">
      <c r="A19" s="38" t="inlineStr">
        <is>
          <t>Overhead Allocation &amp; Chargebacks</t>
        </is>
      </c>
      <c r="B19" s="39" t="n">
        <v>20.17</v>
      </c>
      <c r="C19" s="39" t="n">
        <v>3.72</v>
      </c>
      <c r="D19" s="39" t="n">
        <v>4.3</v>
      </c>
      <c r="E19" s="39">
        <f>SUM(B19:D19)</f>
        <v/>
      </c>
    </row>
    <row r="20">
      <c r="A20" s="36" t="inlineStr">
        <is>
          <t>Other</t>
        </is>
      </c>
      <c r="B20" s="37" t="n">
        <v>-21.86</v>
      </c>
      <c r="C20" s="37" t="n">
        <v>4.36</v>
      </c>
      <c r="D20" s="37" t="n">
        <v>-2.39</v>
      </c>
      <c r="E20" s="37">
        <f>SUM(B20:D20)</f>
        <v/>
      </c>
    </row>
    <row r="21">
      <c r="A21" s="54" t="inlineStr">
        <is>
          <t>Total NetOps</t>
        </is>
      </c>
      <c r="B21" s="76">
        <f>SUM(B12:B20)</f>
        <v/>
      </c>
      <c r="C21" s="76">
        <f>SUM(C12:C20)</f>
        <v/>
      </c>
      <c r="D21" s="76">
        <f>SUM(D12:D20)</f>
        <v/>
      </c>
      <c r="E21" s="76">
        <f>SUM(E12:E20)</f>
        <v/>
      </c>
    </row>
    <row r="22">
      <c r="A22" s="51" t="n"/>
      <c r="B22" s="51" t="n"/>
      <c r="C22" s="51" t="n"/>
      <c r="D22" s="51" t="n"/>
      <c r="E22" s="51" t="n"/>
    </row>
    <row r="23">
      <c r="A23" s="45" t="inlineStr">
        <is>
          <t>Security</t>
        </is>
      </c>
      <c r="B23" s="45" t="n"/>
      <c r="C23" s="45" t="n"/>
      <c r="D23" s="45" t="n"/>
      <c r="E23" s="45" t="n"/>
    </row>
    <row r="24">
      <c r="A24" s="38" t="inlineStr">
        <is>
          <t>Employee Expenses</t>
        </is>
      </c>
      <c r="B24" s="39" t="n">
        <v>71.67</v>
      </c>
      <c r="C24" s="39" t="n">
        <v>16.62</v>
      </c>
      <c r="D24" s="39" t="n">
        <v>14.9</v>
      </c>
      <c r="E24" s="39">
        <f>SUM(B24:D24)</f>
        <v/>
      </c>
    </row>
    <row r="25">
      <c r="A25" s="36" t="inlineStr">
        <is>
          <t>Professional Fees and Outsourcing Expenses</t>
        </is>
      </c>
      <c r="B25" s="37" t="n">
        <v>20.76</v>
      </c>
      <c r="C25" s="37" t="n">
        <v>4.74</v>
      </c>
      <c r="D25" s="37" t="n">
        <v>3.55</v>
      </c>
      <c r="E25" s="37">
        <f>SUM(B25:D25)</f>
        <v/>
      </c>
    </row>
    <row r="26">
      <c r="A26" s="38" t="inlineStr">
        <is>
          <t>Software and Maintenance Expense</t>
        </is>
      </c>
      <c r="B26" s="39" t="n">
        <v>41.1</v>
      </c>
      <c r="C26" s="39" t="n">
        <v>9.99</v>
      </c>
      <c r="D26" s="39" t="n">
        <v>7.2</v>
      </c>
      <c r="E26" s="39">
        <f>SUM(B26:D26)</f>
        <v/>
      </c>
    </row>
    <row r="27">
      <c r="A27" s="36" t="inlineStr">
        <is>
          <t>Office Expenses &amp; Rent Allocation</t>
        </is>
      </c>
      <c r="B27" s="37" t="n">
        <v>12.7</v>
      </c>
      <c r="C27" s="37" t="n">
        <v>3.2</v>
      </c>
      <c r="D27" s="37" t="n">
        <v>2.41</v>
      </c>
      <c r="E27" s="37">
        <f>SUM(B27:D27)</f>
        <v/>
      </c>
    </row>
    <row r="28">
      <c r="A28" s="38" t="inlineStr">
        <is>
          <t>Overhead Allocation &amp; Chargebacks</t>
        </is>
      </c>
      <c r="B28" s="39" t="n">
        <v>11.83</v>
      </c>
      <c r="C28" s="39" t="n">
        <v>2.74</v>
      </c>
      <c r="D28" s="39" t="n">
        <v>2.17</v>
      </c>
      <c r="E28" s="39">
        <f>SUM(B28:D28)</f>
        <v/>
      </c>
    </row>
    <row r="29">
      <c r="A29" s="36" t="inlineStr">
        <is>
          <t>Other</t>
        </is>
      </c>
      <c r="B29" s="37" t="n">
        <v>4.47</v>
      </c>
      <c r="C29" s="37" t="n">
        <v>0.85</v>
      </c>
      <c r="D29" s="37" t="n">
        <v>-0.36</v>
      </c>
      <c r="E29" s="37">
        <f>SUM(B29:D29)</f>
        <v/>
      </c>
    </row>
    <row r="30">
      <c r="A30" s="54" t="inlineStr">
        <is>
          <t>Total Security</t>
        </is>
      </c>
      <c r="B30" s="76">
        <f>SUM(B24:B29)</f>
        <v/>
      </c>
      <c r="C30" s="76">
        <f>SUM(C24:C29)</f>
        <v/>
      </c>
      <c r="D30" s="76">
        <f>SUM(D24:D29)</f>
        <v/>
      </c>
      <c r="E30" s="76">
        <f>SUM(E24:E29)</f>
        <v/>
      </c>
    </row>
    <row r="31">
      <c r="A31" s="51" t="n"/>
      <c r="B31" s="51" t="n"/>
      <c r="C31" s="51" t="n"/>
      <c r="D31" s="51" t="n"/>
      <c r="E31" s="51" t="n"/>
    </row>
    <row r="32">
      <c r="A32" s="45" t="inlineStr">
        <is>
          <t>Support</t>
        </is>
      </c>
      <c r="B32" s="45" t="n"/>
      <c r="C32" s="45" t="n"/>
      <c r="D32" s="45" t="n"/>
      <c r="E32" s="45" t="n"/>
    </row>
    <row r="33">
      <c r="A33" s="38" t="inlineStr">
        <is>
          <t>Employee Expenses</t>
        </is>
      </c>
      <c r="B33" s="39" t="n">
        <v>129.53</v>
      </c>
      <c r="C33" s="39" t="n">
        <v>34.53</v>
      </c>
      <c r="D33" s="39" t="n">
        <v>31.16</v>
      </c>
      <c r="E33" s="39">
        <f>SUM(B33:D33)</f>
        <v/>
      </c>
    </row>
    <row r="34">
      <c r="A34" s="36" t="inlineStr">
        <is>
          <t>Professional Fees and Outsourcing Expenses</t>
        </is>
      </c>
      <c r="B34" s="37" t="n">
        <v>37.42</v>
      </c>
      <c r="C34" s="37" t="n">
        <v>8.67</v>
      </c>
      <c r="D34" s="37" t="n">
        <v>7.95</v>
      </c>
      <c r="E34" s="37">
        <f>SUM(B34:D34)</f>
        <v/>
      </c>
    </row>
    <row r="35">
      <c r="A35" s="38" t="inlineStr">
        <is>
          <t>Software and Maintenance Expense</t>
        </is>
      </c>
      <c r="B35" s="39" t="n">
        <v>22.12</v>
      </c>
      <c r="C35" s="39" t="n">
        <v>6.4</v>
      </c>
      <c r="D35" s="39" t="n">
        <v>5.64</v>
      </c>
      <c r="E35" s="39">
        <f>SUM(B35:D35)</f>
        <v/>
      </c>
    </row>
    <row r="36">
      <c r="A36" s="36" t="inlineStr">
        <is>
          <t>Office Expenses &amp; Rent Allocation</t>
        </is>
      </c>
      <c r="B36" s="37" t="n">
        <v>18.43</v>
      </c>
      <c r="C36" s="37" t="n">
        <v>4.9</v>
      </c>
      <c r="D36" s="37" t="n">
        <v>4.09</v>
      </c>
      <c r="E36" s="37">
        <f>SUM(B36:D36)</f>
        <v/>
      </c>
    </row>
    <row r="37">
      <c r="A37" s="38" t="inlineStr">
        <is>
          <t>Overhead Allocation &amp; Chargebacks</t>
        </is>
      </c>
      <c r="B37" s="39" t="n">
        <v>17.88</v>
      </c>
      <c r="C37" s="39" t="n">
        <v>4.4</v>
      </c>
      <c r="D37" s="39" t="n">
        <v>4.05</v>
      </c>
      <c r="E37" s="39">
        <f>SUM(B37:D37)</f>
        <v/>
      </c>
    </row>
    <row r="38">
      <c r="A38" s="36" t="inlineStr">
        <is>
          <t>Other</t>
        </is>
      </c>
      <c r="B38" s="37" t="n">
        <v>8.76</v>
      </c>
      <c r="C38" s="37" t="n">
        <v>4</v>
      </c>
      <c r="D38" s="37" t="n">
        <v>1.03</v>
      </c>
      <c r="E38" s="37">
        <f>SUM(B38:D38)</f>
        <v/>
      </c>
    </row>
    <row r="39">
      <c r="A39" s="54" t="inlineStr">
        <is>
          <t>Total Support</t>
        </is>
      </c>
      <c r="B39" s="76">
        <f>SUM(B33:B38)</f>
        <v/>
      </c>
      <c r="C39" s="76">
        <f>SUM(C33:C38)</f>
        <v/>
      </c>
      <c r="D39" s="76">
        <f>SUM(D33:D38)</f>
        <v/>
      </c>
      <c r="E39" s="76">
        <f>SUM(E33:E38)</f>
        <v/>
      </c>
    </row>
    <row r="40">
      <c r="A40" s="51" t="n"/>
      <c r="B40" s="51" t="n"/>
      <c r="C40" s="51" t="n"/>
      <c r="D40" s="51" t="n"/>
      <c r="E40" s="51" t="n"/>
    </row>
    <row r="41">
      <c r="A41" s="45" t="inlineStr">
        <is>
          <t>Partners</t>
        </is>
      </c>
      <c r="B41" s="45" t="n"/>
      <c r="C41" s="45" t="n"/>
      <c r="D41" s="45" t="n"/>
      <c r="E41" s="45" t="n"/>
    </row>
    <row r="42">
      <c r="A42" s="38" t="inlineStr">
        <is>
          <t>Employee Expenses</t>
        </is>
      </c>
      <c r="B42" s="39" t="n">
        <v>30.08</v>
      </c>
      <c r="C42" s="39" t="n">
        <v>10.31</v>
      </c>
      <c r="D42" s="39" t="n">
        <v>9.869999999999999</v>
      </c>
      <c r="E42" s="39">
        <f>SUM(B42:D42)</f>
        <v/>
      </c>
    </row>
    <row r="43">
      <c r="A43" s="36" t="inlineStr">
        <is>
          <t>Professional Fees and Outsourcing Expenses</t>
        </is>
      </c>
      <c r="B43" s="37" t="n">
        <v>24.23</v>
      </c>
      <c r="C43" s="37" t="n">
        <v>7.77</v>
      </c>
      <c r="D43" s="37" t="n">
        <v>7.55</v>
      </c>
      <c r="E43" s="37">
        <f>SUM(B43:D43)</f>
        <v/>
      </c>
    </row>
    <row r="44">
      <c r="A44" s="38" t="inlineStr">
        <is>
          <t>Software and Maintenance Expense</t>
        </is>
      </c>
      <c r="B44" s="39" t="n">
        <v>11.88</v>
      </c>
      <c r="C44" s="39" t="n">
        <v>4.37</v>
      </c>
      <c r="D44" s="39" t="n">
        <v>4.01</v>
      </c>
      <c r="E44" s="39">
        <f>SUM(B44:D44)</f>
        <v/>
      </c>
    </row>
    <row r="45">
      <c r="A45" s="36" t="inlineStr">
        <is>
          <t>Reselling Expenses</t>
        </is>
      </c>
      <c r="B45" s="37" t="n">
        <v>35.23</v>
      </c>
      <c r="C45" s="37" t="n">
        <v>12.66</v>
      </c>
      <c r="D45" s="37" t="n">
        <v>11.12</v>
      </c>
      <c r="E45" s="37">
        <f>SUM(B45:D45)</f>
        <v/>
      </c>
    </row>
    <row r="46">
      <c r="A46" s="38" t="inlineStr">
        <is>
          <t>Office Expenses &amp; Rent Allocation</t>
        </is>
      </c>
      <c r="B46" s="39" t="n">
        <v>7.35</v>
      </c>
      <c r="C46" s="39" t="n">
        <v>2.36</v>
      </c>
      <c r="D46" s="39" t="n">
        <v>2.4</v>
      </c>
      <c r="E46" s="39">
        <f>SUM(B46:D46)</f>
        <v/>
      </c>
    </row>
    <row r="47">
      <c r="A47" s="36" t="inlineStr">
        <is>
          <t>Overhead Allocation &amp; Chargebacks</t>
        </is>
      </c>
      <c r="B47" s="37" t="n">
        <v>7.12</v>
      </c>
      <c r="C47" s="37" t="n">
        <v>2.33</v>
      </c>
      <c r="D47" s="37" t="n">
        <v>2.43</v>
      </c>
      <c r="E47" s="37">
        <f>SUM(B47:D47)</f>
        <v/>
      </c>
    </row>
    <row r="48">
      <c r="A48" s="38" t="inlineStr">
        <is>
          <t>Other</t>
        </is>
      </c>
      <c r="B48" s="39" t="n">
        <v>4.35</v>
      </c>
      <c r="C48" s="39" t="n">
        <v>1.38</v>
      </c>
      <c r="D48" s="39" t="n">
        <v>2.63</v>
      </c>
      <c r="E48" s="39">
        <f>SUM(B48:D48)</f>
        <v/>
      </c>
    </row>
    <row r="49">
      <c r="A49" s="54" t="inlineStr">
        <is>
          <t>Total Partners</t>
        </is>
      </c>
      <c r="B49" s="76">
        <f>SUM(B42:B48)</f>
        <v/>
      </c>
      <c r="C49" s="76">
        <f>SUM(C42:C48)</f>
        <v/>
      </c>
      <c r="D49" s="76">
        <f>SUM(D42:D48)</f>
        <v/>
      </c>
      <c r="E49" s="76">
        <f>SUM(E42:E48)</f>
        <v/>
      </c>
    </row>
    <row r="50">
      <c r="A50" s="51" t="n"/>
      <c r="B50" s="51" t="n"/>
      <c r="C50" s="51" t="n"/>
      <c r="D50" s="51" t="n"/>
      <c r="E50" s="51" t="n"/>
    </row>
    <row r="51">
      <c r="A51" s="45" t="inlineStr">
        <is>
          <t>Content</t>
        </is>
      </c>
      <c r="B51" s="45" t="n"/>
      <c r="C51" s="45" t="n"/>
      <c r="D51" s="45" t="n"/>
      <c r="E51" s="45" t="n"/>
    </row>
    <row r="52">
      <c r="A52" s="36" t="inlineStr">
        <is>
          <t>Employee Expenses</t>
        </is>
      </c>
      <c r="B52" s="37" t="n">
        <v>10.34</v>
      </c>
      <c r="C52" s="37" t="n">
        <v>3.57</v>
      </c>
      <c r="D52" s="37" t="n">
        <v>3.81</v>
      </c>
      <c r="E52" s="37">
        <f>SUM(B52:D52)</f>
        <v/>
      </c>
    </row>
    <row r="53">
      <c r="A53" s="38" t="inlineStr">
        <is>
          <t>Professional Fees and Outsourcing Expenses</t>
        </is>
      </c>
      <c r="B53" s="39" t="n">
        <v>2.94</v>
      </c>
      <c r="C53" s="39" t="n">
        <v>0.92</v>
      </c>
      <c r="D53" s="39" t="n">
        <v>0.92</v>
      </c>
      <c r="E53" s="39">
        <f>SUM(B53:D53)</f>
        <v/>
      </c>
    </row>
    <row r="54">
      <c r="A54" s="36" t="inlineStr">
        <is>
          <t>Software and Maintenance Expense</t>
        </is>
      </c>
      <c r="B54" s="37" t="n">
        <v>1.88</v>
      </c>
      <c r="C54" s="37" t="n">
        <v>0.59</v>
      </c>
      <c r="D54" s="37" t="n">
        <v>0.6899999999999999</v>
      </c>
      <c r="E54" s="37">
        <f>SUM(B54:D54)</f>
        <v/>
      </c>
    </row>
    <row r="55">
      <c r="A55" s="38" t="inlineStr">
        <is>
          <t>Office Expenses &amp; Rent Allocation</t>
        </is>
      </c>
      <c r="B55" s="39" t="n">
        <v>1.61</v>
      </c>
      <c r="C55" s="39" t="n">
        <v>0.52</v>
      </c>
      <c r="D55" s="39" t="n">
        <v>0.54</v>
      </c>
      <c r="E55" s="39">
        <f>SUM(B55:D55)</f>
        <v/>
      </c>
    </row>
    <row r="56">
      <c r="A56" s="36" t="inlineStr">
        <is>
          <t>Overhead Allocation &amp; Chargebacks</t>
        </is>
      </c>
      <c r="B56" s="37" t="n">
        <v>1.53</v>
      </c>
      <c r="C56" s="37" t="n">
        <v>0.49</v>
      </c>
      <c r="D56" s="37" t="n">
        <v>0.55</v>
      </c>
      <c r="E56" s="37">
        <f>SUM(B56:D56)</f>
        <v/>
      </c>
    </row>
    <row r="57">
      <c r="A57" s="38" t="inlineStr">
        <is>
          <t>Other</t>
        </is>
      </c>
      <c r="B57" s="39" t="n">
        <v>1.04</v>
      </c>
      <c r="C57" s="39" t="n">
        <v>0</v>
      </c>
      <c r="D57" s="39" t="n">
        <v>0.47</v>
      </c>
      <c r="E57" s="39">
        <f>SUM(B57:D57)</f>
        <v/>
      </c>
    </row>
    <row r="58">
      <c r="A58" s="54" t="inlineStr">
        <is>
          <t>Total Content</t>
        </is>
      </c>
      <c r="B58" s="76">
        <f>SUM(B52:B57)</f>
        <v/>
      </c>
      <c r="C58" s="76">
        <f>SUM(C52:C57)</f>
        <v/>
      </c>
      <c r="D58" s="76">
        <f>SUM(D52:D57)</f>
        <v/>
      </c>
      <c r="E58" s="76">
        <f>SUM(E52:E57)</f>
        <v/>
      </c>
    </row>
    <row r="59">
      <c r="A59" s="51" t="n"/>
      <c r="B59" s="51" t="n"/>
      <c r="C59" s="51" t="n"/>
      <c r="D59" s="51" t="n"/>
      <c r="E59" s="51" t="n"/>
    </row>
    <row r="60">
      <c r="A60" s="45" t="inlineStr">
        <is>
          <t>R&amp;D</t>
        </is>
      </c>
      <c r="B60" s="45" t="n"/>
      <c r="C60" s="45" t="n"/>
      <c r="D60" s="45" t="n"/>
      <c r="E60" s="45" t="n"/>
    </row>
    <row r="61">
      <c r="A61" s="36" t="inlineStr">
        <is>
          <t>Employee Expenses</t>
        </is>
      </c>
      <c r="B61" s="37" t="n">
        <v>211.24</v>
      </c>
      <c r="C61" s="37" t="n">
        <v>60.47</v>
      </c>
      <c r="D61" s="37" t="n">
        <v>43.24</v>
      </c>
      <c r="E61" s="37">
        <f>SUM(B61:D61)</f>
        <v/>
      </c>
    </row>
    <row r="62">
      <c r="A62" s="38" t="inlineStr">
        <is>
          <t>Professional Fees and Outsourcing Expenses</t>
        </is>
      </c>
      <c r="B62" s="39" t="n">
        <v>37.52</v>
      </c>
      <c r="C62" s="39" t="n">
        <v>12.05</v>
      </c>
      <c r="D62" s="39" t="n">
        <v>8.26</v>
      </c>
      <c r="E62" s="39">
        <f>SUM(B62:D62)</f>
        <v/>
      </c>
    </row>
    <row r="63">
      <c r="A63" s="36" t="inlineStr">
        <is>
          <t>Software and Maintenance Expense</t>
        </is>
      </c>
      <c r="B63" s="37" t="n">
        <v>31.01</v>
      </c>
      <c r="C63" s="37" t="n">
        <v>10.18</v>
      </c>
      <c r="D63" s="37" t="n">
        <v>6.82</v>
      </c>
      <c r="E63" s="37">
        <f>SUM(B63:D63)</f>
        <v/>
      </c>
    </row>
    <row r="64">
      <c r="A64" s="38" t="inlineStr">
        <is>
          <t>Advertising and Promotion Expense</t>
        </is>
      </c>
      <c r="B64" s="39" t="n">
        <v>0</v>
      </c>
      <c r="C64" s="39" t="n">
        <v>0</v>
      </c>
      <c r="D64" s="39" t="n">
        <v>0</v>
      </c>
      <c r="E64" s="39">
        <f>SUM(B64:D64)</f>
        <v/>
      </c>
    </row>
    <row r="65">
      <c r="A65" s="36" t="inlineStr">
        <is>
          <t>Office Expenses &amp; Rent Allocation</t>
        </is>
      </c>
      <c r="B65" s="37" t="n">
        <v>14.97</v>
      </c>
      <c r="C65" s="37" t="n">
        <v>4.59</v>
      </c>
      <c r="D65" s="37" t="n">
        <v>3.36</v>
      </c>
      <c r="E65" s="37">
        <f>SUM(B65:D65)</f>
        <v/>
      </c>
    </row>
    <row r="66">
      <c r="A66" s="38" t="inlineStr">
        <is>
          <t>Overhead Allocation &amp; Chargebacks</t>
        </is>
      </c>
      <c r="B66" s="39" t="n">
        <v>16.03</v>
      </c>
      <c r="C66" s="39" t="n">
        <v>5.22</v>
      </c>
      <c r="D66" s="39" t="n">
        <v>3.65</v>
      </c>
      <c r="E66" s="39">
        <f>SUM(B66:D66)</f>
        <v/>
      </c>
    </row>
    <row r="67">
      <c r="A67" s="36" t="inlineStr">
        <is>
          <t>Other</t>
        </is>
      </c>
      <c r="B67" s="37" t="n">
        <v>-0.63</v>
      </c>
      <c r="C67" s="37" t="n">
        <v>-0.9</v>
      </c>
      <c r="D67" s="37" t="n">
        <v>3.43</v>
      </c>
      <c r="E67" s="37">
        <f>SUM(B67:D67)</f>
        <v/>
      </c>
    </row>
    <row r="68">
      <c r="A68" s="54" t="inlineStr">
        <is>
          <t>Total R&amp;D</t>
        </is>
      </c>
      <c r="B68" s="76">
        <f>SUM(B61:B67)</f>
        <v/>
      </c>
      <c r="C68" s="76">
        <f>SUM(C61:C67)</f>
        <v/>
      </c>
      <c r="D68" s="76">
        <f>SUM(D61:D67)</f>
        <v/>
      </c>
      <c r="E68" s="76">
        <f>SUM(E61:E67)</f>
        <v/>
      </c>
    </row>
    <row r="69">
      <c r="A69" s="51" t="n"/>
      <c r="B69" s="51" t="n"/>
      <c r="C69" s="51" t="n"/>
      <c r="D69" s="51" t="n"/>
      <c r="E69" s="51" t="n"/>
    </row>
    <row r="70">
      <c r="A70" s="45" t="inlineStr">
        <is>
          <t>Product Management</t>
        </is>
      </c>
      <c r="B70" s="45" t="n"/>
      <c r="C70" s="45" t="n"/>
      <c r="D70" s="45" t="n"/>
      <c r="E70" s="45" t="n"/>
    </row>
    <row r="71">
      <c r="A71" s="38" t="inlineStr">
        <is>
          <t>Employee Expenses</t>
        </is>
      </c>
      <c r="B71" s="39" t="n">
        <v>96.23999999999999</v>
      </c>
      <c r="C71" s="39" t="n">
        <v>24.58</v>
      </c>
      <c r="D71" s="39" t="n">
        <v>19.47</v>
      </c>
      <c r="E71" s="39">
        <f>SUM(B71:D71)</f>
        <v/>
      </c>
    </row>
    <row r="72">
      <c r="A72" s="36" t="inlineStr">
        <is>
          <t>Professional Fees and Outsourcing Expenses</t>
        </is>
      </c>
      <c r="B72" s="37" t="n">
        <v>24.98</v>
      </c>
      <c r="C72" s="37" t="n">
        <v>7.49</v>
      </c>
      <c r="D72" s="37" t="n">
        <v>5.71</v>
      </c>
      <c r="E72" s="37">
        <f>SUM(B72:D72)</f>
        <v/>
      </c>
    </row>
    <row r="73">
      <c r="A73" s="38" t="inlineStr">
        <is>
          <t>Software and Maintenance Expense</t>
        </is>
      </c>
      <c r="B73" s="39" t="n">
        <v>17.11</v>
      </c>
      <c r="C73" s="39" t="n">
        <v>4.53</v>
      </c>
      <c r="D73" s="39" t="n">
        <v>3.46</v>
      </c>
      <c r="E73" s="39">
        <f>SUM(B73:D73)</f>
        <v/>
      </c>
    </row>
    <row r="74">
      <c r="A74" s="36" t="inlineStr">
        <is>
          <t>Office Expenses &amp; Rent Allocation</t>
        </is>
      </c>
      <c r="B74" s="37" t="n">
        <v>14.51</v>
      </c>
      <c r="C74" s="37" t="n">
        <v>3.87</v>
      </c>
      <c r="D74" s="37" t="n">
        <v>2.95</v>
      </c>
      <c r="E74" s="37">
        <f>SUM(B74:D74)</f>
        <v/>
      </c>
    </row>
    <row r="75">
      <c r="A75" s="38" t="inlineStr">
        <is>
          <t>Overhead Allocation &amp; Chargebacks</t>
        </is>
      </c>
      <c r="B75" s="39" t="n">
        <v>14.67</v>
      </c>
      <c r="C75" s="39" t="n">
        <v>3.59</v>
      </c>
      <c r="D75" s="39" t="n">
        <v>2.87</v>
      </c>
      <c r="E75" s="39">
        <f>SUM(B75:D75)</f>
        <v/>
      </c>
    </row>
    <row r="76">
      <c r="A76" s="36" t="inlineStr">
        <is>
          <t>Other</t>
        </is>
      </c>
      <c r="B76" s="37" t="n">
        <v>2.96</v>
      </c>
      <c r="C76" s="37" t="n">
        <v>3.19</v>
      </c>
      <c r="D76" s="37" t="n">
        <v>-0.14</v>
      </c>
      <c r="E76" s="37">
        <f>SUM(B76:D76)</f>
        <v/>
      </c>
    </row>
    <row r="77">
      <c r="A77" s="54" t="inlineStr">
        <is>
          <t>Total Product Management</t>
        </is>
      </c>
      <c r="B77" s="76">
        <f>SUM(B71:B76)</f>
        <v/>
      </c>
      <c r="C77" s="76">
        <f>SUM(C71:C76)</f>
        <v/>
      </c>
      <c r="D77" s="76">
        <f>SUM(D71:D76)</f>
        <v/>
      </c>
      <c r="E77" s="76">
        <f>SUM(E71:E76)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tabColor rgb="000B4779"/>
    <outlinePr summaryBelow="1" summaryRight="1"/>
    <pageSetUpPr/>
  </sheetPr>
  <dimension ref="A1:T2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3" customWidth="1" min="17" max="17"/>
  </cols>
  <sheetData>
    <row r="1" ht="42" customHeight="1">
      <c r="A1" s="92" t="n"/>
      <c r="B1" s="109" t="inlineStr">
        <is>
          <t>Keystone BenefitTech, Inc.</t>
        </is>
      </c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92" t="n"/>
      <c r="R1" s="93" t="n"/>
      <c r="S1" s="93" t="n"/>
      <c r="T1" s="93" t="n"/>
    </row>
    <row r="2" ht="26" customHeight="1">
      <c r="A2" s="92" t="n"/>
      <c r="B2" s="110" t="inlineStr">
        <is>
          <t>Charts &amp; Visuals Dashboard — FY2025</t>
        </is>
      </c>
      <c r="C2" s="58" t="n"/>
      <c r="D2" s="58" t="n"/>
      <c r="E2" s="58" t="n"/>
      <c r="F2" s="58" t="n"/>
      <c r="G2" s="58" t="n"/>
      <c r="H2" s="58" t="n"/>
      <c r="I2" s="58" t="n"/>
      <c r="J2" s="58" t="n"/>
      <c r="K2" s="58" t="n"/>
      <c r="L2" s="58" t="n"/>
      <c r="M2" s="58" t="n"/>
      <c r="N2" s="58" t="n"/>
      <c r="O2" s="111" t="inlineStr">
        <is>
          <t>Last Updated: 2026-02-28</t>
        </is>
      </c>
      <c r="P2" s="112" t="n"/>
      <c r="Q2" s="92" t="n"/>
      <c r="R2" s="93" t="n"/>
      <c r="S2" s="93" t="n"/>
      <c r="T2" s="93" t="n"/>
    </row>
    <row r="3" ht="4" customHeight="1">
      <c r="A3" s="92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92" t="n"/>
      <c r="R3" s="93" t="n"/>
      <c r="S3" s="93" t="n"/>
      <c r="T3" s="93" t="n"/>
    </row>
    <row r="4" ht="12" customHeight="1">
      <c r="A4" s="92" t="n"/>
      <c r="B4" s="92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3" t="n"/>
      <c r="S4" s="93" t="n"/>
      <c r="T4" s="93" t="n"/>
    </row>
    <row r="5" ht="32" customHeight="1">
      <c r="A5" s="92" t="n"/>
      <c r="B5" s="114" t="inlineStr">
        <is>
          <t>PRODUCT SELECTOR — Choose a product to filter Section 1 charts</t>
        </is>
      </c>
      <c r="C5" s="58" t="n"/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92" t="n"/>
      <c r="R5" s="93" t="n"/>
      <c r="S5" s="93" t="n"/>
      <c r="T5" s="93" t="n"/>
    </row>
    <row r="6" ht="36" customHeight="1">
      <c r="A6" s="92" t="n"/>
      <c r="B6" s="115" t="inlineStr">
        <is>
          <t>Product:</t>
        </is>
      </c>
      <c r="C6" s="116" t="inlineStr">
        <is>
          <t>iGO</t>
        </is>
      </c>
      <c r="D6" s="117" t="inlineStr">
        <is>
          <t>Click the dropdown arrow to select iGO, Affirm, InsureSight, or DocFast</t>
        </is>
      </c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3" t="n"/>
      <c r="S6" s="93" t="n"/>
      <c r="T6" s="93" t="n"/>
    </row>
    <row r="7" ht="14" customHeight="1">
      <c r="A7" s="92" t="n"/>
      <c r="B7" s="92" t="n"/>
      <c r="C7" s="92" t="n"/>
      <c r="D7" s="92" t="n"/>
      <c r="E7" s="92" t="n"/>
      <c r="F7" s="92" t="n"/>
      <c r="G7" s="92" t="n"/>
      <c r="H7" s="92" t="n"/>
      <c r="I7" s="92" t="n"/>
      <c r="J7" s="92" t="n"/>
      <c r="K7" s="92" t="n"/>
      <c r="L7" s="92" t="n"/>
      <c r="M7" s="92" t="n"/>
      <c r="N7" s="92" t="n"/>
      <c r="O7" s="92" t="n"/>
      <c r="P7" s="92" t="n"/>
      <c r="Q7" s="92" t="n"/>
      <c r="R7" s="93" t="n"/>
      <c r="S7" s="93" t="n"/>
      <c r="T7" s="93" t="n"/>
    </row>
    <row r="8" ht="32" customHeight="1">
      <c r="A8" s="92" t="n"/>
      <c r="B8" s="118" t="inlineStr">
        <is>
          <t>SECTION 1  |  SELECTED PRODUCT DASHBOARD</t>
        </is>
      </c>
      <c r="C8" s="119" t="n"/>
      <c r="D8" s="119" t="n"/>
      <c r="E8" s="119" t="n"/>
      <c r="F8" s="119" t="n"/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/>
      <c r="Q8" s="92" t="n"/>
      <c r="R8" s="93" t="n"/>
      <c r="S8" s="93" t="n"/>
      <c r="T8" s="93" t="n"/>
    </row>
    <row r="9" ht="8" customHeight="1">
      <c r="A9" s="92" t="n"/>
      <c r="B9" s="92" t="n"/>
      <c r="C9" s="92" t="n"/>
      <c r="D9" s="92" t="n"/>
      <c r="E9" s="92" t="n"/>
      <c r="F9" s="92" t="n"/>
      <c r="G9" s="92" t="n"/>
      <c r="H9" s="92" t="n"/>
      <c r="I9" s="92" t="n"/>
      <c r="J9" s="92" t="n"/>
      <c r="K9" s="92" t="n"/>
      <c r="L9" s="92" t="n"/>
      <c r="M9" s="92" t="n"/>
      <c r="N9" s="92" t="n"/>
      <c r="O9" s="92" t="n"/>
      <c r="P9" s="92" t="n"/>
      <c r="Q9" s="92" t="n"/>
      <c r="R9" s="93" t="n"/>
      <c r="S9" s="93" t="n"/>
      <c r="T9" s="93" t="n"/>
    </row>
    <row r="10" ht="16" customHeight="1">
      <c r="A10" s="92" t="n"/>
      <c r="B10" s="120" t="inlineStr">
        <is>
          <t>Revenue vs Cost of Revenue — Monthly ($K)</t>
        </is>
      </c>
      <c r="C10" s="92" t="n"/>
      <c r="D10" s="92" t="n"/>
      <c r="E10" s="92" t="n"/>
      <c r="F10" s="92" t="n"/>
      <c r="G10" s="92" t="n"/>
      <c r="H10" s="92" t="n"/>
      <c r="I10" s="92" t="n"/>
      <c r="J10" s="120" t="inlineStr">
        <is>
          <t>Contribution Margin % — Monthly Trend</t>
        </is>
      </c>
      <c r="K10" s="92" t="n"/>
      <c r="L10" s="92" t="n"/>
      <c r="M10" s="92" t="n"/>
      <c r="N10" s="92" t="n"/>
      <c r="O10" s="92" t="n"/>
      <c r="P10" s="92" t="n"/>
      <c r="Q10" s="92" t="n"/>
      <c r="R10" s="93" t="n"/>
      <c r="S10" s="93" t="n"/>
      <c r="T10" s="93" t="n"/>
    </row>
    <row r="11">
      <c r="A11" s="92" t="n"/>
      <c r="B11" s="92" t="n"/>
      <c r="C11" s="92" t="n"/>
      <c r="D11" s="92" t="n"/>
      <c r="E11" s="9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3" t="n"/>
      <c r="S11" s="93" t="n"/>
      <c r="T11" s="93" t="n"/>
    </row>
    <row r="12">
      <c r="A12" s="92" t="n"/>
      <c r="B12" s="92" t="n"/>
      <c r="C12" s="92" t="n"/>
      <c r="D12" s="92" t="n"/>
      <c r="E12" s="92" t="n"/>
      <c r="F12" s="92" t="n"/>
      <c r="G12" s="92" t="n"/>
      <c r="H12" s="92" t="n"/>
      <c r="I12" s="92" t="n"/>
      <c r="J12" s="92" t="n"/>
      <c r="K12" s="92" t="n"/>
      <c r="L12" s="92" t="n"/>
      <c r="M12" s="92" t="n"/>
      <c r="N12" s="92" t="n"/>
      <c r="O12" s="92" t="n"/>
      <c r="P12" s="92" t="n"/>
      <c r="Q12" s="92" t="n"/>
      <c r="R12" s="93" t="n"/>
      <c r="S12" s="93" t="n"/>
      <c r="T12" s="93" t="n"/>
    </row>
    <row r="13">
      <c r="A13" s="92" t="n"/>
      <c r="B13" s="92" t="n"/>
      <c r="C13" s="92" t="n"/>
      <c r="D13" s="92" t="n"/>
      <c r="E13" s="92" t="n"/>
      <c r="F13" s="92" t="n"/>
      <c r="G13" s="92" t="n"/>
      <c r="H13" s="92" t="n"/>
      <c r="I13" s="92" t="n"/>
      <c r="J13" s="92" t="n"/>
      <c r="K13" s="92" t="n"/>
      <c r="L13" s="92" t="n"/>
      <c r="M13" s="92" t="n"/>
      <c r="N13" s="92" t="n"/>
      <c r="O13" s="92" t="n"/>
      <c r="P13" s="92" t="n"/>
      <c r="Q13" s="92" t="n"/>
      <c r="R13" s="93" t="n"/>
      <c r="S13" s="93" t="n"/>
      <c r="T13" s="93" t="n"/>
    </row>
    <row r="14">
      <c r="A14" s="92" t="n"/>
      <c r="B14" s="92" t="n"/>
      <c r="C14" s="92" t="n"/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2" t="n"/>
      <c r="P14" s="92" t="n"/>
      <c r="Q14" s="92" t="n"/>
      <c r="R14" s="93" t="n"/>
      <c r="S14" s="93" t="n"/>
      <c r="T14" s="93" t="n"/>
    </row>
    <row r="15">
      <c r="A15" s="92" t="n"/>
      <c r="B15" s="92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2" t="n"/>
      <c r="Q15" s="92" t="n"/>
      <c r="R15" s="93" t="n"/>
      <c r="S15" s="93" t="n"/>
      <c r="T15" s="93" t="n"/>
    </row>
    <row r="16">
      <c r="A16" s="92" t="n"/>
      <c r="B16" s="92" t="n"/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92" t="n"/>
      <c r="M16" s="92" t="n"/>
      <c r="N16" s="92" t="n"/>
      <c r="O16" s="92" t="n"/>
      <c r="P16" s="92" t="n"/>
      <c r="Q16" s="92" t="n"/>
      <c r="R16" s="93" t="n"/>
      <c r="S16" s="93" t="n"/>
      <c r="T16" s="93" t="n"/>
    </row>
    <row r="17">
      <c r="A17" s="92" t="n"/>
      <c r="B17" s="92" t="n"/>
      <c r="C17" s="92" t="n"/>
      <c r="D17" s="92" t="n"/>
      <c r="E17" s="92" t="n"/>
      <c r="F17" s="92" t="n"/>
      <c r="G17" s="92" t="n"/>
      <c r="H17" s="92" t="n"/>
      <c r="I17" s="92" t="n"/>
      <c r="J17" s="92" t="n"/>
      <c r="K17" s="92" t="n"/>
      <c r="L17" s="92" t="n"/>
      <c r="M17" s="92" t="n"/>
      <c r="N17" s="92" t="n"/>
      <c r="O17" s="92" t="n"/>
      <c r="P17" s="92" t="n"/>
      <c r="Q17" s="92" t="n"/>
      <c r="R17" s="93" t="n"/>
      <c r="S17" s="93" t="n"/>
      <c r="T17" s="93" t="n"/>
    </row>
    <row r="18">
      <c r="A18" s="92" t="n"/>
      <c r="B18" s="92" t="n"/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92" t="n"/>
      <c r="M18" s="92" t="n"/>
      <c r="N18" s="92" t="n"/>
      <c r="O18" s="92" t="n"/>
      <c r="P18" s="92" t="n"/>
      <c r="Q18" s="92" t="n"/>
      <c r="R18" s="93" t="n"/>
      <c r="S18" s="93" t="n"/>
      <c r="T18" s="93" t="n"/>
    </row>
    <row r="19">
      <c r="A19" s="92" t="n"/>
      <c r="B19" s="92" t="n"/>
      <c r="C19" s="92" t="n"/>
      <c r="D19" s="92" t="n"/>
      <c r="E19" s="92" t="n"/>
      <c r="F19" s="92" t="n"/>
      <c r="G19" s="92" t="n"/>
      <c r="H19" s="92" t="n"/>
      <c r="I19" s="92" t="n"/>
      <c r="J19" s="92" t="n"/>
      <c r="K19" s="92" t="n"/>
      <c r="L19" s="92" t="n"/>
      <c r="M19" s="92" t="n"/>
      <c r="N19" s="92" t="n"/>
      <c r="O19" s="92" t="n"/>
      <c r="P19" s="92" t="n"/>
      <c r="Q19" s="92" t="n"/>
      <c r="R19" s="93" t="n"/>
      <c r="S19" s="93" t="n"/>
      <c r="T19" s="93" t="n"/>
    </row>
    <row r="20">
      <c r="A20" s="92" t="n"/>
      <c r="B20" s="92" t="n"/>
      <c r="C20" s="92" t="n"/>
      <c r="D20" s="92" t="n"/>
      <c r="E20" s="92" t="n"/>
      <c r="F20" s="92" t="n"/>
      <c r="G20" s="92" t="n"/>
      <c r="H20" s="92" t="n"/>
      <c r="I20" s="92" t="n"/>
      <c r="J20" s="92" t="n"/>
      <c r="K20" s="92" t="n"/>
      <c r="L20" s="92" t="n"/>
      <c r="M20" s="92" t="n"/>
      <c r="N20" s="92" t="n"/>
      <c r="O20" s="92" t="n"/>
      <c r="P20" s="92" t="n"/>
      <c r="Q20" s="92" t="n"/>
      <c r="R20" s="93" t="n"/>
      <c r="S20" s="93" t="n"/>
      <c r="T20" s="93" t="n"/>
    </row>
    <row r="21">
      <c r="A21" s="92" t="n"/>
      <c r="B21" s="92" t="n"/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  <c r="O21" s="92" t="n"/>
      <c r="P21" s="92" t="n"/>
      <c r="Q21" s="92" t="n"/>
      <c r="R21" s="93" t="n"/>
      <c r="S21" s="93" t="n"/>
      <c r="T21" s="93" t="n"/>
    </row>
    <row r="22">
      <c r="A22" s="92" t="n"/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  <c r="O22" s="92" t="n"/>
      <c r="P22" s="92" t="n"/>
      <c r="Q22" s="92" t="n"/>
      <c r="R22" s="93" t="n"/>
      <c r="S22" s="93" t="n"/>
      <c r="T22" s="93" t="n"/>
    </row>
    <row r="23">
      <c r="A23" s="92" t="n"/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  <c r="O23" s="92" t="n"/>
      <c r="P23" s="92" t="n"/>
      <c r="Q23" s="92" t="n"/>
      <c r="R23" s="93" t="n"/>
      <c r="S23" s="93" t="n"/>
      <c r="T23" s="93" t="n"/>
    </row>
    <row r="24">
      <c r="A24" s="92" t="n"/>
      <c r="B24" s="92" t="n"/>
      <c r="C24" s="92" t="n"/>
      <c r="D24" s="92" t="n"/>
      <c r="E24" s="92" t="n"/>
      <c r="F24" s="92" t="n"/>
      <c r="G24" s="92" t="n"/>
      <c r="H24" s="92" t="n"/>
      <c r="I24" s="92" t="n"/>
      <c r="J24" s="92" t="n"/>
      <c r="K24" s="92" t="n"/>
      <c r="L24" s="92" t="n"/>
      <c r="M24" s="92" t="n"/>
      <c r="N24" s="92" t="n"/>
      <c r="O24" s="92" t="n"/>
      <c r="P24" s="92" t="n"/>
      <c r="Q24" s="92" t="n"/>
      <c r="R24" s="93" t="n"/>
      <c r="S24" s="93" t="n"/>
      <c r="T24" s="93" t="n"/>
    </row>
    <row r="25">
      <c r="A25" s="92" t="n"/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  <c r="O25" s="92" t="n"/>
      <c r="P25" s="92" t="n"/>
      <c r="Q25" s="92" t="n"/>
      <c r="R25" s="93" t="n"/>
      <c r="S25" s="93" t="n"/>
      <c r="T25" s="93" t="n"/>
    </row>
    <row r="26">
      <c r="A26" s="92" t="n"/>
      <c r="B26" s="92" t="n"/>
      <c r="C26" s="92" t="n"/>
      <c r="D26" s="92" t="n"/>
      <c r="E26" s="92" t="n"/>
      <c r="F26" s="92" t="n"/>
      <c r="G26" s="92" t="n"/>
      <c r="H26" s="92" t="n"/>
      <c r="I26" s="92" t="n"/>
      <c r="J26" s="92" t="n"/>
      <c r="K26" s="92" t="n"/>
      <c r="L26" s="92" t="n"/>
      <c r="M26" s="92" t="n"/>
      <c r="N26" s="92" t="n"/>
      <c r="O26" s="92" t="n"/>
      <c r="P26" s="92" t="n"/>
      <c r="Q26" s="92" t="n"/>
      <c r="R26" s="93" t="n"/>
      <c r="S26" s="93" t="n"/>
      <c r="T26" s="93" t="n"/>
    </row>
    <row r="27">
      <c r="A27" s="92" t="n"/>
      <c r="B27" s="92" t="n"/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  <c r="O27" s="92" t="n"/>
      <c r="P27" s="92" t="n"/>
      <c r="Q27" s="92" t="n"/>
      <c r="R27" s="93" t="n"/>
      <c r="S27" s="93" t="n"/>
      <c r="T27" s="93" t="n"/>
    </row>
    <row r="28">
      <c r="A28" s="92" t="n"/>
      <c r="B28" s="92" t="n"/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92" t="n"/>
      <c r="M28" s="92" t="n"/>
      <c r="N28" s="92" t="n"/>
      <c r="O28" s="92" t="n"/>
      <c r="P28" s="92" t="n"/>
      <c r="Q28" s="92" t="n"/>
      <c r="R28" s="93" t="n"/>
      <c r="S28" s="93" t="n"/>
      <c r="T28" s="93" t="n"/>
    </row>
    <row r="29" ht="10" customHeight="1">
      <c r="A29" s="92" t="n"/>
      <c r="B29" s="92" t="n"/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  <c r="O29" s="92" t="n"/>
      <c r="P29" s="92" t="n"/>
      <c r="Q29" s="92" t="n"/>
      <c r="R29" s="93" t="n"/>
      <c r="S29" s="93" t="n"/>
      <c r="T29" s="93" t="n"/>
    </row>
    <row r="30" ht="16" customHeight="1">
      <c r="A30" s="92" t="n"/>
      <c r="B30" s="120" t="inlineStr">
        <is>
          <t>Expense Breakdown by Department — Full Year</t>
        </is>
      </c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92" t="n"/>
      <c r="M30" s="92" t="n"/>
      <c r="N30" s="92" t="n"/>
      <c r="O30" s="92" t="n"/>
      <c r="P30" s="92" t="n"/>
      <c r="Q30" s="92" t="n"/>
      <c r="R30" s="93" t="n"/>
      <c r="S30" s="93" t="n"/>
      <c r="T30" s="93" t="n"/>
    </row>
    <row r="31">
      <c r="A31" s="92" t="n"/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  <c r="O31" s="92" t="n"/>
      <c r="P31" s="92" t="n"/>
      <c r="Q31" s="92" t="n"/>
      <c r="R31" s="93" t="n"/>
      <c r="S31" s="93" t="n"/>
      <c r="T31" s="93" t="n"/>
    </row>
    <row r="32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  <c r="O32" s="92" t="n"/>
      <c r="P32" s="92" t="n"/>
      <c r="Q32" s="92" t="n"/>
      <c r="R32" s="93" t="n"/>
      <c r="S32" s="93" t="n"/>
      <c r="T32" s="93" t="n"/>
    </row>
    <row r="33">
      <c r="A33" s="92" t="n"/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  <c r="O33" s="92" t="n"/>
      <c r="P33" s="92" t="n"/>
      <c r="Q33" s="92" t="n"/>
      <c r="R33" s="93" t="n"/>
      <c r="S33" s="93" t="n"/>
      <c r="T33" s="93" t="n"/>
    </row>
    <row r="34">
      <c r="A34" s="92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  <c r="O34" s="92" t="n"/>
      <c r="P34" s="92" t="n"/>
      <c r="Q34" s="92" t="n"/>
      <c r="R34" s="93" t="n"/>
      <c r="S34" s="93" t="n"/>
      <c r="T34" s="93" t="n"/>
    </row>
    <row r="35">
      <c r="A35" s="92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  <c r="O35" s="92" t="n"/>
      <c r="P35" s="92" t="n"/>
      <c r="Q35" s="92" t="n"/>
      <c r="R35" s="93" t="n"/>
      <c r="S35" s="93" t="n"/>
      <c r="T35" s="93" t="n"/>
    </row>
    <row r="36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  <c r="O36" s="92" t="n"/>
      <c r="P36" s="92" t="n"/>
      <c r="Q36" s="92" t="n"/>
      <c r="R36" s="93" t="n"/>
      <c r="S36" s="93" t="n"/>
      <c r="T36" s="93" t="n"/>
    </row>
    <row r="37">
      <c r="A37" s="92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  <c r="O37" s="92" t="n"/>
      <c r="P37" s="92" t="n"/>
      <c r="Q37" s="92" t="n"/>
      <c r="R37" s="93" t="n"/>
      <c r="S37" s="93" t="n"/>
      <c r="T37" s="93" t="n"/>
    </row>
    <row r="38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  <c r="O38" s="92" t="n"/>
      <c r="P38" s="92" t="n"/>
      <c r="Q38" s="92" t="n"/>
      <c r="R38" s="93" t="n"/>
      <c r="S38" s="93" t="n"/>
      <c r="T38" s="93" t="n"/>
    </row>
    <row r="39">
      <c r="A39" s="92" t="n"/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  <c r="O39" s="92" t="n"/>
      <c r="P39" s="92" t="n"/>
      <c r="Q39" s="92" t="n"/>
      <c r="R39" s="93" t="n"/>
      <c r="S39" s="93" t="n"/>
      <c r="T39" s="93" t="n"/>
    </row>
    <row r="40">
      <c r="A40" s="92" t="n"/>
      <c r="B40" s="92" t="n"/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92" t="n"/>
      <c r="M40" s="92" t="n"/>
      <c r="N40" s="92" t="n"/>
      <c r="O40" s="92" t="n"/>
      <c r="P40" s="92" t="n"/>
      <c r="Q40" s="92" t="n"/>
      <c r="R40" s="93" t="n"/>
      <c r="S40" s="93" t="n"/>
      <c r="T40" s="93" t="n"/>
    </row>
    <row r="41">
      <c r="A41" s="92" t="n"/>
      <c r="B41" s="92" t="n"/>
      <c r="C41" s="92" t="n"/>
      <c r="D41" s="92" t="n"/>
      <c r="E41" s="92" t="n"/>
      <c r="F41" s="92" t="n"/>
      <c r="G41" s="92" t="n"/>
      <c r="H41" s="92" t="n"/>
      <c r="I41" s="92" t="n"/>
      <c r="J41" s="92" t="n"/>
      <c r="K41" s="92" t="n"/>
      <c r="L41" s="92" t="n"/>
      <c r="M41" s="92" t="n"/>
      <c r="N41" s="92" t="n"/>
      <c r="O41" s="92" t="n"/>
      <c r="P41" s="92" t="n"/>
      <c r="Q41" s="92" t="n"/>
      <c r="R41" s="93" t="n"/>
      <c r="S41" s="93" t="n"/>
      <c r="T41" s="93" t="n"/>
    </row>
    <row r="42">
      <c r="A42" s="92" t="n"/>
      <c r="B42" s="92" t="n"/>
      <c r="C42" s="92" t="n"/>
      <c r="D42" s="92" t="n"/>
      <c r="E42" s="92" t="n"/>
      <c r="F42" s="92" t="n"/>
      <c r="G42" s="92" t="n"/>
      <c r="H42" s="92" t="n"/>
      <c r="I42" s="92" t="n"/>
      <c r="J42" s="92" t="n"/>
      <c r="K42" s="92" t="n"/>
      <c r="L42" s="92" t="n"/>
      <c r="M42" s="92" t="n"/>
      <c r="N42" s="92" t="n"/>
      <c r="O42" s="92" t="n"/>
      <c r="P42" s="92" t="n"/>
      <c r="Q42" s="92" t="n"/>
      <c r="R42" s="93" t="n"/>
      <c r="S42" s="93" t="n"/>
      <c r="T42" s="93" t="n"/>
    </row>
    <row r="43">
      <c r="A43" s="92" t="n"/>
      <c r="B43" s="92" t="n"/>
      <c r="C43" s="92" t="n"/>
      <c r="D43" s="92" t="n"/>
      <c r="E43" s="92" t="n"/>
      <c r="F43" s="92" t="n"/>
      <c r="G43" s="92" t="n"/>
      <c r="H43" s="92" t="n"/>
      <c r="I43" s="92" t="n"/>
      <c r="J43" s="92" t="n"/>
      <c r="K43" s="92" t="n"/>
      <c r="L43" s="92" t="n"/>
      <c r="M43" s="92" t="n"/>
      <c r="N43" s="92" t="n"/>
      <c r="O43" s="92" t="n"/>
      <c r="P43" s="92" t="n"/>
      <c r="Q43" s="92" t="n"/>
      <c r="R43" s="93" t="n"/>
      <c r="S43" s="93" t="n"/>
      <c r="T43" s="93" t="n"/>
    </row>
    <row r="44">
      <c r="A44" s="92" t="n"/>
      <c r="B44" s="92" t="n"/>
      <c r="C44" s="92" t="n"/>
      <c r="D44" s="92" t="n"/>
      <c r="E44" s="92" t="n"/>
      <c r="F44" s="92" t="n"/>
      <c r="G44" s="92" t="n"/>
      <c r="H44" s="92" t="n"/>
      <c r="I44" s="92" t="n"/>
      <c r="J44" s="92" t="n"/>
      <c r="K44" s="92" t="n"/>
      <c r="L44" s="92" t="n"/>
      <c r="M44" s="92" t="n"/>
      <c r="N44" s="92" t="n"/>
      <c r="O44" s="92" t="n"/>
      <c r="P44" s="92" t="n"/>
      <c r="Q44" s="92" t="n"/>
      <c r="R44" s="93" t="n"/>
      <c r="S44" s="93" t="n"/>
      <c r="T44" s="93" t="n"/>
    </row>
    <row r="45">
      <c r="A45" s="92" t="n"/>
      <c r="B45" s="92" t="n"/>
      <c r="C45" s="92" t="n"/>
      <c r="D45" s="92" t="n"/>
      <c r="E45" s="92" t="n"/>
      <c r="F45" s="92" t="n"/>
      <c r="G45" s="92" t="n"/>
      <c r="H45" s="92" t="n"/>
      <c r="I45" s="92" t="n"/>
      <c r="J45" s="92" t="n"/>
      <c r="K45" s="92" t="n"/>
      <c r="L45" s="92" t="n"/>
      <c r="M45" s="92" t="n"/>
      <c r="N45" s="92" t="n"/>
      <c r="O45" s="92" t="n"/>
      <c r="P45" s="92" t="n"/>
      <c r="Q45" s="92" t="n"/>
      <c r="R45" s="93" t="n"/>
      <c r="S45" s="93" t="n"/>
      <c r="T45" s="93" t="n"/>
    </row>
    <row r="46">
      <c r="A46" s="92" t="n"/>
      <c r="B46" s="92" t="n"/>
      <c r="C46" s="92" t="n"/>
      <c r="D46" s="92" t="n"/>
      <c r="E46" s="92" t="n"/>
      <c r="F46" s="92" t="n"/>
      <c r="G46" s="92" t="n"/>
      <c r="H46" s="92" t="n"/>
      <c r="I46" s="92" t="n"/>
      <c r="J46" s="92" t="n"/>
      <c r="K46" s="92" t="n"/>
      <c r="L46" s="92" t="n"/>
      <c r="M46" s="92" t="n"/>
      <c r="N46" s="92" t="n"/>
      <c r="O46" s="92" t="n"/>
      <c r="P46" s="92" t="n"/>
      <c r="Q46" s="92" t="n"/>
      <c r="R46" s="93" t="n"/>
      <c r="S46" s="93" t="n"/>
      <c r="T46" s="93" t="n"/>
    </row>
    <row r="47">
      <c r="A47" s="92" t="n"/>
      <c r="B47" s="92" t="n"/>
      <c r="C47" s="92" t="n"/>
      <c r="D47" s="92" t="n"/>
      <c r="E47" s="92" t="n"/>
      <c r="F47" s="92" t="n"/>
      <c r="G47" s="92" t="n"/>
      <c r="H47" s="92" t="n"/>
      <c r="I47" s="92" t="n"/>
      <c r="J47" s="92" t="n"/>
      <c r="K47" s="92" t="n"/>
      <c r="L47" s="92" t="n"/>
      <c r="M47" s="92" t="n"/>
      <c r="N47" s="92" t="n"/>
      <c r="O47" s="92" t="n"/>
      <c r="P47" s="92" t="n"/>
      <c r="Q47" s="92" t="n"/>
      <c r="R47" s="93" t="n"/>
      <c r="S47" s="93" t="n"/>
      <c r="T47" s="93" t="n"/>
    </row>
    <row r="48">
      <c r="A48" s="92" t="n"/>
      <c r="B48" s="92" t="n"/>
      <c r="C48" s="92" t="n"/>
      <c r="D48" s="92" t="n"/>
      <c r="E48" s="92" t="n"/>
      <c r="F48" s="92" t="n"/>
      <c r="G48" s="92" t="n"/>
      <c r="H48" s="92" t="n"/>
      <c r="I48" s="92" t="n"/>
      <c r="J48" s="92" t="n"/>
      <c r="K48" s="92" t="n"/>
      <c r="L48" s="92" t="n"/>
      <c r="M48" s="92" t="n"/>
      <c r="N48" s="92" t="n"/>
      <c r="O48" s="92" t="n"/>
      <c r="P48" s="92" t="n"/>
      <c r="Q48" s="92" t="n"/>
      <c r="R48" s="93" t="n"/>
      <c r="S48" s="93" t="n"/>
      <c r="T48" s="93" t="n"/>
    </row>
    <row r="49" ht="14" customHeight="1">
      <c r="A49" s="92" t="n"/>
      <c r="B49" s="92" t="n"/>
      <c r="C49" s="92" t="n"/>
      <c r="D49" s="92" t="n"/>
      <c r="E49" s="92" t="n"/>
      <c r="F49" s="92" t="n"/>
      <c r="G49" s="92" t="n"/>
      <c r="H49" s="92" t="n"/>
      <c r="I49" s="92" t="n"/>
      <c r="J49" s="92" t="n"/>
      <c r="K49" s="92" t="n"/>
      <c r="L49" s="92" t="n"/>
      <c r="M49" s="92" t="n"/>
      <c r="N49" s="92" t="n"/>
      <c r="O49" s="92" t="n"/>
      <c r="P49" s="92" t="n"/>
      <c r="Q49" s="92" t="n"/>
      <c r="R49" s="93" t="n"/>
      <c r="S49" s="93" t="n"/>
      <c r="T49" s="93" t="n"/>
    </row>
    <row r="50" ht="32" customHeight="1">
      <c r="A50" s="92" t="n"/>
      <c r="B50" s="118" t="inlineStr">
        <is>
          <t>SECTION 2  |  ALL-PRODUCTS COMPARISON</t>
        </is>
      </c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 t="n"/>
      <c r="P50" s="119" t="n"/>
      <c r="Q50" s="92" t="n"/>
      <c r="R50" s="93" t="n"/>
      <c r="S50" s="93" t="n"/>
      <c r="T50" s="93" t="n"/>
    </row>
    <row r="51" ht="8" customHeight="1">
      <c r="A51" s="92" t="n"/>
      <c r="B51" s="121" t="n"/>
      <c r="C51" s="121" t="n"/>
      <c r="D51" s="121" t="n"/>
      <c r="E51" s="121" t="n"/>
      <c r="F51" s="121" t="n"/>
      <c r="G51" s="121" t="n"/>
      <c r="H51" s="121" t="n"/>
      <c r="I51" s="121" t="n"/>
      <c r="J51" s="121" t="n"/>
      <c r="K51" s="121" t="n"/>
      <c r="L51" s="121" t="n"/>
      <c r="M51" s="121" t="n"/>
      <c r="N51" s="92" t="n"/>
      <c r="O51" s="92" t="n"/>
      <c r="P51" s="92" t="n"/>
      <c r="Q51" s="92" t="n"/>
      <c r="R51" s="93" t="n"/>
      <c r="S51" s="93" t="n"/>
      <c r="T51" s="93" t="n"/>
    </row>
    <row r="52" ht="16" customHeight="1">
      <c r="A52" s="92" t="n"/>
      <c r="B52" s="122" t="inlineStr">
        <is>
          <t>Monthly Revenue by Product ($K)</t>
        </is>
      </c>
      <c r="C52" s="121" t="n"/>
      <c r="D52" s="121" t="n"/>
      <c r="E52" s="121" t="n"/>
      <c r="F52" s="121" t="n"/>
      <c r="G52" s="121" t="n"/>
      <c r="H52" s="121" t="n"/>
      <c r="I52" s="121" t="n"/>
      <c r="J52" s="122" t="inlineStr">
        <is>
          <t>Contribution Margin % by Product</t>
        </is>
      </c>
      <c r="K52" s="121" t="n"/>
      <c r="L52" s="121" t="n"/>
      <c r="M52" s="121" t="n"/>
      <c r="N52" s="92" t="n"/>
      <c r="O52" s="92" t="n"/>
      <c r="P52" s="92" t="n"/>
      <c r="Q52" s="92" t="n"/>
      <c r="R52" s="93" t="n"/>
      <c r="S52" s="93" t="n"/>
      <c r="T52" s="93" t="n"/>
    </row>
    <row r="53">
      <c r="A53" s="92" t="n"/>
      <c r="B53" s="121" t="n"/>
      <c r="C53" s="121" t="n"/>
      <c r="D53" s="121" t="n"/>
      <c r="E53" s="121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92" t="n"/>
      <c r="O53" s="92" t="n"/>
      <c r="P53" s="92" t="n"/>
      <c r="Q53" s="92" t="n"/>
      <c r="R53" s="93" t="n"/>
      <c r="S53" s="93" t="n"/>
      <c r="T53" s="93" t="n"/>
    </row>
    <row r="54">
      <c r="A54" s="92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92" t="n"/>
      <c r="O54" s="92" t="n"/>
      <c r="P54" s="92" t="n"/>
      <c r="Q54" s="92" t="n"/>
      <c r="R54" s="93" t="n"/>
      <c r="S54" s="93" t="n"/>
      <c r="T54" s="93" t="n"/>
    </row>
    <row r="55">
      <c r="A55" s="92" t="n"/>
      <c r="B55" s="121" t="n"/>
      <c r="C55" s="121" t="n"/>
      <c r="D55" s="121" t="n"/>
      <c r="E55" s="121" t="n"/>
      <c r="F55" s="121" t="n"/>
      <c r="G55" s="121" t="n"/>
      <c r="H55" s="121" t="n"/>
      <c r="I55" s="121" t="n"/>
      <c r="J55" s="121" t="n"/>
      <c r="K55" s="121" t="n"/>
      <c r="L55" s="121" t="n"/>
      <c r="M55" s="121" t="n"/>
      <c r="N55" s="92" t="n"/>
      <c r="O55" s="92" t="n"/>
      <c r="P55" s="92" t="n"/>
      <c r="Q55" s="92" t="n"/>
      <c r="R55" s="93" t="n"/>
      <c r="S55" s="93" t="n"/>
      <c r="T55" s="93" t="n"/>
    </row>
    <row r="56">
      <c r="A56" s="92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92" t="n"/>
      <c r="O56" s="92" t="n"/>
      <c r="P56" s="92" t="n"/>
      <c r="Q56" s="92" t="n"/>
      <c r="R56" s="93" t="n"/>
      <c r="S56" s="93" t="n"/>
      <c r="T56" s="93" t="n"/>
    </row>
    <row r="57">
      <c r="A57" s="92" t="n"/>
      <c r="B57" s="92" t="n"/>
      <c r="C57" s="92" t="n"/>
      <c r="D57" s="92" t="n"/>
      <c r="E57" s="92" t="n"/>
      <c r="F57" s="92" t="n"/>
      <c r="G57" s="92" t="n"/>
      <c r="H57" s="92" t="n"/>
      <c r="I57" s="92" t="n"/>
      <c r="J57" s="92" t="n"/>
      <c r="K57" s="92" t="n"/>
      <c r="L57" s="92" t="n"/>
      <c r="M57" s="92" t="n"/>
      <c r="N57" s="92" t="n"/>
      <c r="O57" s="92" t="n"/>
      <c r="P57" s="92" t="n"/>
      <c r="Q57" s="92" t="n"/>
      <c r="R57" s="93" t="n"/>
      <c r="S57" s="93" t="n"/>
      <c r="T57" s="93" t="n"/>
    </row>
    <row r="58">
      <c r="A58" s="92" t="n"/>
      <c r="B58" s="92" t="n"/>
      <c r="C58" s="92" t="n"/>
      <c r="D58" s="92" t="n"/>
      <c r="E58" s="92" t="n"/>
      <c r="F58" s="92" t="n"/>
      <c r="G58" s="92" t="n"/>
      <c r="H58" s="92" t="n"/>
      <c r="I58" s="92" t="n"/>
      <c r="J58" s="92" t="n"/>
      <c r="K58" s="92" t="n"/>
      <c r="L58" s="92" t="n"/>
      <c r="M58" s="92" t="n"/>
      <c r="N58" s="92" t="n"/>
      <c r="O58" s="92" t="n"/>
      <c r="P58" s="92" t="n"/>
      <c r="Q58" s="92" t="n"/>
      <c r="R58" s="93" t="n"/>
      <c r="S58" s="93" t="n"/>
      <c r="T58" s="93" t="n"/>
    </row>
    <row r="59">
      <c r="A59" s="92" t="n"/>
      <c r="B59" s="121" t="n"/>
      <c r="C59" s="121" t="n"/>
      <c r="D59" s="121" t="n"/>
      <c r="E59" s="121" t="n"/>
      <c r="F59" s="121" t="n"/>
      <c r="G59" s="121" t="n"/>
      <c r="H59" s="121" t="n"/>
      <c r="I59" s="121" t="n"/>
      <c r="J59" s="121" t="n"/>
      <c r="K59" s="121" t="n"/>
      <c r="L59" s="121" t="n"/>
      <c r="M59" s="121" t="n"/>
      <c r="N59" s="121" t="n"/>
      <c r="O59" s="92" t="n"/>
      <c r="P59" s="92" t="n"/>
      <c r="Q59" s="92" t="n"/>
      <c r="R59" s="93" t="n"/>
      <c r="S59" s="93" t="n"/>
      <c r="T59" s="93" t="n"/>
    </row>
    <row r="60">
      <c r="A60" s="92" t="n"/>
      <c r="B60" s="121" t="n"/>
      <c r="C60" s="121" t="n"/>
      <c r="D60" s="121" t="n"/>
      <c r="E60" s="121" t="n"/>
      <c r="F60" s="121" t="n"/>
      <c r="G60" s="121" t="n"/>
      <c r="H60" s="121" t="n"/>
      <c r="I60" s="121" t="n"/>
      <c r="J60" s="121" t="n"/>
      <c r="K60" s="121" t="n"/>
      <c r="L60" s="121" t="n"/>
      <c r="M60" s="121" t="n"/>
      <c r="N60" s="121" t="n"/>
      <c r="O60" s="92" t="n"/>
      <c r="P60" s="92" t="n"/>
      <c r="Q60" s="92" t="n"/>
      <c r="R60" s="93" t="n"/>
      <c r="S60" s="93" t="n"/>
      <c r="T60" s="93" t="n"/>
    </row>
    <row r="61">
      <c r="A61" s="92" t="n"/>
      <c r="B61" s="121" t="n"/>
      <c r="C61" s="121" t="n"/>
      <c r="D61" s="121" t="n"/>
      <c r="E61" s="121" t="n"/>
      <c r="F61" s="121" t="n"/>
      <c r="G61" s="121" t="n"/>
      <c r="H61" s="121" t="n"/>
      <c r="I61" s="121" t="n"/>
      <c r="J61" s="121" t="n"/>
      <c r="K61" s="121" t="n"/>
      <c r="L61" s="121" t="n"/>
      <c r="M61" s="121" t="n"/>
      <c r="N61" s="121" t="n"/>
      <c r="O61" s="92" t="n"/>
      <c r="P61" s="92" t="n"/>
      <c r="Q61" s="92" t="n"/>
      <c r="R61" s="93" t="n"/>
      <c r="S61" s="93" t="n"/>
      <c r="T61" s="93" t="n"/>
    </row>
    <row r="62">
      <c r="A62" s="92" t="n"/>
      <c r="B62" s="121" t="n"/>
      <c r="C62" s="121" t="n"/>
      <c r="D62" s="121" t="n"/>
      <c r="E62" s="121" t="n"/>
      <c r="F62" s="121" t="n"/>
      <c r="G62" s="121" t="n"/>
      <c r="H62" s="121" t="n"/>
      <c r="I62" s="121" t="n"/>
      <c r="J62" s="121" t="n"/>
      <c r="K62" s="121" t="n"/>
      <c r="L62" s="121" t="n"/>
      <c r="M62" s="121" t="n"/>
      <c r="N62" s="121" t="n"/>
      <c r="O62" s="92" t="n"/>
      <c r="P62" s="92" t="n"/>
      <c r="Q62" s="92" t="n"/>
      <c r="R62" s="93" t="n"/>
      <c r="S62" s="93" t="n"/>
      <c r="T62" s="93" t="n"/>
    </row>
    <row r="63">
      <c r="A63" s="92" t="n"/>
      <c r="B63" s="121" t="n"/>
      <c r="C63" s="121" t="n"/>
      <c r="D63" s="121" t="n"/>
      <c r="E63" s="121" t="n"/>
      <c r="F63" s="121" t="n"/>
      <c r="G63" s="121" t="n"/>
      <c r="H63" s="121" t="n"/>
      <c r="I63" s="121" t="n"/>
      <c r="J63" s="121" t="n"/>
      <c r="K63" s="121" t="n"/>
      <c r="L63" s="121" t="n"/>
      <c r="M63" s="121" t="n"/>
      <c r="N63" s="121" t="n"/>
      <c r="O63" s="92" t="n"/>
      <c r="P63" s="92" t="n"/>
      <c r="Q63" s="92" t="n"/>
      <c r="R63" s="93" t="n"/>
      <c r="S63" s="93" t="n"/>
      <c r="T63" s="93" t="n"/>
    </row>
    <row r="64">
      <c r="A64" s="92" t="n"/>
      <c r="B64" s="121" t="n"/>
      <c r="C64" s="121" t="n"/>
      <c r="D64" s="121" t="n"/>
      <c r="E64" s="121" t="n"/>
      <c r="F64" s="121" t="n"/>
      <c r="G64" s="121" t="n"/>
      <c r="H64" s="121" t="n"/>
      <c r="I64" s="121" t="n"/>
      <c r="J64" s="121" t="n"/>
      <c r="K64" s="121" t="n"/>
      <c r="L64" s="121" t="n"/>
      <c r="M64" s="121" t="n"/>
      <c r="N64" s="121" t="n"/>
      <c r="O64" s="92" t="n"/>
      <c r="P64" s="92" t="n"/>
      <c r="Q64" s="92" t="n"/>
      <c r="R64" s="93" t="n"/>
      <c r="S64" s="93" t="n"/>
      <c r="T64" s="93" t="n"/>
    </row>
    <row r="65">
      <c r="A65" s="92" t="n"/>
      <c r="B65" s="121" t="n"/>
      <c r="C65" s="121" t="n"/>
      <c r="D65" s="121" t="n"/>
      <c r="E65" s="121" t="n"/>
      <c r="F65" s="121" t="n"/>
      <c r="G65" s="121" t="n"/>
      <c r="H65" s="121" t="n"/>
      <c r="I65" s="121" t="n"/>
      <c r="J65" s="121" t="n"/>
      <c r="K65" s="121" t="n"/>
      <c r="L65" s="121" t="n"/>
      <c r="M65" s="121" t="n"/>
      <c r="N65" s="121" t="n"/>
      <c r="O65" s="92" t="n"/>
      <c r="P65" s="92" t="n"/>
      <c r="Q65" s="92" t="n"/>
      <c r="R65" s="93" t="n"/>
      <c r="S65" s="93" t="n"/>
      <c r="T65" s="93" t="n"/>
    </row>
    <row r="66">
      <c r="A66" s="92" t="n"/>
      <c r="B66" s="92" t="n"/>
      <c r="C66" s="92" t="n"/>
      <c r="D66" s="92" t="n"/>
      <c r="E66" s="92" t="n"/>
      <c r="F66" s="92" t="n"/>
      <c r="G66" s="92" t="n"/>
      <c r="H66" s="92" t="n"/>
      <c r="I66" s="92" t="n"/>
      <c r="J66" s="92" t="n"/>
      <c r="K66" s="92" t="n"/>
      <c r="L66" s="92" t="n"/>
      <c r="M66" s="92" t="n"/>
      <c r="N66" s="92" t="n"/>
      <c r="O66" s="92" t="n"/>
      <c r="P66" s="92" t="n"/>
      <c r="Q66" s="92" t="n"/>
      <c r="R66" s="93" t="n"/>
      <c r="S66" s="93" t="n"/>
      <c r="T66" s="93" t="n"/>
    </row>
    <row r="67">
      <c r="A67" s="92" t="n"/>
      <c r="B67" s="92" t="n"/>
      <c r="C67" s="92" t="n"/>
      <c r="D67" s="92" t="n"/>
      <c r="E67" s="92" t="n"/>
      <c r="F67" s="92" t="n"/>
      <c r="G67" s="92" t="n"/>
      <c r="H67" s="92" t="n"/>
      <c r="I67" s="92" t="n"/>
      <c r="J67" s="92" t="n"/>
      <c r="K67" s="92" t="n"/>
      <c r="L67" s="92" t="n"/>
      <c r="M67" s="92" t="n"/>
      <c r="N67" s="92" t="n"/>
      <c r="O67" s="92" t="n"/>
      <c r="P67" s="92" t="n"/>
      <c r="Q67" s="92" t="n"/>
      <c r="R67" s="93" t="n"/>
      <c r="S67" s="93" t="n"/>
      <c r="T67" s="93" t="n"/>
    </row>
    <row r="68">
      <c r="A68" s="92" t="n"/>
      <c r="B68" s="121" t="n"/>
      <c r="C68" s="121" t="n"/>
      <c r="D68" s="121" t="n"/>
      <c r="E68" s="92" t="n"/>
      <c r="F68" s="92" t="n"/>
      <c r="G68" s="92" t="n"/>
      <c r="H68" s="92" t="n"/>
      <c r="I68" s="92" t="n"/>
      <c r="J68" s="92" t="n"/>
      <c r="K68" s="92" t="n"/>
      <c r="L68" s="92" t="n"/>
      <c r="M68" s="92" t="n"/>
      <c r="N68" s="92" t="n"/>
      <c r="O68" s="92" t="n"/>
      <c r="P68" s="92" t="n"/>
      <c r="Q68" s="92" t="n"/>
      <c r="R68" s="93" t="n"/>
      <c r="S68" s="93" t="n"/>
      <c r="T68" s="93" t="n"/>
    </row>
    <row r="69">
      <c r="A69" s="92" t="n"/>
      <c r="B69" s="121" t="n"/>
      <c r="C69" s="121" t="n"/>
      <c r="D69" s="121" t="n"/>
      <c r="E69" s="92" t="n"/>
      <c r="F69" s="92" t="n"/>
      <c r="G69" s="92" t="n"/>
      <c r="H69" s="92" t="n"/>
      <c r="I69" s="92" t="n"/>
      <c r="J69" s="92" t="n"/>
      <c r="K69" s="92" t="n"/>
      <c r="L69" s="92" t="n"/>
      <c r="M69" s="92" t="n"/>
      <c r="N69" s="92" t="n"/>
      <c r="O69" s="92" t="n"/>
      <c r="P69" s="92" t="n"/>
      <c r="Q69" s="92" t="n"/>
      <c r="R69" s="93" t="n"/>
      <c r="S69" s="93" t="n"/>
      <c r="T69" s="93" t="n"/>
    </row>
    <row r="70">
      <c r="A70" s="92" t="n"/>
      <c r="B70" s="121" t="n"/>
      <c r="C70" s="121" t="n"/>
      <c r="D70" s="121" t="n"/>
      <c r="E70" s="92" t="n"/>
      <c r="F70" s="92" t="n"/>
      <c r="G70" s="92" t="n"/>
      <c r="H70" s="92" t="n"/>
      <c r="I70" s="92" t="n"/>
      <c r="J70" s="92" t="n"/>
      <c r="K70" s="92" t="n"/>
      <c r="L70" s="92" t="n"/>
      <c r="M70" s="92" t="n"/>
      <c r="N70" s="92" t="n"/>
      <c r="O70" s="92" t="n"/>
      <c r="P70" s="92" t="n"/>
      <c r="Q70" s="92" t="n"/>
      <c r="R70" s="93" t="n"/>
      <c r="S70" s="93" t="n"/>
      <c r="T70" s="93" t="n"/>
    </row>
    <row r="71" ht="10" customHeight="1">
      <c r="A71" s="92" t="n"/>
      <c r="B71" s="121" t="n"/>
      <c r="C71" s="121" t="n"/>
      <c r="D71" s="121" t="n"/>
      <c r="E71" s="92" t="n"/>
      <c r="F71" s="92" t="n"/>
      <c r="G71" s="92" t="n"/>
      <c r="H71" s="92" t="n"/>
      <c r="I71" s="92" t="n"/>
      <c r="J71" s="92" t="n"/>
      <c r="K71" s="92" t="n"/>
      <c r="L71" s="92" t="n"/>
      <c r="M71" s="92" t="n"/>
      <c r="N71" s="92" t="n"/>
      <c r="O71" s="92" t="n"/>
      <c r="P71" s="92" t="n"/>
      <c r="Q71" s="92" t="n"/>
      <c r="R71" s="93" t="n"/>
      <c r="S71" s="93" t="n"/>
      <c r="T71" s="93" t="n"/>
    </row>
    <row r="72" ht="16" customHeight="1">
      <c r="A72" s="92" t="n"/>
      <c r="B72" s="120" t="inlineStr">
        <is>
          <t>Full Year Revenue Mix — FY2025</t>
        </is>
      </c>
      <c r="C72" s="92" t="n"/>
      <c r="D72" s="92" t="n"/>
      <c r="E72" s="92" t="n"/>
      <c r="F72" s="92" t="n"/>
      <c r="G72" s="92" t="n"/>
      <c r="H72" s="92" t="n"/>
      <c r="I72" s="92" t="n"/>
      <c r="J72" s="92" t="n"/>
      <c r="K72" s="92" t="n"/>
      <c r="L72" s="92" t="n"/>
      <c r="M72" s="92" t="n"/>
      <c r="N72" s="92" t="n"/>
      <c r="O72" s="92" t="n"/>
      <c r="P72" s="92" t="n"/>
      <c r="Q72" s="92" t="n"/>
      <c r="R72" s="93" t="n"/>
      <c r="S72" s="93" t="n"/>
      <c r="T72" s="93" t="n"/>
    </row>
    <row r="73">
      <c r="A73" s="92" t="n"/>
      <c r="B73" s="92" t="n"/>
      <c r="C73" s="92" t="n"/>
      <c r="D73" s="92" t="n"/>
      <c r="E73" s="92" t="n"/>
      <c r="F73" s="92" t="n"/>
      <c r="G73" s="92" t="n"/>
      <c r="H73" s="92" t="n"/>
      <c r="I73" s="92" t="n"/>
      <c r="J73" s="92" t="n"/>
      <c r="K73" s="92" t="n"/>
      <c r="L73" s="92" t="n"/>
      <c r="M73" s="92" t="n"/>
      <c r="N73" s="92" t="n"/>
      <c r="O73" s="92" t="n"/>
      <c r="P73" s="92" t="n"/>
      <c r="Q73" s="92" t="n"/>
      <c r="R73" s="93" t="n"/>
      <c r="S73" s="93" t="n"/>
      <c r="T73" s="93" t="n"/>
    </row>
    <row r="74">
      <c r="A74" s="92" t="n"/>
      <c r="B74" s="121" t="n"/>
      <c r="C74" s="121" t="n"/>
      <c r="D74" s="121" t="n"/>
      <c r="E74" s="121" t="n"/>
      <c r="F74" s="92" t="n"/>
      <c r="G74" s="92" t="n"/>
      <c r="H74" s="92" t="n"/>
      <c r="I74" s="92" t="n"/>
      <c r="J74" s="92" t="n"/>
      <c r="K74" s="92" t="n"/>
      <c r="L74" s="92" t="n"/>
      <c r="M74" s="92" t="n"/>
      <c r="N74" s="92" t="n"/>
      <c r="O74" s="92" t="n"/>
      <c r="P74" s="92" t="n"/>
      <c r="Q74" s="92" t="n"/>
      <c r="R74" s="93" t="n"/>
      <c r="S74" s="93" t="n"/>
      <c r="T74" s="93" t="n"/>
    </row>
    <row r="75">
      <c r="A75" s="92" t="n"/>
      <c r="B75" s="121" t="n"/>
      <c r="C75" s="121" t="n"/>
      <c r="D75" s="121" t="n"/>
      <c r="E75" s="121" t="n"/>
      <c r="F75" s="92" t="n"/>
      <c r="G75" s="92" t="n"/>
      <c r="H75" s="92" t="n"/>
      <c r="I75" s="92" t="n"/>
      <c r="J75" s="92" t="n"/>
      <c r="K75" s="92" t="n"/>
      <c r="L75" s="92" t="n"/>
      <c r="M75" s="92" t="n"/>
      <c r="N75" s="92" t="n"/>
      <c r="O75" s="92" t="n"/>
      <c r="P75" s="92" t="n"/>
      <c r="Q75" s="92" t="n"/>
      <c r="R75" s="93" t="n"/>
      <c r="S75" s="93" t="n"/>
      <c r="T75" s="93" t="n"/>
    </row>
    <row r="76">
      <c r="A76" s="92" t="n"/>
      <c r="B76" s="121" t="n"/>
      <c r="C76" s="121" t="n"/>
      <c r="D76" s="121" t="n"/>
      <c r="E76" s="121" t="n"/>
      <c r="F76" s="92" t="n"/>
      <c r="G76" s="92" t="n"/>
      <c r="H76" s="92" t="n"/>
      <c r="I76" s="92" t="n"/>
      <c r="J76" s="92" t="n"/>
      <c r="K76" s="92" t="n"/>
      <c r="L76" s="92" t="n"/>
      <c r="M76" s="92" t="n"/>
      <c r="N76" s="92" t="n"/>
      <c r="O76" s="92" t="n"/>
      <c r="P76" s="92" t="n"/>
      <c r="Q76" s="92" t="n"/>
      <c r="R76" s="93" t="n"/>
      <c r="S76" s="93" t="n"/>
      <c r="T76" s="93" t="n"/>
    </row>
    <row r="77">
      <c r="A77" s="92" t="n"/>
      <c r="B77" s="121" t="n"/>
      <c r="C77" s="121" t="n"/>
      <c r="D77" s="121" t="n"/>
      <c r="E77" s="121" t="n"/>
      <c r="F77" s="92" t="n"/>
      <c r="G77" s="92" t="n"/>
      <c r="H77" s="92" t="n"/>
      <c r="I77" s="92" t="n"/>
      <c r="J77" s="92" t="n"/>
      <c r="K77" s="92" t="n"/>
      <c r="L77" s="92" t="n"/>
      <c r="M77" s="92" t="n"/>
      <c r="N77" s="92" t="n"/>
      <c r="O77" s="92" t="n"/>
      <c r="P77" s="92" t="n"/>
      <c r="Q77" s="92" t="n"/>
      <c r="R77" s="93" t="n"/>
      <c r="S77" s="93" t="n"/>
      <c r="T77" s="93" t="n"/>
    </row>
    <row r="78">
      <c r="A78" s="92" t="n"/>
      <c r="B78" s="121" t="n"/>
      <c r="C78" s="121" t="n"/>
      <c r="D78" s="121" t="n"/>
      <c r="E78" s="121" t="n"/>
      <c r="F78" s="92" t="n"/>
      <c r="G78" s="92" t="n"/>
      <c r="H78" s="92" t="n"/>
      <c r="I78" s="92" t="n"/>
      <c r="J78" s="92" t="n"/>
      <c r="K78" s="92" t="n"/>
      <c r="L78" s="92" t="n"/>
      <c r="M78" s="92" t="n"/>
      <c r="N78" s="92" t="n"/>
      <c r="O78" s="92" t="n"/>
      <c r="P78" s="92" t="n"/>
      <c r="Q78" s="92" t="n"/>
      <c r="R78" s="93" t="n"/>
      <c r="S78" s="93" t="n"/>
      <c r="T78" s="93" t="n"/>
    </row>
    <row r="79">
      <c r="A79" s="92" t="n"/>
      <c r="B79" s="121" t="n"/>
      <c r="C79" s="121" t="n"/>
      <c r="D79" s="121" t="n"/>
      <c r="E79" s="121" t="n"/>
      <c r="F79" s="92" t="n"/>
      <c r="G79" s="92" t="n"/>
      <c r="H79" s="92" t="n"/>
      <c r="I79" s="92" t="n"/>
      <c r="J79" s="92" t="n"/>
      <c r="K79" s="92" t="n"/>
      <c r="L79" s="92" t="n"/>
      <c r="M79" s="92" t="n"/>
      <c r="N79" s="92" t="n"/>
      <c r="O79" s="92" t="n"/>
      <c r="P79" s="92" t="n"/>
      <c r="Q79" s="92" t="n"/>
      <c r="R79" s="93" t="n"/>
      <c r="S79" s="93" t="n"/>
      <c r="T79" s="93" t="n"/>
    </row>
    <row r="80">
      <c r="A80" s="92" t="n"/>
      <c r="B80" s="121" t="n"/>
      <c r="C80" s="121" t="n"/>
      <c r="D80" s="121" t="n"/>
      <c r="E80" s="121" t="n"/>
      <c r="F80" s="92" t="n"/>
      <c r="G80" s="92" t="n"/>
      <c r="H80" s="92" t="n"/>
      <c r="I80" s="92" t="n"/>
      <c r="J80" s="92" t="n"/>
      <c r="K80" s="92" t="n"/>
      <c r="L80" s="92" t="n"/>
      <c r="M80" s="92" t="n"/>
      <c r="N80" s="92" t="n"/>
      <c r="O80" s="92" t="n"/>
      <c r="P80" s="92" t="n"/>
      <c r="Q80" s="92" t="n"/>
      <c r="R80" s="93" t="n"/>
      <c r="S80" s="93" t="n"/>
      <c r="T80" s="93" t="n"/>
    </row>
    <row r="81">
      <c r="A81" s="92" t="n"/>
      <c r="B81" s="92" t="n"/>
      <c r="C81" s="92" t="n"/>
      <c r="D81" s="92" t="n"/>
      <c r="E81" s="92" t="n"/>
      <c r="F81" s="92" t="n"/>
      <c r="G81" s="92" t="n"/>
      <c r="H81" s="92" t="n"/>
      <c r="I81" s="92" t="n"/>
      <c r="J81" s="92" t="n"/>
      <c r="K81" s="92" t="n"/>
      <c r="L81" s="92" t="n"/>
      <c r="M81" s="92" t="n"/>
      <c r="N81" s="92" t="n"/>
      <c r="O81" s="92" t="n"/>
      <c r="P81" s="92" t="n"/>
      <c r="Q81" s="92" t="n"/>
      <c r="R81" s="93" t="n"/>
      <c r="S81" s="93" t="n"/>
      <c r="T81" s="93" t="n"/>
    </row>
    <row r="82">
      <c r="A82" s="92" t="n"/>
      <c r="B82" s="92" t="n"/>
      <c r="C82" s="92" t="n"/>
      <c r="D82" s="92" t="n"/>
      <c r="E82" s="92" t="n"/>
      <c r="F82" s="92" t="n"/>
      <c r="G82" s="92" t="n"/>
      <c r="H82" s="92" t="n"/>
      <c r="I82" s="92" t="n"/>
      <c r="J82" s="92" t="n"/>
      <c r="K82" s="92" t="n"/>
      <c r="L82" s="92" t="n"/>
      <c r="M82" s="92" t="n"/>
      <c r="N82" s="92" t="n"/>
      <c r="O82" s="92" t="n"/>
      <c r="P82" s="92" t="n"/>
      <c r="Q82" s="92" t="n"/>
      <c r="R82" s="93" t="n"/>
      <c r="S82" s="93" t="n"/>
      <c r="T82" s="93" t="n"/>
    </row>
    <row r="83">
      <c r="A83" s="92" t="n"/>
      <c r="B83" s="121" t="n"/>
      <c r="C83" s="121" t="n"/>
      <c r="D83" s="121" t="n"/>
      <c r="E83" s="121" t="n"/>
      <c r="F83" s="92" t="n"/>
      <c r="G83" s="92" t="n"/>
      <c r="H83" s="92" t="n"/>
      <c r="I83" s="92" t="n"/>
      <c r="J83" s="92" t="n"/>
      <c r="K83" s="92" t="n"/>
      <c r="L83" s="92" t="n"/>
      <c r="M83" s="92" t="n"/>
      <c r="N83" s="92" t="n"/>
      <c r="O83" s="92" t="n"/>
      <c r="P83" s="92" t="n"/>
      <c r="Q83" s="92" t="n"/>
      <c r="R83" s="93" t="n"/>
      <c r="S83" s="93" t="n"/>
      <c r="T83" s="93" t="n"/>
    </row>
    <row r="84">
      <c r="A84" s="92" t="n"/>
      <c r="B84" s="121" t="n"/>
      <c r="C84" s="121" t="n"/>
      <c r="D84" s="121" t="n"/>
      <c r="E84" s="121" t="n"/>
      <c r="F84" s="92" t="n"/>
      <c r="G84" s="92" t="n"/>
      <c r="H84" s="92" t="n"/>
      <c r="I84" s="92" t="n"/>
      <c r="J84" s="92" t="n"/>
      <c r="K84" s="92" t="n"/>
      <c r="L84" s="92" t="n"/>
      <c r="M84" s="92" t="n"/>
      <c r="N84" s="92" t="n"/>
      <c r="O84" s="92" t="n"/>
      <c r="P84" s="92" t="n"/>
      <c r="Q84" s="92" t="n"/>
      <c r="R84" s="93" t="n"/>
      <c r="S84" s="93" t="n"/>
      <c r="T84" s="93" t="n"/>
    </row>
    <row r="85">
      <c r="A85" s="92" t="n"/>
      <c r="B85" s="121" t="n"/>
      <c r="C85" s="121" t="n"/>
      <c r="D85" s="121" t="n"/>
      <c r="E85" s="121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3" t="n"/>
      <c r="S85" s="93" t="n"/>
      <c r="T85" s="93" t="n"/>
    </row>
    <row r="86">
      <c r="A86" s="92" t="n"/>
      <c r="B86" s="121" t="n"/>
      <c r="C86" s="121" t="n"/>
      <c r="D86" s="121" t="n"/>
      <c r="E86" s="121" t="n"/>
      <c r="F86" s="92" t="n"/>
      <c r="G86" s="92" t="n"/>
      <c r="H86" s="92" t="n"/>
      <c r="I86" s="92" t="n"/>
      <c r="J86" s="92" t="n"/>
      <c r="K86" s="92" t="n"/>
      <c r="L86" s="92" t="n"/>
      <c r="M86" s="92" t="n"/>
      <c r="N86" s="92" t="n"/>
      <c r="O86" s="92" t="n"/>
      <c r="P86" s="92" t="n"/>
      <c r="Q86" s="92" t="n"/>
      <c r="R86" s="93" t="n"/>
      <c r="S86" s="93" t="n"/>
      <c r="T86" s="93" t="n"/>
    </row>
    <row r="87">
      <c r="A87" s="92" t="n"/>
      <c r="B87" s="121" t="n"/>
      <c r="C87" s="121" t="n"/>
      <c r="D87" s="121" t="n"/>
      <c r="E87" s="121" t="n"/>
      <c r="F87" s="92" t="n"/>
      <c r="G87" s="92" t="n"/>
      <c r="H87" s="92" t="n"/>
      <c r="I87" s="92" t="n"/>
      <c r="J87" s="92" t="n"/>
      <c r="K87" s="92" t="n"/>
      <c r="L87" s="92" t="n"/>
      <c r="M87" s="92" t="n"/>
      <c r="N87" s="92" t="n"/>
      <c r="O87" s="92" t="n"/>
      <c r="P87" s="92" t="n"/>
      <c r="Q87" s="92" t="n"/>
      <c r="R87" s="93" t="n"/>
      <c r="S87" s="93" t="n"/>
      <c r="T87" s="93" t="n"/>
    </row>
    <row r="88">
      <c r="A88" s="92" t="n"/>
      <c r="B88" s="121" t="n"/>
      <c r="C88" s="121" t="n"/>
      <c r="D88" s="121" t="n"/>
      <c r="E88" s="121" t="n"/>
      <c r="F88" s="92" t="n"/>
      <c r="G88" s="92" t="n"/>
      <c r="H88" s="92" t="n"/>
      <c r="I88" s="92" t="n"/>
      <c r="J88" s="92" t="n"/>
      <c r="K88" s="92" t="n"/>
      <c r="L88" s="92" t="n"/>
      <c r="M88" s="92" t="n"/>
      <c r="N88" s="92" t="n"/>
      <c r="O88" s="92" t="n"/>
      <c r="P88" s="92" t="n"/>
      <c r="Q88" s="92" t="n"/>
      <c r="R88" s="93" t="n"/>
      <c r="S88" s="93" t="n"/>
      <c r="T88" s="93" t="n"/>
    </row>
    <row r="89">
      <c r="A89" s="92" t="n"/>
      <c r="B89" s="121" t="n"/>
      <c r="C89" s="121" t="n"/>
      <c r="D89" s="121" t="n"/>
      <c r="E89" s="121" t="n"/>
      <c r="F89" s="92" t="n"/>
      <c r="G89" s="92" t="n"/>
      <c r="H89" s="92" t="n"/>
      <c r="I89" s="92" t="n"/>
      <c r="J89" s="92" t="n"/>
      <c r="K89" s="92" t="n"/>
      <c r="L89" s="92" t="n"/>
      <c r="M89" s="92" t="n"/>
      <c r="N89" s="92" t="n"/>
      <c r="O89" s="92" t="n"/>
      <c r="P89" s="92" t="n"/>
      <c r="Q89" s="92" t="n"/>
      <c r="R89" s="93" t="n"/>
      <c r="S89" s="93" t="n"/>
      <c r="T89" s="93" t="n"/>
    </row>
    <row r="90">
      <c r="A90" s="92" t="n"/>
      <c r="B90" s="121" t="n"/>
      <c r="C90" s="121" t="n"/>
      <c r="D90" s="121" t="n"/>
      <c r="E90" s="121" t="n"/>
      <c r="F90" s="92" t="n"/>
      <c r="G90" s="92" t="n"/>
      <c r="H90" s="92" t="n"/>
      <c r="I90" s="92" t="n"/>
      <c r="J90" s="92" t="n"/>
      <c r="K90" s="92" t="n"/>
      <c r="L90" s="92" t="n"/>
      <c r="M90" s="92" t="n"/>
      <c r="N90" s="92" t="n"/>
      <c r="O90" s="92" t="n"/>
      <c r="P90" s="92" t="n"/>
      <c r="Q90" s="92" t="n"/>
      <c r="R90" s="93" t="n"/>
      <c r="S90" s="93" t="n"/>
      <c r="T90" s="93" t="n"/>
    </row>
    <row r="91" ht="14" customHeight="1">
      <c r="A91" s="92" t="n"/>
      <c r="B91" s="121" t="n"/>
      <c r="C91" s="121" t="n"/>
      <c r="D91" s="121" t="n"/>
      <c r="E91" s="121" t="n"/>
      <c r="F91" s="92" t="n"/>
      <c r="G91" s="92" t="n"/>
      <c r="H91" s="92" t="n"/>
      <c r="I91" s="92" t="n"/>
      <c r="J91" s="92" t="n"/>
      <c r="K91" s="92" t="n"/>
      <c r="L91" s="92" t="n"/>
      <c r="M91" s="92" t="n"/>
      <c r="N91" s="92" t="n"/>
      <c r="O91" s="92" t="n"/>
      <c r="P91" s="92" t="n"/>
      <c r="Q91" s="92" t="n"/>
      <c r="R91" s="93" t="n"/>
      <c r="S91" s="93" t="n"/>
      <c r="T91" s="93" t="n"/>
    </row>
    <row r="92" ht="32" customHeight="1">
      <c r="A92" s="92" t="n"/>
      <c r="B92" s="124" t="inlineStr">
        <is>
          <t>SECTION 3  |  ADVANCED ANALYTICS</t>
        </is>
      </c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 t="n"/>
      <c r="P92" s="119" t="n"/>
      <c r="Q92" s="92" t="n"/>
      <c r="R92" s="93" t="n"/>
      <c r="S92" s="93" t="n"/>
      <c r="T92" s="93" t="n"/>
    </row>
    <row r="93" ht="8" customHeight="1">
      <c r="A93" s="92" t="n"/>
      <c r="B93" s="121" t="n"/>
      <c r="C93" s="121" t="n"/>
      <c r="D93" s="121" t="n"/>
      <c r="E93" s="121" t="n"/>
      <c r="F93" s="92" t="n"/>
      <c r="G93" s="92" t="n"/>
      <c r="H93" s="92" t="n"/>
      <c r="I93" s="92" t="n"/>
      <c r="J93" s="92" t="n"/>
      <c r="K93" s="92" t="n"/>
      <c r="L93" s="92" t="n"/>
      <c r="M93" s="92" t="n"/>
      <c r="N93" s="92" t="n"/>
      <c r="O93" s="92" t="n"/>
      <c r="P93" s="92" t="n"/>
      <c r="Q93" s="92" t="n"/>
      <c r="R93" s="93" t="n"/>
      <c r="S93" s="93" t="n"/>
      <c r="T93" s="93" t="n"/>
    </row>
    <row r="94" ht="16" customHeight="1">
      <c r="A94" s="92" t="n"/>
      <c r="B94" s="122" t="inlineStr">
        <is>
          <t>Revenue vs COGS vs Contribution Margin — By Product</t>
        </is>
      </c>
      <c r="C94" s="121" t="n"/>
      <c r="D94" s="121" t="n"/>
      <c r="E94" s="121" t="n"/>
      <c r="F94" s="92" t="n"/>
      <c r="G94" s="92" t="n"/>
      <c r="H94" s="92" t="n"/>
      <c r="I94" s="92" t="n"/>
      <c r="J94" s="120" t="inlineStr">
        <is>
          <t>Department Cost Distribution Across Products</t>
        </is>
      </c>
      <c r="K94" s="92" t="n"/>
      <c r="L94" s="92" t="n"/>
      <c r="M94" s="92" t="n"/>
      <c r="N94" s="92" t="n"/>
      <c r="O94" s="92" t="n"/>
      <c r="P94" s="92" t="n"/>
      <c r="Q94" s="92" t="n"/>
      <c r="R94" s="93" t="n"/>
      <c r="S94" s="93" t="n"/>
      <c r="T94" s="93" t="n"/>
    </row>
    <row r="95">
      <c r="A95" s="92" t="n"/>
      <c r="B95" s="92" t="n"/>
      <c r="C95" s="92" t="n"/>
      <c r="D95" s="92" t="n"/>
      <c r="E95" s="92" t="n"/>
      <c r="F95" s="92" t="n"/>
      <c r="G95" s="92" t="n"/>
      <c r="H95" s="92" t="n"/>
      <c r="I95" s="92" t="n"/>
      <c r="J95" s="92" t="n"/>
      <c r="K95" s="92" t="n"/>
      <c r="L95" s="92" t="n"/>
      <c r="M95" s="92" t="n"/>
      <c r="N95" s="92" t="n"/>
      <c r="O95" s="92" t="n"/>
      <c r="P95" s="92" t="n"/>
      <c r="Q95" s="92" t="n"/>
      <c r="R95" s="93" t="n"/>
      <c r="S95" s="93" t="n"/>
      <c r="T95" s="93" t="n"/>
    </row>
    <row r="96">
      <c r="A96" s="92" t="n"/>
      <c r="B96" s="92" t="n"/>
      <c r="C96" s="92" t="n"/>
      <c r="D96" s="92" t="n"/>
      <c r="E96" s="92" t="n"/>
      <c r="F96" s="92" t="n"/>
      <c r="G96" s="92" t="n"/>
      <c r="H96" s="92" t="n"/>
      <c r="I96" s="92" t="n"/>
      <c r="J96" s="92" t="n"/>
      <c r="K96" s="92" t="n"/>
      <c r="L96" s="92" t="n"/>
      <c r="M96" s="92" t="n"/>
      <c r="N96" s="92" t="n"/>
      <c r="O96" s="92" t="n"/>
      <c r="P96" s="92" t="n"/>
      <c r="Q96" s="92" t="n"/>
      <c r="R96" s="93" t="n"/>
      <c r="S96" s="93" t="n"/>
      <c r="T96" s="93" t="n"/>
    </row>
    <row r="97">
      <c r="A97" s="92" t="n"/>
      <c r="B97" s="123" t="n"/>
      <c r="C97" s="123" t="n"/>
      <c r="D97" s="123" t="n"/>
      <c r="E97" s="123" t="n"/>
      <c r="F97" s="92" t="n"/>
      <c r="G97" s="92" t="n"/>
      <c r="H97" s="92" t="n"/>
      <c r="I97" s="92" t="n"/>
      <c r="J97" s="92" t="n"/>
      <c r="K97" s="92" t="n"/>
      <c r="L97" s="92" t="n"/>
      <c r="M97" s="92" t="n"/>
      <c r="N97" s="92" t="n"/>
      <c r="O97" s="92" t="n"/>
      <c r="P97" s="92" t="n"/>
      <c r="Q97" s="92" t="n"/>
      <c r="R97" s="93" t="n"/>
      <c r="S97" s="93" t="n"/>
      <c r="T97" s="93" t="n"/>
    </row>
    <row r="98">
      <c r="A98" s="92" t="n"/>
      <c r="B98" s="123" t="n"/>
      <c r="C98" s="123" t="n"/>
      <c r="D98" s="123" t="n"/>
      <c r="E98" s="123" t="n"/>
      <c r="F98" s="92" t="n"/>
      <c r="G98" s="92" t="n"/>
      <c r="H98" s="92" t="n"/>
      <c r="I98" s="92" t="n"/>
      <c r="J98" s="92" t="n"/>
      <c r="K98" s="92" t="n"/>
      <c r="L98" s="92" t="n"/>
      <c r="M98" s="92" t="n"/>
      <c r="N98" s="92" t="n"/>
      <c r="O98" s="92" t="n"/>
      <c r="P98" s="92" t="n"/>
      <c r="Q98" s="92" t="n"/>
      <c r="R98" s="93" t="n"/>
      <c r="S98" s="93" t="n"/>
      <c r="T98" s="93" t="n"/>
    </row>
    <row r="99">
      <c r="A99" s="92" t="n"/>
      <c r="B99" s="123" t="n"/>
      <c r="C99" s="123" t="n"/>
      <c r="D99" s="123" t="n"/>
      <c r="E99" s="123" t="n"/>
      <c r="F99" s="92" t="n"/>
      <c r="G99" s="92" t="n"/>
      <c r="H99" s="92" t="n"/>
      <c r="I99" s="92" t="n"/>
      <c r="J99" s="92" t="n"/>
      <c r="K99" s="92" t="n"/>
      <c r="L99" s="92" t="n"/>
      <c r="M99" s="92" t="n"/>
      <c r="N99" s="92" t="n"/>
      <c r="O99" s="92" t="n"/>
      <c r="P99" s="92" t="n"/>
      <c r="Q99" s="92" t="n"/>
      <c r="R99" s="93" t="n"/>
      <c r="S99" s="93" t="n"/>
      <c r="T99" s="93" t="n"/>
    </row>
    <row r="100">
      <c r="A100" s="92" t="n"/>
      <c r="B100" s="123" t="n"/>
      <c r="C100" s="123" t="n"/>
      <c r="D100" s="123" t="n"/>
      <c r="E100" s="123" t="n"/>
      <c r="F100" s="92" t="n"/>
      <c r="G100" s="92" t="n"/>
      <c r="H100" s="92" t="n"/>
      <c r="I100" s="92" t="n"/>
      <c r="J100" s="92" t="n"/>
      <c r="K100" s="92" t="n"/>
      <c r="L100" s="92" t="n"/>
      <c r="M100" s="92" t="n"/>
      <c r="N100" s="92" t="n"/>
      <c r="O100" s="92" t="n"/>
      <c r="P100" s="92" t="n"/>
      <c r="Q100" s="92" t="n"/>
      <c r="R100" s="93" t="n"/>
      <c r="S100" s="93" t="n"/>
      <c r="T100" s="93" t="n"/>
    </row>
    <row r="101">
      <c r="A101" s="92" t="n"/>
      <c r="B101" s="123" t="n"/>
      <c r="C101" s="123" t="n"/>
      <c r="D101" s="123" t="n"/>
      <c r="E101" s="123" t="n"/>
      <c r="F101" s="92" t="n"/>
      <c r="G101" s="92" t="n"/>
      <c r="H101" s="92" t="n"/>
      <c r="I101" s="92" t="n"/>
      <c r="J101" s="92" t="n"/>
      <c r="K101" s="92" t="n"/>
      <c r="L101" s="92" t="n"/>
      <c r="M101" s="92" t="n"/>
      <c r="N101" s="92" t="n"/>
      <c r="O101" s="92" t="n"/>
      <c r="P101" s="92" t="n"/>
      <c r="Q101" s="92" t="n"/>
      <c r="R101" s="93" t="n"/>
      <c r="S101" s="93" t="n"/>
      <c r="T101" s="93" t="n"/>
    </row>
    <row r="102">
      <c r="A102" s="92" t="n"/>
      <c r="B102" s="123" t="n"/>
      <c r="C102" s="123" t="n"/>
      <c r="D102" s="123" t="n"/>
      <c r="E102" s="123" t="n"/>
      <c r="F102" s="92" t="n"/>
      <c r="G102" s="92" t="n"/>
      <c r="H102" s="92" t="n"/>
      <c r="I102" s="92" t="n"/>
      <c r="J102" s="92" t="n"/>
      <c r="K102" s="92" t="n"/>
      <c r="L102" s="92" t="n"/>
      <c r="M102" s="92" t="n"/>
      <c r="N102" s="92" t="n"/>
      <c r="O102" s="92" t="n"/>
      <c r="P102" s="92" t="n"/>
      <c r="Q102" s="92" t="n"/>
      <c r="R102" s="93" t="n"/>
      <c r="S102" s="93" t="n"/>
      <c r="T102" s="93" t="n"/>
    </row>
    <row r="103">
      <c r="A103" s="92" t="n"/>
      <c r="B103" s="123" t="n"/>
      <c r="C103" s="123" t="n"/>
      <c r="D103" s="123" t="n"/>
      <c r="E103" s="123" t="n"/>
      <c r="F103" s="92" t="n"/>
      <c r="G103" s="92" t="n"/>
      <c r="H103" s="92" t="n"/>
      <c r="I103" s="92" t="n"/>
      <c r="J103" s="92" t="n"/>
      <c r="K103" s="92" t="n"/>
      <c r="L103" s="92" t="n"/>
      <c r="M103" s="92" t="n"/>
      <c r="N103" s="92" t="n"/>
      <c r="O103" s="92" t="n"/>
      <c r="P103" s="92" t="n"/>
      <c r="Q103" s="92" t="n"/>
      <c r="R103" s="93" t="n"/>
      <c r="S103" s="93" t="n"/>
      <c r="T103" s="93" t="n"/>
    </row>
    <row r="104">
      <c r="A104" s="92" t="n"/>
      <c r="B104" s="123" t="n"/>
      <c r="C104" s="123" t="n"/>
      <c r="D104" s="123" t="n"/>
      <c r="E104" s="123" t="n"/>
      <c r="F104" s="92" t="n"/>
      <c r="G104" s="92" t="n"/>
      <c r="H104" s="92" t="n"/>
      <c r="I104" s="92" t="n"/>
      <c r="J104" s="92" t="n"/>
      <c r="K104" s="92" t="n"/>
      <c r="L104" s="92" t="n"/>
      <c r="M104" s="92" t="n"/>
      <c r="N104" s="92" t="n"/>
      <c r="O104" s="92" t="n"/>
      <c r="P104" s="92" t="n"/>
      <c r="Q104" s="92" t="n"/>
      <c r="R104" s="93" t="n"/>
      <c r="S104" s="93" t="n"/>
      <c r="T104" s="93" t="n"/>
    </row>
    <row r="105">
      <c r="A105" s="92" t="n"/>
      <c r="B105" s="123" t="n"/>
      <c r="C105" s="123" t="n"/>
      <c r="D105" s="123" t="n"/>
      <c r="E105" s="123" t="n"/>
      <c r="F105" s="92" t="n"/>
      <c r="G105" s="92" t="n"/>
      <c r="H105" s="92" t="n"/>
      <c r="I105" s="92" t="n"/>
      <c r="J105" s="92" t="n"/>
      <c r="K105" s="92" t="n"/>
      <c r="L105" s="92" t="n"/>
      <c r="M105" s="92" t="n"/>
      <c r="N105" s="92" t="n"/>
      <c r="O105" s="92" t="n"/>
      <c r="P105" s="92" t="n"/>
      <c r="Q105" s="92" t="n"/>
      <c r="R105" s="93" t="n"/>
      <c r="S105" s="93" t="n"/>
      <c r="T105" s="93" t="n"/>
    </row>
    <row r="106">
      <c r="A106" s="92" t="n"/>
      <c r="B106" s="123" t="n"/>
      <c r="C106" s="123" t="n"/>
      <c r="D106" s="123" t="n"/>
      <c r="E106" s="123" t="n"/>
      <c r="F106" s="92" t="n"/>
      <c r="G106" s="92" t="n"/>
      <c r="H106" s="92" t="n"/>
      <c r="I106" s="92" t="n"/>
      <c r="J106" s="92" t="n"/>
      <c r="K106" s="92" t="n"/>
      <c r="L106" s="92" t="n"/>
      <c r="M106" s="92" t="n"/>
      <c r="N106" s="92" t="n"/>
      <c r="O106" s="92" t="n"/>
      <c r="P106" s="92" t="n"/>
      <c r="Q106" s="92" t="n"/>
      <c r="R106" s="93" t="n"/>
      <c r="S106" s="93" t="n"/>
      <c r="T106" s="93" t="n"/>
    </row>
    <row r="107">
      <c r="A107" s="92" t="n"/>
      <c r="B107" s="123" t="n"/>
      <c r="C107" s="123" t="n"/>
      <c r="D107" s="123" t="n"/>
      <c r="E107" s="123" t="n"/>
      <c r="F107" s="92" t="n"/>
      <c r="G107" s="92" t="n"/>
      <c r="H107" s="92" t="n"/>
      <c r="I107" s="92" t="n"/>
      <c r="J107" s="92" t="n"/>
      <c r="K107" s="92" t="n"/>
      <c r="L107" s="92" t="n"/>
      <c r="M107" s="92" t="n"/>
      <c r="N107" s="92" t="n"/>
      <c r="O107" s="92" t="n"/>
      <c r="P107" s="92" t="n"/>
      <c r="Q107" s="92" t="n"/>
      <c r="R107" s="93" t="n"/>
      <c r="S107" s="93" t="n"/>
      <c r="T107" s="93" t="n"/>
    </row>
    <row r="108">
      <c r="A108" s="92" t="n"/>
      <c r="B108" s="123" t="n"/>
      <c r="C108" s="123" t="n"/>
      <c r="D108" s="123" t="n"/>
      <c r="E108" s="123" t="n"/>
      <c r="F108" s="92" t="n"/>
      <c r="G108" s="92" t="n"/>
      <c r="H108" s="92" t="n"/>
      <c r="I108" s="92" t="n"/>
      <c r="J108" s="92" t="n"/>
      <c r="K108" s="92" t="n"/>
      <c r="L108" s="92" t="n"/>
      <c r="M108" s="92" t="n"/>
      <c r="N108" s="92" t="n"/>
      <c r="O108" s="92" t="n"/>
      <c r="P108" s="92" t="n"/>
      <c r="Q108" s="92" t="n"/>
      <c r="R108" s="93" t="n"/>
      <c r="S108" s="93" t="n"/>
      <c r="T108" s="93" t="n"/>
    </row>
    <row r="109">
      <c r="A109" s="92" t="n"/>
      <c r="B109" s="92" t="n"/>
      <c r="C109" s="92" t="n"/>
      <c r="D109" s="92" t="n"/>
      <c r="E109" s="92" t="n"/>
      <c r="F109" s="92" t="n"/>
      <c r="G109" s="92" t="n"/>
      <c r="H109" s="92" t="n"/>
      <c r="I109" s="92" t="n"/>
      <c r="J109" s="92" t="n"/>
      <c r="K109" s="92" t="n"/>
      <c r="L109" s="92" t="n"/>
      <c r="M109" s="92" t="n"/>
      <c r="N109" s="92" t="n"/>
      <c r="O109" s="92" t="n"/>
      <c r="P109" s="92" t="n"/>
      <c r="Q109" s="92" t="n"/>
      <c r="R109" s="93" t="n"/>
      <c r="S109" s="93" t="n"/>
      <c r="T109" s="93" t="n"/>
    </row>
    <row r="110">
      <c r="A110" s="92" t="n"/>
      <c r="B110" s="92" t="n"/>
      <c r="C110" s="92" t="n"/>
      <c r="D110" s="92" t="n"/>
      <c r="E110" s="92" t="n"/>
      <c r="F110" s="92" t="n"/>
      <c r="G110" s="92" t="n"/>
      <c r="H110" s="92" t="n"/>
      <c r="I110" s="92" t="n"/>
      <c r="J110" s="92" t="n"/>
      <c r="K110" s="92" t="n"/>
      <c r="L110" s="92" t="n"/>
      <c r="M110" s="92" t="n"/>
      <c r="N110" s="92" t="n"/>
      <c r="O110" s="92" t="n"/>
      <c r="P110" s="92" t="n"/>
      <c r="Q110" s="92" t="n"/>
      <c r="R110" s="93" t="n"/>
      <c r="S110" s="93" t="n"/>
      <c r="T110" s="93" t="n"/>
    </row>
    <row r="111">
      <c r="A111" s="92" t="n"/>
      <c r="B111" s="121" t="n"/>
      <c r="C111" s="121" t="n"/>
      <c r="D111" s="121" t="n"/>
      <c r="E111" s="92" t="n"/>
      <c r="F111" s="92" t="n"/>
      <c r="G111" s="92" t="n"/>
      <c r="H111" s="92" t="n"/>
      <c r="I111" s="92" t="n"/>
      <c r="J111" s="92" t="n"/>
      <c r="K111" s="92" t="n"/>
      <c r="L111" s="92" t="n"/>
      <c r="M111" s="92" t="n"/>
      <c r="N111" s="92" t="n"/>
      <c r="O111" s="92" t="n"/>
      <c r="P111" s="92" t="n"/>
      <c r="Q111" s="92" t="n"/>
      <c r="R111" s="93" t="n"/>
      <c r="S111" s="93" t="n"/>
      <c r="T111" s="93" t="n"/>
    </row>
    <row r="112">
      <c r="A112" s="92" t="n"/>
      <c r="B112" s="121" t="n"/>
      <c r="C112" s="121" t="n"/>
      <c r="D112" s="121" t="n"/>
      <c r="E112" s="92" t="n"/>
      <c r="F112" s="92" t="n"/>
      <c r="G112" s="92" t="n"/>
      <c r="H112" s="92" t="n"/>
      <c r="I112" s="92" t="n"/>
      <c r="J112" s="92" t="n"/>
      <c r="K112" s="92" t="n"/>
      <c r="L112" s="92" t="n"/>
      <c r="M112" s="92" t="n"/>
      <c r="N112" s="92" t="n"/>
      <c r="O112" s="92" t="n"/>
      <c r="P112" s="92" t="n"/>
      <c r="Q112" s="92" t="n"/>
      <c r="R112" s="93" t="n"/>
      <c r="S112" s="93" t="n"/>
      <c r="T112" s="93" t="n"/>
    </row>
    <row r="113">
      <c r="A113" s="92" t="n"/>
      <c r="B113" s="121" t="n"/>
      <c r="C113" s="121" t="n"/>
      <c r="D113" s="121" t="n"/>
      <c r="E113" s="92" t="n"/>
      <c r="F113" s="92" t="n"/>
      <c r="G113" s="92" t="n"/>
      <c r="H113" s="92" t="n"/>
      <c r="I113" s="92" t="n"/>
      <c r="J113" s="92" t="n"/>
      <c r="K113" s="92" t="n"/>
      <c r="L113" s="92" t="n"/>
      <c r="M113" s="92" t="n"/>
      <c r="N113" s="92" t="n"/>
      <c r="O113" s="92" t="n"/>
      <c r="P113" s="92" t="n"/>
      <c r="Q113" s="92" t="n"/>
      <c r="R113" s="93" t="n"/>
      <c r="S113" s="93" t="n"/>
      <c r="T113" s="93" t="n"/>
    </row>
    <row r="114">
      <c r="A114" s="92" t="n"/>
      <c r="B114" s="121" t="n"/>
      <c r="C114" s="121" t="n"/>
      <c r="D114" s="121" t="n"/>
      <c r="E114" s="92" t="n"/>
      <c r="F114" s="92" t="n"/>
      <c r="G114" s="92" t="n"/>
      <c r="H114" s="92" t="n"/>
      <c r="I114" s="92" t="n"/>
      <c r="J114" s="92" t="n"/>
      <c r="K114" s="92" t="n"/>
      <c r="L114" s="92" t="n"/>
      <c r="M114" s="92" t="n"/>
      <c r="N114" s="92" t="n"/>
      <c r="O114" s="92" t="n"/>
      <c r="P114" s="92" t="n"/>
      <c r="Q114" s="92" t="n"/>
      <c r="R114" s="93" t="n"/>
      <c r="S114" s="93" t="n"/>
      <c r="T114" s="93" t="n"/>
    </row>
    <row r="115">
      <c r="A115" s="92" t="n"/>
      <c r="B115" s="92" t="n"/>
      <c r="C115" s="92" t="n"/>
      <c r="D115" s="92" t="n"/>
      <c r="E115" s="92" t="n"/>
      <c r="F115" s="92" t="n"/>
      <c r="G115" s="92" t="n"/>
      <c r="H115" s="92" t="n"/>
      <c r="I115" s="92" t="n"/>
      <c r="J115" s="92" t="n"/>
      <c r="K115" s="92" t="n"/>
      <c r="L115" s="92" t="n"/>
      <c r="M115" s="92" t="n"/>
      <c r="N115" s="92" t="n"/>
      <c r="O115" s="92" t="n"/>
      <c r="P115" s="92" t="n"/>
      <c r="Q115" s="92" t="n"/>
      <c r="R115" s="93" t="n"/>
      <c r="S115" s="93" t="n"/>
      <c r="T115" s="93" t="n"/>
    </row>
    <row r="116">
      <c r="A116" s="92" t="n"/>
      <c r="B116" s="92" t="n"/>
      <c r="C116" s="92" t="n"/>
      <c r="D116" s="92" t="n"/>
      <c r="E116" s="92" t="n"/>
      <c r="F116" s="92" t="n"/>
      <c r="G116" s="92" t="n"/>
      <c r="H116" s="92" t="n"/>
      <c r="I116" s="92" t="n"/>
      <c r="J116" s="92" t="n"/>
      <c r="K116" s="92" t="n"/>
      <c r="L116" s="92" t="n"/>
      <c r="M116" s="92" t="n"/>
      <c r="N116" s="92" t="n"/>
      <c r="O116" s="92" t="n"/>
      <c r="P116" s="92" t="n"/>
      <c r="Q116" s="92" t="n"/>
      <c r="R116" s="93" t="n"/>
      <c r="S116" s="93" t="n"/>
      <c r="T116" s="93" t="n"/>
    </row>
    <row r="117">
      <c r="A117" s="92" t="n"/>
      <c r="B117" s="92" t="n"/>
      <c r="C117" s="92" t="n"/>
      <c r="D117" s="92" t="n"/>
      <c r="E117" s="92" t="n"/>
      <c r="F117" s="92" t="n"/>
      <c r="G117" s="92" t="n"/>
      <c r="H117" s="92" t="n"/>
      <c r="I117" s="92" t="n"/>
      <c r="J117" s="92" t="n"/>
      <c r="K117" s="92" t="n"/>
      <c r="L117" s="92" t="n"/>
      <c r="M117" s="92" t="n"/>
      <c r="N117" s="92" t="n"/>
      <c r="O117" s="92" t="n"/>
      <c r="P117" s="92" t="n"/>
      <c r="Q117" s="92" t="n"/>
      <c r="R117" s="93" t="n"/>
      <c r="S117" s="93" t="n"/>
      <c r="T117" s="93" t="n"/>
    </row>
    <row r="118">
      <c r="A118" s="92" t="n"/>
      <c r="B118" s="92" t="n"/>
      <c r="C118" s="92" t="n"/>
      <c r="D118" s="92" t="n"/>
      <c r="E118" s="92" t="n"/>
      <c r="F118" s="92" t="n"/>
      <c r="G118" s="92" t="n"/>
      <c r="H118" s="92" t="n"/>
      <c r="I118" s="92" t="n"/>
      <c r="J118" s="92" t="n"/>
      <c r="K118" s="92" t="n"/>
      <c r="L118" s="92" t="n"/>
      <c r="M118" s="92" t="n"/>
      <c r="N118" s="92" t="n"/>
      <c r="O118" s="92" t="n"/>
      <c r="P118" s="92" t="n"/>
      <c r="Q118" s="92" t="n"/>
      <c r="R118" s="93" t="n"/>
      <c r="S118" s="93" t="n"/>
      <c r="T118" s="93" t="n"/>
    </row>
    <row r="119">
      <c r="A119" s="92" t="n"/>
      <c r="B119" s="92" t="n"/>
      <c r="C119" s="92" t="n"/>
      <c r="D119" s="92" t="n"/>
      <c r="E119" s="92" t="n"/>
      <c r="F119" s="92" t="n"/>
      <c r="G119" s="92" t="n"/>
      <c r="H119" s="92" t="n"/>
      <c r="I119" s="92" t="n"/>
      <c r="J119" s="92" t="n"/>
      <c r="K119" s="92" t="n"/>
      <c r="L119" s="92" t="n"/>
      <c r="M119" s="92" t="n"/>
      <c r="N119" s="92" t="n"/>
      <c r="O119" s="92" t="n"/>
      <c r="P119" s="92" t="n"/>
      <c r="Q119" s="92" t="n"/>
      <c r="R119" s="93" t="n"/>
      <c r="S119" s="93" t="n"/>
      <c r="T119" s="93" t="n"/>
    </row>
    <row r="120">
      <c r="A120" s="93" t="n"/>
      <c r="B120" s="93" t="n"/>
      <c r="C120" s="93" t="n"/>
      <c r="D120" s="93" t="n"/>
      <c r="E120" s="93" t="n"/>
      <c r="F120" s="93" t="n"/>
      <c r="G120" s="93" t="n"/>
      <c r="H120" s="93" t="n"/>
      <c r="I120" s="93" t="n"/>
      <c r="J120" s="93" t="n"/>
      <c r="K120" s="93" t="n"/>
      <c r="L120" s="93" t="n"/>
      <c r="M120" s="93" t="n"/>
      <c r="N120" s="93" t="n"/>
      <c r="O120" s="93" t="n"/>
      <c r="P120" s="93" t="n"/>
      <c r="Q120" s="93" t="n"/>
      <c r="R120" s="93" t="n"/>
      <c r="S120" s="93" t="n"/>
      <c r="T120" s="93" t="n"/>
    </row>
    <row r="121">
      <c r="A121" s="93" t="n"/>
      <c r="B121" s="93" t="n"/>
      <c r="C121" s="93" t="n"/>
      <c r="D121" s="93" t="n"/>
      <c r="E121" s="93" t="n"/>
      <c r="F121" s="93" t="n"/>
      <c r="G121" s="93" t="n"/>
      <c r="H121" s="93" t="n"/>
      <c r="I121" s="93" t="n"/>
      <c r="J121" s="93" t="n"/>
      <c r="K121" s="93" t="n"/>
      <c r="L121" s="93" t="n"/>
      <c r="M121" s="93" t="n"/>
      <c r="N121" s="93" t="n"/>
      <c r="O121" s="93" t="n"/>
      <c r="P121" s="93" t="n"/>
      <c r="Q121" s="93" t="n"/>
      <c r="R121" s="93" t="n"/>
      <c r="S121" s="93" t="n"/>
      <c r="T121" s="93" t="n"/>
    </row>
    <row r="122">
      <c r="A122" s="93" t="n"/>
      <c r="B122" s="93" t="n"/>
      <c r="C122" s="93" t="n"/>
      <c r="D122" s="93" t="n"/>
      <c r="E122" s="93" t="n"/>
      <c r="F122" s="93" t="n"/>
      <c r="G122" s="93" t="n"/>
      <c r="H122" s="93" t="n"/>
      <c r="I122" s="93" t="n"/>
      <c r="J122" s="93" t="n"/>
      <c r="K122" s="93" t="n"/>
      <c r="L122" s="93" t="n"/>
      <c r="M122" s="93" t="n"/>
      <c r="N122" s="93" t="n"/>
      <c r="O122" s="93" t="n"/>
      <c r="P122" s="93" t="n"/>
      <c r="Q122" s="93" t="n"/>
      <c r="R122" s="93" t="n"/>
      <c r="S122" s="93" t="n"/>
      <c r="T122" s="93" t="n"/>
    </row>
    <row r="123">
      <c r="A123" s="93" t="n"/>
      <c r="B123" s="93" t="n"/>
      <c r="C123" s="93" t="n"/>
      <c r="D123" s="93" t="n"/>
      <c r="E123" s="93" t="n"/>
      <c r="F123" s="93" t="n"/>
      <c r="G123" s="93" t="n"/>
      <c r="H123" s="93" t="n"/>
      <c r="I123" s="93" t="n"/>
      <c r="J123" s="93" t="n"/>
      <c r="K123" s="93" t="n"/>
      <c r="L123" s="93" t="n"/>
      <c r="M123" s="93" t="n"/>
      <c r="N123" s="93" t="n"/>
      <c r="O123" s="93" t="n"/>
      <c r="P123" s="93" t="n"/>
      <c r="Q123" s="93" t="n"/>
      <c r="R123" s="93" t="n"/>
      <c r="S123" s="93" t="n"/>
      <c r="T123" s="93" t="n"/>
    </row>
    <row r="124">
      <c r="A124" s="93" t="n"/>
      <c r="B124" s="93" t="n"/>
      <c r="C124" s="93" t="n"/>
      <c r="D124" s="93" t="n"/>
      <c r="E124" s="93" t="n"/>
      <c r="F124" s="93" t="n"/>
      <c r="G124" s="93" t="n"/>
      <c r="H124" s="93" t="n"/>
      <c r="I124" s="93" t="n"/>
      <c r="J124" s="93" t="n"/>
      <c r="K124" s="93" t="n"/>
      <c r="L124" s="93" t="n"/>
      <c r="M124" s="93" t="n"/>
      <c r="N124" s="93" t="n"/>
      <c r="O124" s="93" t="n"/>
      <c r="P124" s="93" t="n"/>
      <c r="Q124" s="93" t="n"/>
      <c r="R124" s="93" t="n"/>
      <c r="S124" s="93" t="n"/>
      <c r="T124" s="93" t="n"/>
    </row>
    <row r="125">
      <c r="A125" s="93" t="n"/>
      <c r="B125" s="93" t="n"/>
      <c r="C125" s="93" t="n"/>
      <c r="D125" s="93" t="n"/>
      <c r="E125" s="93" t="n"/>
      <c r="F125" s="93" t="n"/>
      <c r="G125" s="93" t="n"/>
      <c r="H125" s="93" t="n"/>
      <c r="I125" s="93" t="n"/>
      <c r="J125" s="93" t="n"/>
      <c r="K125" s="93" t="n"/>
      <c r="L125" s="93" t="n"/>
      <c r="M125" s="93" t="n"/>
      <c r="N125" s="93" t="n"/>
      <c r="O125" s="93" t="n"/>
      <c r="P125" s="93" t="n"/>
      <c r="Q125" s="93" t="n"/>
      <c r="R125" s="93" t="n"/>
      <c r="S125" s="93" t="n"/>
      <c r="T125" s="93" t="n"/>
    </row>
    <row r="126">
      <c r="A126" s="93" t="n"/>
      <c r="B126" s="93" t="n"/>
      <c r="C126" s="93" t="n"/>
      <c r="D126" s="93" t="n"/>
      <c r="E126" s="93" t="n"/>
      <c r="F126" s="93" t="n"/>
      <c r="G126" s="93" t="n"/>
      <c r="H126" s="93" t="n"/>
      <c r="I126" s="93" t="n"/>
      <c r="J126" s="93" t="n"/>
      <c r="K126" s="93" t="n"/>
      <c r="L126" s="93" t="n"/>
      <c r="M126" s="93" t="n"/>
      <c r="N126" s="93" t="n"/>
      <c r="O126" s="93" t="n"/>
      <c r="P126" s="93" t="n"/>
      <c r="Q126" s="93" t="n"/>
      <c r="R126" s="93" t="n"/>
      <c r="S126" s="93" t="n"/>
      <c r="T126" s="93" t="n"/>
    </row>
    <row r="127">
      <c r="A127" s="93" t="n"/>
      <c r="B127" s="93" t="n"/>
      <c r="C127" s="93" t="n"/>
      <c r="D127" s="93" t="n"/>
      <c r="E127" s="93" t="n"/>
      <c r="F127" s="93" t="n"/>
      <c r="G127" s="93" t="n"/>
      <c r="H127" s="93" t="n"/>
      <c r="I127" s="93" t="n"/>
      <c r="J127" s="93" t="n"/>
      <c r="K127" s="93" t="n"/>
      <c r="L127" s="93" t="n"/>
      <c r="M127" s="93" t="n"/>
      <c r="N127" s="93" t="n"/>
      <c r="O127" s="93" t="n"/>
      <c r="P127" s="93" t="n"/>
      <c r="Q127" s="93" t="n"/>
      <c r="R127" s="93" t="n"/>
      <c r="S127" s="93" t="n"/>
      <c r="T127" s="93" t="n"/>
    </row>
    <row r="128">
      <c r="A128" s="93" t="n"/>
      <c r="B128" s="93" t="n"/>
      <c r="C128" s="93" t="n"/>
      <c r="D128" s="93" t="n"/>
      <c r="E128" s="93" t="n"/>
      <c r="F128" s="93" t="n"/>
      <c r="G128" s="93" t="n"/>
      <c r="H128" s="93" t="n"/>
      <c r="I128" s="93" t="n"/>
      <c r="J128" s="93" t="n"/>
      <c r="K128" s="93" t="n"/>
      <c r="L128" s="93" t="n"/>
      <c r="M128" s="93" t="n"/>
      <c r="N128" s="93" t="n"/>
      <c r="O128" s="93" t="n"/>
      <c r="P128" s="93" t="n"/>
      <c r="Q128" s="93" t="n"/>
      <c r="R128" s="93" t="n"/>
      <c r="S128" s="93" t="n"/>
      <c r="T128" s="93" t="n"/>
    </row>
    <row r="129">
      <c r="A129" s="93" t="n"/>
      <c r="B129" s="93" t="n"/>
      <c r="C129" s="93" t="n"/>
      <c r="D129" s="93" t="n"/>
      <c r="E129" s="93" t="n"/>
      <c r="F129" s="93" t="n"/>
      <c r="G129" s="93" t="n"/>
      <c r="H129" s="93" t="n"/>
      <c r="I129" s="93" t="n"/>
      <c r="J129" s="93" t="n"/>
      <c r="K129" s="93" t="n"/>
      <c r="L129" s="93" t="n"/>
      <c r="M129" s="93" t="n"/>
      <c r="N129" s="93" t="n"/>
      <c r="O129" s="93" t="n"/>
      <c r="P129" s="93" t="n"/>
      <c r="Q129" s="93" t="n"/>
      <c r="R129" s="93" t="n"/>
      <c r="S129" s="93" t="n"/>
      <c r="T129" s="93" t="n"/>
    </row>
    <row r="130">
      <c r="A130" s="93" t="n"/>
      <c r="B130" s="93" t="n"/>
      <c r="C130" s="93" t="n"/>
      <c r="D130" s="93" t="n"/>
      <c r="E130" s="93" t="n"/>
      <c r="F130" s="93" t="n"/>
      <c r="G130" s="93" t="n"/>
      <c r="H130" s="93" t="n"/>
      <c r="I130" s="93" t="n"/>
      <c r="J130" s="93" t="n"/>
      <c r="K130" s="93" t="n"/>
      <c r="L130" s="93" t="n"/>
      <c r="M130" s="93" t="n"/>
      <c r="N130" s="93" t="n"/>
      <c r="O130" s="93" t="n"/>
      <c r="P130" s="93" t="n"/>
      <c r="Q130" s="93" t="n"/>
      <c r="R130" s="93" t="n"/>
      <c r="S130" s="93" t="n"/>
      <c r="T130" s="93" t="n"/>
    </row>
    <row r="131">
      <c r="A131" s="93" t="n"/>
      <c r="B131" s="93" t="n"/>
      <c r="C131" s="93" t="n"/>
      <c r="D131" s="93" t="n"/>
      <c r="E131" s="93" t="n"/>
      <c r="F131" s="93" t="n"/>
      <c r="G131" s="93" t="n"/>
      <c r="H131" s="93" t="n"/>
      <c r="I131" s="93" t="n"/>
      <c r="J131" s="93" t="n"/>
      <c r="K131" s="93" t="n"/>
      <c r="L131" s="93" t="n"/>
      <c r="M131" s="93" t="n"/>
      <c r="N131" s="93" t="n"/>
      <c r="O131" s="93" t="n"/>
      <c r="P131" s="93" t="n"/>
      <c r="Q131" s="93" t="n"/>
      <c r="R131" s="93" t="n"/>
      <c r="S131" s="93" t="n"/>
      <c r="T131" s="93" t="n"/>
    </row>
    <row r="132">
      <c r="A132" s="93" t="n"/>
      <c r="B132" s="93" t="n"/>
      <c r="C132" s="93" t="n"/>
      <c r="D132" s="93" t="n"/>
      <c r="E132" s="93" t="n"/>
      <c r="F132" s="93" t="n"/>
      <c r="G132" s="93" t="n"/>
      <c r="H132" s="93" t="n"/>
      <c r="I132" s="93" t="n"/>
      <c r="J132" s="93" t="n"/>
      <c r="K132" s="93" t="n"/>
      <c r="L132" s="93" t="n"/>
      <c r="M132" s="93" t="n"/>
      <c r="N132" s="93" t="n"/>
      <c r="O132" s="93" t="n"/>
      <c r="P132" s="93" t="n"/>
      <c r="Q132" s="93" t="n"/>
      <c r="R132" s="93" t="n"/>
      <c r="S132" s="93" t="n"/>
      <c r="T132" s="93" t="n"/>
    </row>
    <row r="133">
      <c r="A133" s="93" t="n"/>
      <c r="B133" s="93" t="n"/>
      <c r="C133" s="93" t="n"/>
      <c r="D133" s="93" t="n"/>
      <c r="E133" s="93" t="n"/>
      <c r="F133" s="93" t="n"/>
      <c r="G133" s="93" t="n"/>
      <c r="H133" s="93" t="n"/>
      <c r="I133" s="93" t="n"/>
      <c r="J133" s="93" t="n"/>
      <c r="K133" s="93" t="n"/>
      <c r="L133" s="93" t="n"/>
      <c r="M133" s="93" t="n"/>
      <c r="N133" s="93" t="n"/>
      <c r="O133" s="93" t="n"/>
      <c r="P133" s="93" t="n"/>
      <c r="Q133" s="93" t="n"/>
      <c r="R133" s="93" t="n"/>
      <c r="S133" s="93" t="n"/>
      <c r="T133" s="93" t="n"/>
    </row>
    <row r="134">
      <c r="A134" s="93" t="n"/>
      <c r="B134" s="93" t="n"/>
      <c r="C134" s="93" t="n"/>
      <c r="D134" s="93" t="n"/>
      <c r="E134" s="93" t="n"/>
      <c r="F134" s="93" t="n"/>
      <c r="G134" s="93" t="n"/>
      <c r="H134" s="93" t="n"/>
      <c r="I134" s="93" t="n"/>
      <c r="J134" s="93" t="n"/>
      <c r="K134" s="93" t="n"/>
      <c r="L134" s="93" t="n"/>
      <c r="M134" s="93" t="n"/>
      <c r="N134" s="93" t="n"/>
      <c r="O134" s="93" t="n"/>
      <c r="P134" s="93" t="n"/>
      <c r="Q134" s="93" t="n"/>
      <c r="R134" s="93" t="n"/>
      <c r="S134" s="93" t="n"/>
      <c r="T134" s="93" t="n"/>
    </row>
    <row r="135">
      <c r="A135" s="93" t="n"/>
      <c r="B135" s="93" t="n"/>
      <c r="C135" s="93" t="n"/>
      <c r="D135" s="93" t="n"/>
      <c r="E135" s="93" t="n"/>
      <c r="F135" s="93" t="n"/>
      <c r="G135" s="93" t="n"/>
      <c r="H135" s="93" t="n"/>
      <c r="I135" s="93" t="n"/>
      <c r="J135" s="93" t="n"/>
      <c r="K135" s="93" t="n"/>
      <c r="L135" s="93" t="n"/>
      <c r="M135" s="93" t="n"/>
      <c r="N135" s="93" t="n"/>
      <c r="O135" s="93" t="n"/>
      <c r="P135" s="93" t="n"/>
      <c r="Q135" s="93" t="n"/>
      <c r="R135" s="93" t="n"/>
      <c r="S135" s="93" t="n"/>
      <c r="T135" s="93" t="n"/>
    </row>
    <row r="136">
      <c r="A136" s="93" t="n"/>
      <c r="B136" s="93" t="n"/>
      <c r="C136" s="93" t="n"/>
      <c r="D136" s="93" t="n"/>
      <c r="E136" s="93" t="n"/>
      <c r="F136" s="93" t="n"/>
      <c r="G136" s="93" t="n"/>
      <c r="H136" s="93" t="n"/>
      <c r="I136" s="93" t="n"/>
      <c r="J136" s="93" t="n"/>
      <c r="K136" s="93" t="n"/>
      <c r="L136" s="93" t="n"/>
      <c r="M136" s="93" t="n"/>
      <c r="N136" s="93" t="n"/>
      <c r="O136" s="93" t="n"/>
      <c r="P136" s="93" t="n"/>
      <c r="Q136" s="93" t="n"/>
      <c r="R136" s="93" t="n"/>
      <c r="S136" s="93" t="n"/>
      <c r="T136" s="93" t="n"/>
    </row>
    <row r="137">
      <c r="A137" s="93" t="n"/>
      <c r="B137" s="93" t="n"/>
      <c r="C137" s="93" t="n"/>
      <c r="D137" s="93" t="n"/>
      <c r="E137" s="93" t="n"/>
      <c r="F137" s="93" t="n"/>
      <c r="G137" s="93" t="n"/>
      <c r="H137" s="93" t="n"/>
      <c r="I137" s="93" t="n"/>
      <c r="J137" s="93" t="n"/>
      <c r="K137" s="93" t="n"/>
      <c r="L137" s="93" t="n"/>
      <c r="M137" s="93" t="n"/>
      <c r="N137" s="93" t="n"/>
      <c r="O137" s="93" t="n"/>
      <c r="P137" s="93" t="n"/>
      <c r="Q137" s="93" t="n"/>
      <c r="R137" s="93" t="n"/>
      <c r="S137" s="93" t="n"/>
      <c r="T137" s="93" t="n"/>
    </row>
    <row r="138">
      <c r="A138" s="93" t="n"/>
      <c r="B138" s="93" t="n"/>
      <c r="C138" s="93" t="n"/>
      <c r="D138" s="93" t="n"/>
      <c r="E138" s="93" t="n"/>
      <c r="F138" s="93" t="n"/>
      <c r="G138" s="93" t="n"/>
      <c r="H138" s="93" t="n"/>
      <c r="I138" s="93" t="n"/>
      <c r="J138" s="93" t="n"/>
      <c r="K138" s="93" t="n"/>
      <c r="L138" s="93" t="n"/>
      <c r="M138" s="93" t="n"/>
      <c r="N138" s="93" t="n"/>
      <c r="O138" s="93" t="n"/>
      <c r="P138" s="93" t="n"/>
      <c r="Q138" s="93" t="n"/>
      <c r="R138" s="93" t="n"/>
      <c r="S138" s="93" t="n"/>
      <c r="T138" s="93" t="n"/>
    </row>
    <row r="139">
      <c r="A139" s="93" t="n"/>
      <c r="B139" s="93" t="n"/>
      <c r="C139" s="93" t="n"/>
      <c r="D139" s="93" t="n"/>
      <c r="E139" s="93" t="n"/>
      <c r="F139" s="93" t="n"/>
      <c r="G139" s="93" t="n"/>
      <c r="H139" s="93" t="n"/>
      <c r="I139" s="93" t="n"/>
      <c r="J139" s="93" t="n"/>
      <c r="K139" s="93" t="n"/>
      <c r="L139" s="93" t="n"/>
      <c r="M139" s="93" t="n"/>
      <c r="N139" s="93" t="n"/>
      <c r="O139" s="93" t="n"/>
      <c r="P139" s="93" t="n"/>
      <c r="Q139" s="93" t="n"/>
      <c r="R139" s="93" t="n"/>
      <c r="S139" s="93" t="n"/>
      <c r="T139" s="93" t="n"/>
    </row>
    <row r="140">
      <c r="A140" s="93" t="n"/>
      <c r="B140" s="93" t="n"/>
      <c r="C140" s="93" t="n"/>
      <c r="D140" s="93" t="n"/>
      <c r="E140" s="93" t="n"/>
      <c r="F140" s="93" t="n"/>
      <c r="G140" s="93" t="n"/>
      <c r="H140" s="93" t="n"/>
      <c r="I140" s="93" t="n"/>
      <c r="J140" s="93" t="n"/>
      <c r="K140" s="93" t="n"/>
      <c r="L140" s="93" t="n"/>
      <c r="M140" s="93" t="n"/>
      <c r="N140" s="93" t="n"/>
      <c r="O140" s="93" t="n"/>
      <c r="P140" s="93" t="n"/>
      <c r="Q140" s="93" t="n"/>
      <c r="R140" s="93" t="n"/>
      <c r="S140" s="93" t="n"/>
      <c r="T140" s="93" t="n"/>
    </row>
    <row r="141">
      <c r="A141" s="93" t="n"/>
      <c r="B141" s="93" t="n"/>
      <c r="C141" s="93" t="n"/>
      <c r="D141" s="93" t="n"/>
      <c r="E141" s="93" t="n"/>
      <c r="F141" s="93" t="n"/>
      <c r="G141" s="93" t="n"/>
      <c r="H141" s="93" t="n"/>
      <c r="I141" s="93" t="n"/>
      <c r="J141" s="93" t="n"/>
      <c r="K141" s="93" t="n"/>
      <c r="L141" s="93" t="n"/>
      <c r="M141" s="93" t="n"/>
      <c r="N141" s="93" t="n"/>
      <c r="O141" s="93" t="n"/>
      <c r="P141" s="93" t="n"/>
      <c r="Q141" s="93" t="n"/>
      <c r="R141" s="93" t="n"/>
      <c r="S141" s="93" t="n"/>
      <c r="T141" s="93" t="n"/>
    </row>
    <row r="142">
      <c r="A142" s="93" t="n"/>
      <c r="B142" s="93" t="n"/>
      <c r="C142" s="93" t="n"/>
      <c r="D142" s="93" t="n"/>
      <c r="E142" s="93" t="n"/>
      <c r="F142" s="93" t="n"/>
      <c r="G142" s="93" t="n"/>
      <c r="H142" s="93" t="n"/>
      <c r="I142" s="93" t="n"/>
      <c r="J142" s="93" t="n"/>
      <c r="K142" s="93" t="n"/>
      <c r="L142" s="93" t="n"/>
      <c r="M142" s="93" t="n"/>
      <c r="N142" s="93" t="n"/>
      <c r="O142" s="93" t="n"/>
      <c r="P142" s="93" t="n"/>
      <c r="Q142" s="93" t="n"/>
      <c r="R142" s="93" t="n"/>
      <c r="S142" s="93" t="n"/>
      <c r="T142" s="93" t="n"/>
    </row>
    <row r="143">
      <c r="A143" s="93" t="n"/>
      <c r="B143" s="93" t="n"/>
      <c r="C143" s="93" t="n"/>
      <c r="D143" s="93" t="n"/>
      <c r="E143" s="93" t="n"/>
      <c r="F143" s="93" t="n"/>
      <c r="G143" s="93" t="n"/>
      <c r="H143" s="93" t="n"/>
      <c r="I143" s="93" t="n"/>
      <c r="J143" s="93" t="n"/>
      <c r="K143" s="93" t="n"/>
      <c r="L143" s="93" t="n"/>
      <c r="M143" s="93" t="n"/>
      <c r="N143" s="93" t="n"/>
      <c r="O143" s="93" t="n"/>
      <c r="P143" s="93" t="n"/>
      <c r="Q143" s="93" t="n"/>
      <c r="R143" s="93" t="n"/>
      <c r="S143" s="93" t="n"/>
      <c r="T143" s="93" t="n"/>
    </row>
    <row r="144">
      <c r="A144" s="93" t="n"/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3" t="n"/>
      <c r="L144" s="93" t="n"/>
      <c r="M144" s="93" t="n"/>
      <c r="N144" s="93" t="n"/>
      <c r="O144" s="93" t="n"/>
      <c r="P144" s="93" t="n"/>
      <c r="Q144" s="93" t="n"/>
      <c r="R144" s="93" t="n"/>
      <c r="S144" s="93" t="n"/>
      <c r="T144" s="93" t="n"/>
    </row>
    <row r="145">
      <c r="A145" s="93" t="n"/>
      <c r="B145" s="93" t="n"/>
      <c r="C145" s="93" t="n"/>
      <c r="D145" s="93" t="n"/>
      <c r="E145" s="93" t="n"/>
      <c r="F145" s="93" t="n"/>
      <c r="G145" s="93" t="n"/>
      <c r="H145" s="93" t="n"/>
      <c r="I145" s="93" t="n"/>
      <c r="J145" s="93" t="n"/>
      <c r="K145" s="93" t="n"/>
      <c r="L145" s="93" t="n"/>
      <c r="M145" s="93" t="n"/>
      <c r="N145" s="93" t="n"/>
      <c r="O145" s="93" t="n"/>
      <c r="P145" s="93" t="n"/>
      <c r="Q145" s="93" t="n"/>
      <c r="R145" s="93" t="n"/>
      <c r="S145" s="93" t="n"/>
      <c r="T145" s="93" t="n"/>
    </row>
    <row r="146">
      <c r="A146" s="93" t="n"/>
      <c r="B146" s="93" t="n"/>
      <c r="C146" s="93" t="n"/>
      <c r="D146" s="93" t="n"/>
      <c r="E146" s="93" t="n"/>
      <c r="F146" s="93" t="n"/>
      <c r="G146" s="93" t="n"/>
      <c r="H146" s="93" t="n"/>
      <c r="I146" s="93" t="n"/>
      <c r="J146" s="93" t="n"/>
      <c r="K146" s="93" t="n"/>
      <c r="L146" s="93" t="n"/>
      <c r="M146" s="93" t="n"/>
      <c r="N146" s="93" t="n"/>
      <c r="O146" s="93" t="n"/>
      <c r="P146" s="93" t="n"/>
      <c r="Q146" s="93" t="n"/>
      <c r="R146" s="93" t="n"/>
      <c r="S146" s="93" t="n"/>
      <c r="T146" s="93" t="n"/>
    </row>
    <row r="147">
      <c r="A147" s="93" t="n"/>
      <c r="B147" s="93" t="n"/>
      <c r="C147" s="93" t="n"/>
      <c r="D147" s="93" t="n"/>
      <c r="E147" s="93" t="n"/>
      <c r="F147" s="93" t="n"/>
      <c r="G147" s="93" t="n"/>
      <c r="H147" s="93" t="n"/>
      <c r="I147" s="93" t="n"/>
      <c r="J147" s="93" t="n"/>
      <c r="K147" s="93" t="n"/>
      <c r="L147" s="93" t="n"/>
      <c r="M147" s="93" t="n"/>
      <c r="N147" s="93" t="n"/>
      <c r="O147" s="93" t="n"/>
      <c r="P147" s="93" t="n"/>
      <c r="Q147" s="93" t="n"/>
      <c r="R147" s="93" t="n"/>
      <c r="S147" s="93" t="n"/>
      <c r="T147" s="93" t="n"/>
    </row>
    <row r="148">
      <c r="A148" s="93" t="n"/>
      <c r="B148" s="93" t="n"/>
      <c r="C148" s="93" t="n"/>
      <c r="D148" s="93" t="n"/>
      <c r="E148" s="93" t="n"/>
      <c r="F148" s="93" t="n"/>
      <c r="G148" s="93" t="n"/>
      <c r="H148" s="93" t="n"/>
      <c r="I148" s="93" t="n"/>
      <c r="J148" s="93" t="n"/>
      <c r="K148" s="93" t="n"/>
      <c r="L148" s="93" t="n"/>
      <c r="M148" s="93" t="n"/>
      <c r="N148" s="93" t="n"/>
      <c r="O148" s="93" t="n"/>
      <c r="P148" s="93" t="n"/>
      <c r="Q148" s="93" t="n"/>
      <c r="R148" s="93" t="n"/>
      <c r="S148" s="93" t="n"/>
      <c r="T148" s="93" t="n"/>
    </row>
    <row r="149">
      <c r="A149" s="93" t="n"/>
      <c r="B149" s="93" t="n"/>
      <c r="C149" s="93" t="n"/>
      <c r="D149" s="93" t="n"/>
      <c r="E149" s="93" t="n"/>
      <c r="F149" s="93" t="n"/>
      <c r="G149" s="93" t="n"/>
      <c r="H149" s="93" t="n"/>
      <c r="I149" s="93" t="n"/>
      <c r="J149" s="93" t="n"/>
      <c r="K149" s="93" t="n"/>
      <c r="L149" s="93" t="n"/>
      <c r="M149" s="93" t="n"/>
      <c r="N149" s="93" t="n"/>
      <c r="O149" s="93" t="n"/>
      <c r="P149" s="93" t="n"/>
      <c r="Q149" s="93" t="n"/>
      <c r="R149" s="93" t="n"/>
      <c r="S149" s="93" t="n"/>
      <c r="T149" s="93" t="n"/>
    </row>
    <row r="150">
      <c r="A150" s="93" t="n"/>
      <c r="B150" s="93" t="n"/>
      <c r="C150" s="93" t="n"/>
      <c r="D150" s="93" t="n"/>
      <c r="E150" s="93" t="n"/>
      <c r="F150" s="93" t="n"/>
      <c r="G150" s="93" t="n"/>
      <c r="H150" s="93" t="n"/>
      <c r="I150" s="93" t="n"/>
      <c r="J150" s="93" t="n"/>
      <c r="K150" s="93" t="n"/>
      <c r="L150" s="93" t="n"/>
      <c r="M150" s="93" t="n"/>
      <c r="N150" s="93" t="n"/>
      <c r="O150" s="93" t="n"/>
      <c r="P150" s="93" t="n"/>
      <c r="Q150" s="93" t="n"/>
      <c r="R150" s="93" t="n"/>
      <c r="S150" s="93" t="n"/>
      <c r="T150" s="93" t="n"/>
    </row>
    <row r="151">
      <c r="A151" s="93" t="n"/>
      <c r="B151" s="93" t="n"/>
      <c r="C151" s="93" t="n"/>
      <c r="D151" s="93" t="n"/>
      <c r="E151" s="93" t="n"/>
      <c r="F151" s="93" t="n"/>
      <c r="G151" s="93" t="n"/>
      <c r="H151" s="93" t="n"/>
      <c r="I151" s="93" t="n"/>
      <c r="J151" s="93" t="n"/>
      <c r="K151" s="93" t="n"/>
      <c r="L151" s="93" t="n"/>
      <c r="M151" s="93" t="n"/>
      <c r="N151" s="93" t="n"/>
      <c r="O151" s="93" t="n"/>
      <c r="P151" s="93" t="n"/>
      <c r="Q151" s="93" t="n"/>
      <c r="R151" s="93" t="n"/>
      <c r="S151" s="93" t="n"/>
      <c r="T151" s="93" t="n"/>
    </row>
    <row r="152">
      <c r="A152" s="93" t="n"/>
      <c r="B152" s="93" t="n"/>
      <c r="C152" s="93" t="n"/>
      <c r="D152" s="93" t="n"/>
      <c r="E152" s="93" t="n"/>
      <c r="F152" s="93" t="n"/>
      <c r="G152" s="93" t="n"/>
      <c r="H152" s="93" t="n"/>
      <c r="I152" s="93" t="n"/>
      <c r="J152" s="93" t="n"/>
      <c r="K152" s="93" t="n"/>
      <c r="L152" s="93" t="n"/>
      <c r="M152" s="93" t="n"/>
      <c r="N152" s="93" t="n"/>
      <c r="O152" s="93" t="n"/>
      <c r="P152" s="93" t="n"/>
      <c r="Q152" s="93" t="n"/>
      <c r="R152" s="93" t="n"/>
      <c r="S152" s="93" t="n"/>
      <c r="T152" s="93" t="n"/>
    </row>
    <row r="153">
      <c r="A153" s="93" t="n"/>
      <c r="B153" s="93" t="n"/>
      <c r="C153" s="93" t="n"/>
      <c r="D153" s="93" t="n"/>
      <c r="E153" s="93" t="n"/>
      <c r="F153" s="93" t="n"/>
      <c r="G153" s="93" t="n"/>
      <c r="H153" s="93" t="n"/>
      <c r="I153" s="93" t="n"/>
      <c r="J153" s="93" t="n"/>
      <c r="K153" s="93" t="n"/>
      <c r="L153" s="93" t="n"/>
      <c r="M153" s="93" t="n"/>
      <c r="N153" s="93" t="n"/>
      <c r="O153" s="93" t="n"/>
      <c r="P153" s="93" t="n"/>
      <c r="Q153" s="93" t="n"/>
      <c r="R153" s="93" t="n"/>
      <c r="S153" s="93" t="n"/>
      <c r="T153" s="93" t="n"/>
    </row>
    <row r="154">
      <c r="A154" s="93" t="n"/>
      <c r="B154" s="93" t="n"/>
      <c r="C154" s="93" t="n"/>
      <c r="D154" s="93" t="n"/>
      <c r="E154" s="93" t="n"/>
      <c r="F154" s="93" t="n"/>
      <c r="G154" s="93" t="n"/>
      <c r="H154" s="93" t="n"/>
      <c r="I154" s="93" t="n"/>
      <c r="J154" s="93" t="n"/>
      <c r="K154" s="93" t="n"/>
      <c r="L154" s="93" t="n"/>
      <c r="M154" s="93" t="n"/>
      <c r="N154" s="93" t="n"/>
      <c r="O154" s="93" t="n"/>
      <c r="P154" s="93" t="n"/>
      <c r="Q154" s="93" t="n"/>
      <c r="R154" s="93" t="n"/>
      <c r="S154" s="93" t="n"/>
      <c r="T154" s="93" t="n"/>
    </row>
    <row r="155">
      <c r="A155" s="93" t="n"/>
      <c r="B155" s="93" t="n"/>
      <c r="C155" s="93" t="n"/>
      <c r="D155" s="93" t="n"/>
      <c r="E155" s="93" t="n"/>
      <c r="F155" s="93" t="n"/>
      <c r="G155" s="93" t="n"/>
      <c r="H155" s="93" t="n"/>
      <c r="I155" s="93" t="n"/>
      <c r="J155" s="93" t="n"/>
      <c r="K155" s="93" t="n"/>
      <c r="L155" s="93" t="n"/>
      <c r="M155" s="93" t="n"/>
      <c r="N155" s="93" t="n"/>
      <c r="O155" s="93" t="n"/>
      <c r="P155" s="93" t="n"/>
      <c r="Q155" s="93" t="n"/>
      <c r="R155" s="93" t="n"/>
      <c r="S155" s="93" t="n"/>
      <c r="T155" s="93" t="n"/>
    </row>
    <row r="156">
      <c r="A156" s="93" t="n"/>
      <c r="B156" s="93" t="n"/>
      <c r="C156" s="93" t="n"/>
      <c r="D156" s="93" t="n"/>
      <c r="E156" s="93" t="n"/>
      <c r="F156" s="93" t="n"/>
      <c r="G156" s="93" t="n"/>
      <c r="H156" s="93" t="n"/>
      <c r="I156" s="93" t="n"/>
      <c r="J156" s="93" t="n"/>
      <c r="K156" s="93" t="n"/>
      <c r="L156" s="93" t="n"/>
      <c r="M156" s="93" t="n"/>
      <c r="N156" s="93" t="n"/>
      <c r="O156" s="93" t="n"/>
      <c r="P156" s="93" t="n"/>
      <c r="Q156" s="93" t="n"/>
      <c r="R156" s="93" t="n"/>
      <c r="S156" s="93" t="n"/>
      <c r="T156" s="93" t="n"/>
    </row>
    <row r="157">
      <c r="A157" s="93" t="n"/>
      <c r="B157" s="93" t="n"/>
      <c r="C157" s="93" t="n"/>
      <c r="D157" s="93" t="n"/>
      <c r="E157" s="93" t="n"/>
      <c r="F157" s="93" t="n"/>
      <c r="G157" s="93" t="n"/>
      <c r="H157" s="93" t="n"/>
      <c r="I157" s="93" t="n"/>
      <c r="J157" s="93" t="n"/>
      <c r="K157" s="93" t="n"/>
      <c r="L157" s="93" t="n"/>
      <c r="M157" s="93" t="n"/>
      <c r="N157" s="93" t="n"/>
      <c r="O157" s="93" t="n"/>
      <c r="P157" s="93" t="n"/>
      <c r="Q157" s="93" t="n"/>
      <c r="R157" s="93" t="n"/>
      <c r="S157" s="93" t="n"/>
      <c r="T157" s="93" t="n"/>
    </row>
    <row r="158">
      <c r="A158" s="93" t="n"/>
      <c r="B158" s="93" t="n"/>
      <c r="C158" s="93" t="n"/>
      <c r="D158" s="93" t="n"/>
      <c r="E158" s="93" t="n"/>
      <c r="F158" s="93" t="n"/>
      <c r="G158" s="93" t="n"/>
      <c r="H158" s="93" t="n"/>
      <c r="I158" s="93" t="n"/>
      <c r="J158" s="93" t="n"/>
      <c r="K158" s="93" t="n"/>
      <c r="L158" s="93" t="n"/>
      <c r="M158" s="93" t="n"/>
      <c r="N158" s="93" t="n"/>
      <c r="O158" s="93" t="n"/>
      <c r="P158" s="93" t="n"/>
      <c r="Q158" s="93" t="n"/>
      <c r="R158" s="93" t="n"/>
      <c r="S158" s="93" t="n"/>
      <c r="T158" s="93" t="n"/>
    </row>
    <row r="159">
      <c r="A159" s="93" t="n"/>
      <c r="B159" s="93" t="n"/>
      <c r="C159" s="93" t="n"/>
      <c r="D159" s="93" t="n"/>
      <c r="E159" s="93" t="n"/>
      <c r="F159" s="93" t="n"/>
      <c r="G159" s="93" t="n"/>
      <c r="H159" s="93" t="n"/>
      <c r="I159" s="93" t="n"/>
      <c r="J159" s="93" t="n"/>
      <c r="K159" s="93" t="n"/>
      <c r="L159" s="93" t="n"/>
      <c r="M159" s="93" t="n"/>
      <c r="N159" s="93" t="n"/>
      <c r="O159" s="93" t="n"/>
      <c r="P159" s="93" t="n"/>
      <c r="Q159" s="93" t="n"/>
      <c r="R159" s="93" t="n"/>
      <c r="S159" s="93" t="n"/>
      <c r="T159" s="93" t="n"/>
    </row>
    <row r="160">
      <c r="A160" s="93" t="n"/>
      <c r="B160" s="93" t="n"/>
      <c r="C160" s="93" t="n"/>
      <c r="D160" s="93" t="n"/>
      <c r="E160" s="93" t="n"/>
      <c r="F160" s="93" t="n"/>
      <c r="G160" s="93" t="n"/>
      <c r="H160" s="93" t="n"/>
      <c r="I160" s="93" t="n"/>
      <c r="J160" s="93" t="n"/>
      <c r="K160" s="93" t="n"/>
      <c r="L160" s="93" t="n"/>
      <c r="M160" s="93" t="n"/>
      <c r="N160" s="93" t="n"/>
      <c r="O160" s="93" t="n"/>
      <c r="P160" s="93" t="n"/>
      <c r="Q160" s="93" t="n"/>
      <c r="R160" s="93" t="n"/>
      <c r="S160" s="93" t="n"/>
      <c r="T160" s="93" t="n"/>
    </row>
    <row r="161">
      <c r="A161" s="93" t="n"/>
      <c r="B161" s="93" t="n"/>
      <c r="C161" s="93" t="n"/>
      <c r="D161" s="93" t="n"/>
      <c r="E161" s="93" t="n"/>
      <c r="F161" s="93" t="n"/>
      <c r="G161" s="93" t="n"/>
      <c r="H161" s="93" t="n"/>
      <c r="I161" s="93" t="n"/>
      <c r="J161" s="93" t="n"/>
      <c r="K161" s="93" t="n"/>
      <c r="L161" s="93" t="n"/>
      <c r="M161" s="93" t="n"/>
      <c r="N161" s="93" t="n"/>
      <c r="O161" s="93" t="n"/>
      <c r="P161" s="93" t="n"/>
      <c r="Q161" s="93" t="n"/>
      <c r="R161" s="93" t="n"/>
      <c r="S161" s="93" t="n"/>
      <c r="T161" s="93" t="n"/>
    </row>
    <row r="162">
      <c r="A162" s="93" t="n"/>
      <c r="B162" s="93" t="n"/>
      <c r="C162" s="93" t="n"/>
      <c r="D162" s="93" t="n"/>
      <c r="E162" s="93" t="n"/>
      <c r="F162" s="93" t="n"/>
      <c r="G162" s="93" t="n"/>
      <c r="H162" s="93" t="n"/>
      <c r="I162" s="93" t="n"/>
      <c r="J162" s="93" t="n"/>
      <c r="K162" s="93" t="n"/>
      <c r="L162" s="93" t="n"/>
      <c r="M162" s="93" t="n"/>
      <c r="N162" s="93" t="n"/>
      <c r="O162" s="93" t="n"/>
      <c r="P162" s="93" t="n"/>
      <c r="Q162" s="93" t="n"/>
      <c r="R162" s="93" t="n"/>
      <c r="S162" s="93" t="n"/>
      <c r="T162" s="93" t="n"/>
    </row>
    <row r="163">
      <c r="A163" s="93" t="n"/>
      <c r="B163" s="93" t="n"/>
      <c r="C163" s="93" t="n"/>
      <c r="D163" s="93" t="n"/>
      <c r="E163" s="93" t="n"/>
      <c r="F163" s="93" t="n"/>
      <c r="G163" s="93" t="n"/>
      <c r="H163" s="93" t="n"/>
      <c r="I163" s="93" t="n"/>
      <c r="J163" s="93" t="n"/>
      <c r="K163" s="93" t="n"/>
      <c r="L163" s="93" t="n"/>
      <c r="M163" s="93" t="n"/>
      <c r="N163" s="93" t="n"/>
      <c r="O163" s="93" t="n"/>
      <c r="P163" s="93" t="n"/>
      <c r="Q163" s="93" t="n"/>
      <c r="R163" s="93" t="n"/>
      <c r="S163" s="93" t="n"/>
      <c r="T163" s="93" t="n"/>
    </row>
    <row r="164">
      <c r="A164" s="93" t="n"/>
      <c r="B164" s="93" t="n"/>
      <c r="C164" s="93" t="n"/>
      <c r="D164" s="93" t="n"/>
      <c r="E164" s="93" t="n"/>
      <c r="F164" s="93" t="n"/>
      <c r="G164" s="93" t="n"/>
      <c r="H164" s="93" t="n"/>
      <c r="I164" s="93" t="n"/>
      <c r="J164" s="93" t="n"/>
      <c r="K164" s="93" t="n"/>
      <c r="L164" s="93" t="n"/>
      <c r="M164" s="93" t="n"/>
      <c r="N164" s="93" t="n"/>
      <c r="O164" s="93" t="n"/>
      <c r="P164" s="93" t="n"/>
      <c r="Q164" s="93" t="n"/>
      <c r="R164" s="93" t="n"/>
      <c r="S164" s="93" t="n"/>
      <c r="T164" s="93" t="n"/>
    </row>
    <row r="165">
      <c r="A165" s="93" t="n"/>
      <c r="B165" s="93" t="n"/>
      <c r="C165" s="93" t="n"/>
      <c r="D165" s="93" t="n"/>
      <c r="E165" s="93" t="n"/>
      <c r="F165" s="93" t="n"/>
      <c r="G165" s="93" t="n"/>
      <c r="H165" s="93" t="n"/>
      <c r="I165" s="93" t="n"/>
      <c r="J165" s="93" t="n"/>
      <c r="K165" s="93" t="n"/>
      <c r="L165" s="93" t="n"/>
      <c r="M165" s="93" t="n"/>
      <c r="N165" s="93" t="n"/>
      <c r="O165" s="93" t="n"/>
      <c r="P165" s="93" t="n"/>
      <c r="Q165" s="93" t="n"/>
      <c r="R165" s="93" t="n"/>
      <c r="S165" s="93" t="n"/>
      <c r="T165" s="93" t="n"/>
    </row>
    <row r="166">
      <c r="A166" s="93" t="n"/>
      <c r="B166" s="93" t="n"/>
      <c r="C166" s="93" t="n"/>
      <c r="D166" s="93" t="n"/>
      <c r="E166" s="93" t="n"/>
      <c r="F166" s="93" t="n"/>
      <c r="G166" s="93" t="n"/>
      <c r="H166" s="93" t="n"/>
      <c r="I166" s="93" t="n"/>
      <c r="J166" s="93" t="n"/>
      <c r="K166" s="93" t="n"/>
      <c r="L166" s="93" t="n"/>
      <c r="M166" s="93" t="n"/>
      <c r="N166" s="93" t="n"/>
      <c r="O166" s="93" t="n"/>
      <c r="P166" s="93" t="n"/>
      <c r="Q166" s="93" t="n"/>
      <c r="R166" s="93" t="n"/>
      <c r="S166" s="93" t="n"/>
      <c r="T166" s="93" t="n"/>
    </row>
    <row r="167">
      <c r="A167" s="93" t="n"/>
      <c r="B167" s="93" t="n"/>
      <c r="C167" s="93" t="n"/>
      <c r="D167" s="93" t="n"/>
      <c r="E167" s="93" t="n"/>
      <c r="F167" s="93" t="n"/>
      <c r="G167" s="93" t="n"/>
      <c r="H167" s="93" t="n"/>
      <c r="I167" s="93" t="n"/>
      <c r="J167" s="93" t="n"/>
      <c r="K167" s="93" t="n"/>
      <c r="L167" s="93" t="n"/>
      <c r="M167" s="93" t="n"/>
      <c r="N167" s="93" t="n"/>
      <c r="O167" s="93" t="n"/>
      <c r="P167" s="93" t="n"/>
      <c r="Q167" s="93" t="n"/>
      <c r="R167" s="93" t="n"/>
      <c r="S167" s="93" t="n"/>
      <c r="T167" s="93" t="n"/>
    </row>
    <row r="168">
      <c r="A168" s="93" t="n"/>
      <c r="B168" s="93" t="n"/>
      <c r="C168" s="93" t="n"/>
      <c r="D168" s="93" t="n"/>
      <c r="E168" s="93" t="n"/>
      <c r="F168" s="93" t="n"/>
      <c r="G168" s="93" t="n"/>
      <c r="H168" s="93" t="n"/>
      <c r="I168" s="93" t="n"/>
      <c r="J168" s="93" t="n"/>
      <c r="K168" s="93" t="n"/>
      <c r="L168" s="93" t="n"/>
      <c r="M168" s="93" t="n"/>
      <c r="N168" s="93" t="n"/>
      <c r="O168" s="93" t="n"/>
      <c r="P168" s="93" t="n"/>
      <c r="Q168" s="93" t="n"/>
      <c r="R168" s="93" t="n"/>
      <c r="S168" s="93" t="n"/>
      <c r="T168" s="93" t="n"/>
    </row>
    <row r="169">
      <c r="A169" s="93" t="n"/>
      <c r="B169" s="93" t="n"/>
      <c r="C169" s="93" t="n"/>
      <c r="D169" s="93" t="n"/>
      <c r="E169" s="93" t="n"/>
      <c r="F169" s="93" t="n"/>
      <c r="G169" s="93" t="n"/>
      <c r="H169" s="93" t="n"/>
      <c r="I169" s="93" t="n"/>
      <c r="J169" s="93" t="n"/>
      <c r="K169" s="93" t="n"/>
      <c r="L169" s="93" t="n"/>
      <c r="M169" s="93" t="n"/>
      <c r="N169" s="93" t="n"/>
      <c r="O169" s="93" t="n"/>
      <c r="P169" s="93" t="n"/>
      <c r="Q169" s="93" t="n"/>
      <c r="R169" s="93" t="n"/>
      <c r="S169" s="93" t="n"/>
      <c r="T169" s="93" t="n"/>
    </row>
    <row r="170">
      <c r="A170" s="93" t="n"/>
      <c r="B170" s="93" t="n"/>
      <c r="C170" s="93" t="n"/>
      <c r="D170" s="93" t="n"/>
      <c r="E170" s="93" t="n"/>
      <c r="F170" s="93" t="n"/>
      <c r="G170" s="93" t="n"/>
      <c r="H170" s="93" t="n"/>
      <c r="I170" s="93" t="n"/>
      <c r="J170" s="93" t="n"/>
      <c r="K170" s="93" t="n"/>
      <c r="L170" s="93" t="n"/>
      <c r="M170" s="93" t="n"/>
      <c r="N170" s="93" t="n"/>
      <c r="O170" s="93" t="n"/>
      <c r="P170" s="93" t="n"/>
      <c r="Q170" s="93" t="n"/>
      <c r="R170" s="93" t="n"/>
      <c r="S170" s="93" t="n"/>
      <c r="T170" s="93" t="n"/>
    </row>
    <row r="171">
      <c r="A171" s="93" t="n"/>
      <c r="B171" s="93" t="n"/>
      <c r="C171" s="93" t="n"/>
      <c r="D171" s="93" t="n"/>
      <c r="E171" s="93" t="n"/>
      <c r="F171" s="93" t="n"/>
      <c r="G171" s="93" t="n"/>
      <c r="H171" s="93" t="n"/>
      <c r="I171" s="93" t="n"/>
      <c r="J171" s="93" t="n"/>
      <c r="K171" s="93" t="n"/>
      <c r="L171" s="93" t="n"/>
      <c r="M171" s="93" t="n"/>
      <c r="N171" s="93" t="n"/>
      <c r="O171" s="93" t="n"/>
      <c r="P171" s="93" t="n"/>
      <c r="Q171" s="93" t="n"/>
      <c r="R171" s="93" t="n"/>
      <c r="S171" s="93" t="n"/>
      <c r="T171" s="93" t="n"/>
    </row>
    <row r="172">
      <c r="A172" s="93" t="n"/>
      <c r="B172" s="93" t="n"/>
      <c r="C172" s="93" t="n"/>
      <c r="D172" s="93" t="n"/>
      <c r="E172" s="93" t="n"/>
      <c r="F172" s="93" t="n"/>
      <c r="G172" s="93" t="n"/>
      <c r="H172" s="93" t="n"/>
      <c r="I172" s="93" t="n"/>
      <c r="J172" s="93" t="n"/>
      <c r="K172" s="93" t="n"/>
      <c r="L172" s="93" t="n"/>
      <c r="M172" s="93" t="n"/>
      <c r="N172" s="93" t="n"/>
      <c r="O172" s="93" t="n"/>
      <c r="P172" s="93" t="n"/>
      <c r="Q172" s="93" t="n"/>
      <c r="R172" s="93" t="n"/>
      <c r="S172" s="93" t="n"/>
      <c r="T172" s="93" t="n"/>
    </row>
    <row r="173">
      <c r="A173" s="93" t="n"/>
      <c r="B173" s="93" t="n"/>
      <c r="C173" s="93" t="n"/>
      <c r="D173" s="93" t="n"/>
      <c r="E173" s="93" t="n"/>
      <c r="F173" s="93" t="n"/>
      <c r="G173" s="93" t="n"/>
      <c r="H173" s="93" t="n"/>
      <c r="I173" s="93" t="n"/>
      <c r="J173" s="93" t="n"/>
      <c r="K173" s="93" t="n"/>
      <c r="L173" s="93" t="n"/>
      <c r="M173" s="93" t="n"/>
      <c r="N173" s="93" t="n"/>
      <c r="O173" s="93" t="n"/>
      <c r="P173" s="93" t="n"/>
      <c r="Q173" s="93" t="n"/>
      <c r="R173" s="93" t="n"/>
      <c r="S173" s="93" t="n"/>
      <c r="T173" s="93" t="n"/>
    </row>
    <row r="174">
      <c r="A174" s="93" t="n"/>
      <c r="B174" s="93" t="n"/>
      <c r="C174" s="93" t="n"/>
      <c r="D174" s="93" t="n"/>
      <c r="E174" s="93" t="n"/>
      <c r="F174" s="93" t="n"/>
      <c r="G174" s="93" t="n"/>
      <c r="H174" s="93" t="n"/>
      <c r="I174" s="93" t="n"/>
      <c r="J174" s="93" t="n"/>
      <c r="K174" s="93" t="n"/>
      <c r="L174" s="93" t="n"/>
      <c r="M174" s="93" t="n"/>
      <c r="N174" s="93" t="n"/>
      <c r="O174" s="93" t="n"/>
      <c r="P174" s="93" t="n"/>
      <c r="Q174" s="93" t="n"/>
      <c r="R174" s="93" t="n"/>
      <c r="S174" s="93" t="n"/>
      <c r="T174" s="93" t="n"/>
    </row>
    <row r="175">
      <c r="A175" s="93" t="n"/>
      <c r="B175" s="93" t="n"/>
      <c r="C175" s="93" t="n"/>
      <c r="D175" s="93" t="n"/>
      <c r="E175" s="93" t="n"/>
      <c r="F175" s="93" t="n"/>
      <c r="G175" s="93" t="n"/>
      <c r="H175" s="93" t="n"/>
      <c r="I175" s="93" t="n"/>
      <c r="J175" s="93" t="n"/>
      <c r="K175" s="93" t="n"/>
      <c r="L175" s="93" t="n"/>
      <c r="M175" s="93" t="n"/>
      <c r="N175" s="93" t="n"/>
      <c r="O175" s="93" t="n"/>
      <c r="P175" s="93" t="n"/>
      <c r="Q175" s="93" t="n"/>
      <c r="R175" s="93" t="n"/>
      <c r="S175" s="93" t="n"/>
      <c r="T175" s="93" t="n"/>
    </row>
    <row r="176">
      <c r="A176" s="93" t="n"/>
      <c r="B176" s="93" t="n"/>
      <c r="C176" s="93" t="n"/>
      <c r="D176" s="93" t="n"/>
      <c r="E176" s="93" t="n"/>
      <c r="F176" s="93" t="n"/>
      <c r="G176" s="93" t="n"/>
      <c r="H176" s="93" t="n"/>
      <c r="I176" s="93" t="n"/>
      <c r="J176" s="93" t="n"/>
      <c r="K176" s="93" t="n"/>
      <c r="L176" s="93" t="n"/>
      <c r="M176" s="93" t="n"/>
      <c r="N176" s="93" t="n"/>
      <c r="O176" s="93" t="n"/>
      <c r="P176" s="93" t="n"/>
      <c r="Q176" s="93" t="n"/>
      <c r="R176" s="93" t="n"/>
      <c r="S176" s="93" t="n"/>
      <c r="T176" s="93" t="n"/>
    </row>
    <row r="177">
      <c r="A177" s="93" t="n"/>
      <c r="B177" s="93" t="n"/>
      <c r="C177" s="93" t="n"/>
      <c r="D177" s="93" t="n"/>
      <c r="E177" s="93" t="n"/>
      <c r="F177" s="93" t="n"/>
      <c r="G177" s="93" t="n"/>
      <c r="H177" s="93" t="n"/>
      <c r="I177" s="93" t="n"/>
      <c r="J177" s="93" t="n"/>
      <c r="K177" s="93" t="n"/>
      <c r="L177" s="93" t="n"/>
      <c r="M177" s="93" t="n"/>
      <c r="N177" s="93" t="n"/>
      <c r="O177" s="93" t="n"/>
      <c r="P177" s="93" t="n"/>
      <c r="Q177" s="93" t="n"/>
      <c r="R177" s="93" t="n"/>
      <c r="S177" s="93" t="n"/>
      <c r="T177" s="93" t="n"/>
    </row>
    <row r="178">
      <c r="A178" s="93" t="n"/>
      <c r="B178" s="93" t="n"/>
      <c r="C178" s="93" t="n"/>
      <c r="D178" s="93" t="n"/>
      <c r="E178" s="93" t="n"/>
      <c r="F178" s="93" t="n"/>
      <c r="G178" s="93" t="n"/>
      <c r="H178" s="93" t="n"/>
      <c r="I178" s="93" t="n"/>
      <c r="J178" s="93" t="n"/>
      <c r="K178" s="93" t="n"/>
      <c r="L178" s="93" t="n"/>
      <c r="M178" s="93" t="n"/>
      <c r="N178" s="93" t="n"/>
      <c r="O178" s="93" t="n"/>
      <c r="P178" s="93" t="n"/>
      <c r="Q178" s="93" t="n"/>
      <c r="R178" s="93" t="n"/>
      <c r="S178" s="93" t="n"/>
      <c r="T178" s="93" t="n"/>
    </row>
    <row r="179">
      <c r="A179" s="93" t="n"/>
      <c r="B179" s="93" t="n"/>
      <c r="C179" s="93" t="n"/>
      <c r="D179" s="93" t="n"/>
      <c r="E179" s="93" t="n"/>
      <c r="F179" s="93" t="n"/>
      <c r="G179" s="93" t="n"/>
      <c r="H179" s="93" t="n"/>
      <c r="I179" s="93" t="n"/>
      <c r="J179" s="93" t="n"/>
      <c r="K179" s="93" t="n"/>
      <c r="L179" s="93" t="n"/>
      <c r="M179" s="93" t="n"/>
      <c r="N179" s="93" t="n"/>
      <c r="O179" s="93" t="n"/>
      <c r="P179" s="93" t="n"/>
      <c r="Q179" s="93" t="n"/>
      <c r="R179" s="93" t="n"/>
      <c r="S179" s="93" t="n"/>
      <c r="T179" s="93" t="n"/>
    </row>
    <row r="180">
      <c r="A180" s="93" t="n"/>
      <c r="B180" s="93" t="n"/>
      <c r="C180" s="93" t="n"/>
      <c r="D180" s="93" t="n"/>
      <c r="E180" s="93" t="n"/>
      <c r="F180" s="93" t="n"/>
      <c r="G180" s="93" t="n"/>
      <c r="H180" s="93" t="n"/>
      <c r="I180" s="93" t="n"/>
      <c r="J180" s="93" t="n"/>
      <c r="K180" s="93" t="n"/>
      <c r="L180" s="93" t="n"/>
      <c r="M180" s="93" t="n"/>
      <c r="N180" s="93" t="n"/>
      <c r="O180" s="93" t="n"/>
      <c r="P180" s="93" t="n"/>
      <c r="Q180" s="93" t="n"/>
      <c r="R180" s="93" t="n"/>
      <c r="S180" s="93" t="n"/>
      <c r="T180" s="93" t="n"/>
    </row>
    <row r="181">
      <c r="A181" s="93" t="n"/>
      <c r="B181" s="93" t="n"/>
      <c r="C181" s="93" t="n"/>
      <c r="D181" s="93" t="n"/>
      <c r="E181" s="93" t="n"/>
      <c r="F181" s="93" t="n"/>
      <c r="G181" s="93" t="n"/>
      <c r="H181" s="93" t="n"/>
      <c r="I181" s="93" t="n"/>
      <c r="J181" s="93" t="n"/>
      <c r="K181" s="93" t="n"/>
      <c r="L181" s="93" t="n"/>
      <c r="M181" s="93" t="n"/>
      <c r="N181" s="93" t="n"/>
      <c r="O181" s="93" t="n"/>
      <c r="P181" s="93" t="n"/>
      <c r="Q181" s="93" t="n"/>
      <c r="R181" s="93" t="n"/>
      <c r="S181" s="93" t="n"/>
      <c r="T181" s="93" t="n"/>
    </row>
    <row r="182">
      <c r="A182" s="93" t="n"/>
      <c r="B182" s="93" t="n"/>
      <c r="C182" s="93" t="n"/>
      <c r="D182" s="93" t="n"/>
      <c r="E182" s="93" t="n"/>
      <c r="F182" s="93" t="n"/>
      <c r="G182" s="93" t="n"/>
      <c r="H182" s="93" t="n"/>
      <c r="I182" s="93" t="n"/>
      <c r="J182" s="93" t="n"/>
      <c r="K182" s="93" t="n"/>
      <c r="L182" s="93" t="n"/>
      <c r="M182" s="93" t="n"/>
      <c r="N182" s="93" t="n"/>
      <c r="O182" s="93" t="n"/>
      <c r="P182" s="93" t="n"/>
      <c r="Q182" s="93" t="n"/>
      <c r="R182" s="93" t="n"/>
      <c r="S182" s="93" t="n"/>
      <c r="T182" s="93" t="n"/>
    </row>
    <row r="183">
      <c r="A183" s="93" t="n"/>
      <c r="B183" s="93" t="n"/>
      <c r="C183" s="93" t="n"/>
      <c r="D183" s="93" t="n"/>
      <c r="E183" s="93" t="n"/>
      <c r="F183" s="93" t="n"/>
      <c r="G183" s="93" t="n"/>
      <c r="H183" s="93" t="n"/>
      <c r="I183" s="93" t="n"/>
      <c r="J183" s="93" t="n"/>
      <c r="K183" s="93" t="n"/>
      <c r="L183" s="93" t="n"/>
      <c r="M183" s="93" t="n"/>
      <c r="N183" s="93" t="n"/>
      <c r="O183" s="93" t="n"/>
      <c r="P183" s="93" t="n"/>
      <c r="Q183" s="93" t="n"/>
      <c r="R183" s="93" t="n"/>
      <c r="S183" s="93" t="n"/>
      <c r="T183" s="93" t="n"/>
    </row>
    <row r="184">
      <c r="A184" s="93" t="n"/>
      <c r="B184" s="93" t="n"/>
      <c r="C184" s="93" t="n"/>
      <c r="D184" s="93" t="n"/>
      <c r="E184" s="93" t="n"/>
      <c r="F184" s="93" t="n"/>
      <c r="G184" s="93" t="n"/>
      <c r="H184" s="93" t="n"/>
      <c r="I184" s="93" t="n"/>
      <c r="J184" s="93" t="n"/>
      <c r="K184" s="93" t="n"/>
      <c r="L184" s="93" t="n"/>
      <c r="M184" s="93" t="n"/>
      <c r="N184" s="93" t="n"/>
      <c r="O184" s="93" t="n"/>
      <c r="P184" s="93" t="n"/>
      <c r="Q184" s="93" t="n"/>
      <c r="R184" s="93" t="n"/>
      <c r="S184" s="93" t="n"/>
      <c r="T184" s="93" t="n"/>
    </row>
    <row r="185">
      <c r="A185" s="93" t="n"/>
      <c r="B185" s="93" t="n"/>
      <c r="C185" s="93" t="n"/>
      <c r="D185" s="93" t="n"/>
      <c r="E185" s="93" t="n"/>
      <c r="F185" s="93" t="n"/>
      <c r="G185" s="93" t="n"/>
      <c r="H185" s="93" t="n"/>
      <c r="I185" s="93" t="n"/>
      <c r="J185" s="93" t="n"/>
      <c r="K185" s="93" t="n"/>
      <c r="L185" s="93" t="n"/>
      <c r="M185" s="93" t="n"/>
      <c r="N185" s="93" t="n"/>
      <c r="O185" s="93" t="n"/>
      <c r="P185" s="93" t="n"/>
      <c r="Q185" s="93" t="n"/>
      <c r="R185" s="93" t="n"/>
      <c r="S185" s="93" t="n"/>
      <c r="T185" s="93" t="n"/>
    </row>
    <row r="186">
      <c r="A186" s="93" t="n"/>
      <c r="B186" s="93" t="n"/>
      <c r="C186" s="93" t="n"/>
      <c r="D186" s="93" t="n"/>
      <c r="E186" s="93" t="n"/>
      <c r="F186" s="93" t="n"/>
      <c r="G186" s="93" t="n"/>
      <c r="H186" s="93" t="n"/>
      <c r="I186" s="93" t="n"/>
      <c r="J186" s="93" t="n"/>
      <c r="K186" s="93" t="n"/>
      <c r="L186" s="93" t="n"/>
      <c r="M186" s="93" t="n"/>
      <c r="N186" s="93" t="n"/>
      <c r="O186" s="93" t="n"/>
      <c r="P186" s="93" t="n"/>
      <c r="Q186" s="93" t="n"/>
      <c r="R186" s="93" t="n"/>
      <c r="S186" s="93" t="n"/>
      <c r="T186" s="93" t="n"/>
    </row>
    <row r="187">
      <c r="A187" s="93" t="n"/>
      <c r="B187" s="93" t="n"/>
      <c r="C187" s="93" t="n"/>
      <c r="D187" s="93" t="n"/>
      <c r="E187" s="93" t="n"/>
      <c r="F187" s="93" t="n"/>
      <c r="G187" s="93" t="n"/>
      <c r="H187" s="93" t="n"/>
      <c r="I187" s="93" t="n"/>
      <c r="J187" s="93" t="n"/>
      <c r="K187" s="93" t="n"/>
      <c r="L187" s="93" t="n"/>
      <c r="M187" s="93" t="n"/>
      <c r="N187" s="93" t="n"/>
      <c r="O187" s="93" t="n"/>
      <c r="P187" s="93" t="n"/>
      <c r="Q187" s="93" t="n"/>
      <c r="R187" s="93" t="n"/>
      <c r="S187" s="93" t="n"/>
      <c r="T187" s="93" t="n"/>
    </row>
    <row r="188">
      <c r="A188" s="93" t="n"/>
      <c r="B188" s="93" t="n"/>
      <c r="C188" s="93" t="n"/>
      <c r="D188" s="93" t="n"/>
      <c r="E188" s="93" t="n"/>
      <c r="F188" s="93" t="n"/>
      <c r="G188" s="93" t="n"/>
      <c r="H188" s="93" t="n"/>
      <c r="I188" s="93" t="n"/>
      <c r="J188" s="93" t="n"/>
      <c r="K188" s="93" t="n"/>
      <c r="L188" s="93" t="n"/>
      <c r="M188" s="93" t="n"/>
      <c r="N188" s="93" t="n"/>
      <c r="O188" s="93" t="n"/>
      <c r="P188" s="93" t="n"/>
      <c r="Q188" s="93" t="n"/>
      <c r="R188" s="93" t="n"/>
      <c r="S188" s="93" t="n"/>
      <c r="T188" s="93" t="n"/>
    </row>
    <row r="189">
      <c r="A189" s="93" t="n"/>
      <c r="B189" s="93" t="n"/>
      <c r="C189" s="93" t="n"/>
      <c r="D189" s="93" t="n"/>
      <c r="E189" s="93" t="n"/>
      <c r="F189" s="93" t="n"/>
      <c r="G189" s="93" t="n"/>
      <c r="H189" s="93" t="n"/>
      <c r="I189" s="93" t="n"/>
      <c r="J189" s="93" t="n"/>
      <c r="K189" s="93" t="n"/>
      <c r="L189" s="93" t="n"/>
      <c r="M189" s="93" t="n"/>
      <c r="N189" s="93" t="n"/>
      <c r="O189" s="93" t="n"/>
      <c r="P189" s="93" t="n"/>
      <c r="Q189" s="93" t="n"/>
      <c r="R189" s="93" t="n"/>
      <c r="S189" s="93" t="n"/>
      <c r="T189" s="93" t="n"/>
    </row>
    <row r="190">
      <c r="A190" s="93" t="n"/>
      <c r="B190" s="93" t="n"/>
      <c r="C190" s="93" t="n"/>
      <c r="D190" s="93" t="n"/>
      <c r="E190" s="93" t="n"/>
      <c r="F190" s="93" t="n"/>
      <c r="G190" s="93" t="n"/>
      <c r="H190" s="93" t="n"/>
      <c r="I190" s="93" t="n"/>
      <c r="J190" s="93" t="n"/>
      <c r="K190" s="93" t="n"/>
      <c r="L190" s="93" t="n"/>
      <c r="M190" s="93" t="n"/>
      <c r="N190" s="93" t="n"/>
      <c r="O190" s="93" t="n"/>
      <c r="P190" s="93" t="n"/>
      <c r="Q190" s="93" t="n"/>
      <c r="R190" s="93" t="n"/>
      <c r="S190" s="93" t="n"/>
      <c r="T190" s="93" t="n"/>
    </row>
    <row r="191">
      <c r="A191" s="93" t="n"/>
      <c r="B191" s="93" t="n"/>
      <c r="C191" s="93" t="n"/>
      <c r="D191" s="93" t="n"/>
      <c r="E191" s="93" t="n"/>
      <c r="F191" s="93" t="n"/>
      <c r="G191" s="93" t="n"/>
      <c r="H191" s="93" t="n"/>
      <c r="I191" s="93" t="n"/>
      <c r="J191" s="93" t="n"/>
      <c r="K191" s="93" t="n"/>
      <c r="L191" s="93" t="n"/>
      <c r="M191" s="93" t="n"/>
      <c r="N191" s="93" t="n"/>
      <c r="O191" s="93" t="n"/>
      <c r="P191" s="93" t="n"/>
      <c r="Q191" s="93" t="n"/>
      <c r="R191" s="93" t="n"/>
      <c r="S191" s="93" t="n"/>
      <c r="T191" s="93" t="n"/>
    </row>
    <row r="192">
      <c r="A192" s="93" t="n"/>
      <c r="B192" s="93" t="n"/>
      <c r="C192" s="93" t="n"/>
      <c r="D192" s="93" t="n"/>
      <c r="E192" s="93" t="n"/>
      <c r="F192" s="93" t="n"/>
      <c r="G192" s="93" t="n"/>
      <c r="H192" s="93" t="n"/>
      <c r="I192" s="93" t="n"/>
      <c r="J192" s="93" t="n"/>
      <c r="K192" s="93" t="n"/>
      <c r="L192" s="93" t="n"/>
      <c r="M192" s="93" t="n"/>
      <c r="N192" s="93" t="n"/>
      <c r="O192" s="93" t="n"/>
      <c r="P192" s="93" t="n"/>
      <c r="Q192" s="93" t="n"/>
      <c r="R192" s="93" t="n"/>
      <c r="S192" s="93" t="n"/>
      <c r="T192" s="93" t="n"/>
    </row>
    <row r="193">
      <c r="A193" s="93" t="n"/>
      <c r="B193" s="93" t="n"/>
      <c r="C193" s="93" t="n"/>
      <c r="D193" s="93" t="n"/>
      <c r="E193" s="93" t="n"/>
      <c r="F193" s="93" t="n"/>
      <c r="G193" s="93" t="n"/>
      <c r="H193" s="93" t="n"/>
      <c r="I193" s="93" t="n"/>
      <c r="J193" s="93" t="n"/>
      <c r="K193" s="93" t="n"/>
      <c r="L193" s="93" t="n"/>
      <c r="M193" s="93" t="n"/>
      <c r="N193" s="93" t="n"/>
      <c r="O193" s="93" t="n"/>
      <c r="P193" s="93" t="n"/>
      <c r="Q193" s="93" t="n"/>
      <c r="R193" s="93" t="n"/>
      <c r="S193" s="93" t="n"/>
      <c r="T193" s="93" t="n"/>
    </row>
    <row r="194">
      <c r="A194" s="93" t="n"/>
      <c r="B194" s="93" t="n"/>
      <c r="C194" s="93" t="n"/>
      <c r="D194" s="93" t="n"/>
      <c r="E194" s="93" t="n"/>
      <c r="F194" s="93" t="n"/>
      <c r="G194" s="93" t="n"/>
      <c r="H194" s="93" t="n"/>
      <c r="I194" s="93" t="n"/>
      <c r="J194" s="93" t="n"/>
      <c r="K194" s="93" t="n"/>
      <c r="L194" s="93" t="n"/>
      <c r="M194" s="93" t="n"/>
      <c r="N194" s="93" t="n"/>
      <c r="O194" s="93" t="n"/>
      <c r="P194" s="93" t="n"/>
      <c r="Q194" s="93" t="n"/>
      <c r="R194" s="93" t="n"/>
      <c r="S194" s="93" t="n"/>
      <c r="T194" s="93" t="n"/>
    </row>
    <row r="195">
      <c r="A195" s="93" t="n"/>
      <c r="B195" s="93" t="n"/>
      <c r="C195" s="93" t="n"/>
      <c r="D195" s="93" t="n"/>
      <c r="E195" s="93" t="n"/>
      <c r="F195" s="93" t="n"/>
      <c r="G195" s="93" t="n"/>
      <c r="H195" s="93" t="n"/>
      <c r="I195" s="93" t="n"/>
      <c r="J195" s="93" t="n"/>
      <c r="K195" s="93" t="n"/>
      <c r="L195" s="93" t="n"/>
      <c r="M195" s="93" t="n"/>
      <c r="N195" s="93" t="n"/>
      <c r="O195" s="93" t="n"/>
      <c r="P195" s="93" t="n"/>
      <c r="Q195" s="93" t="n"/>
      <c r="R195" s="93" t="n"/>
      <c r="S195" s="93" t="n"/>
      <c r="T195" s="93" t="n"/>
    </row>
    <row r="196">
      <c r="A196" s="93" t="n"/>
      <c r="B196" s="93" t="n"/>
      <c r="C196" s="93" t="n"/>
      <c r="D196" s="93" t="n"/>
      <c r="E196" s="93" t="n"/>
      <c r="F196" s="93" t="n"/>
      <c r="G196" s="93" t="n"/>
      <c r="H196" s="93" t="n"/>
      <c r="I196" s="93" t="n"/>
      <c r="J196" s="93" t="n"/>
      <c r="K196" s="93" t="n"/>
      <c r="L196" s="93" t="n"/>
      <c r="M196" s="93" t="n"/>
      <c r="N196" s="93" t="n"/>
      <c r="O196" s="93" t="n"/>
      <c r="P196" s="93" t="n"/>
      <c r="Q196" s="93" t="n"/>
      <c r="R196" s="93" t="n"/>
      <c r="S196" s="93" t="n"/>
      <c r="T196" s="93" t="n"/>
    </row>
    <row r="197">
      <c r="A197" s="93" t="n"/>
      <c r="B197" s="93" t="n"/>
      <c r="C197" s="93" t="n"/>
      <c r="D197" s="93" t="n"/>
      <c r="E197" s="93" t="n"/>
      <c r="F197" s="93" t="n"/>
      <c r="G197" s="93" t="n"/>
      <c r="H197" s="93" t="n"/>
      <c r="I197" s="93" t="n"/>
      <c r="J197" s="93" t="n"/>
      <c r="K197" s="93" t="n"/>
      <c r="L197" s="93" t="n"/>
      <c r="M197" s="93" t="n"/>
      <c r="N197" s="93" t="n"/>
      <c r="O197" s="93" t="n"/>
      <c r="P197" s="93" t="n"/>
      <c r="Q197" s="93" t="n"/>
      <c r="R197" s="93" t="n"/>
      <c r="S197" s="93" t="n"/>
      <c r="T197" s="93" t="n"/>
    </row>
    <row r="198">
      <c r="A198" s="93" t="n"/>
      <c r="B198" s="93" t="n"/>
      <c r="C198" s="93" t="n"/>
      <c r="D198" s="93" t="n"/>
      <c r="E198" s="93" t="n"/>
      <c r="F198" s="93" t="n"/>
      <c r="G198" s="93" t="n"/>
      <c r="H198" s="93" t="n"/>
      <c r="I198" s="93" t="n"/>
      <c r="J198" s="93" t="n"/>
      <c r="K198" s="93" t="n"/>
      <c r="L198" s="93" t="n"/>
      <c r="M198" s="93" t="n"/>
      <c r="N198" s="93" t="n"/>
      <c r="O198" s="93" t="n"/>
      <c r="P198" s="93" t="n"/>
      <c r="Q198" s="93" t="n"/>
      <c r="R198" s="93" t="n"/>
      <c r="S198" s="93" t="n"/>
      <c r="T198" s="93" t="n"/>
    </row>
    <row r="199">
      <c r="A199" s="126" t="inlineStr">
        <is>
          <t>LOOKUP TABLES — DO NOT EDIT (used by charts above)</t>
        </is>
      </c>
      <c r="B199" s="93" t="n"/>
      <c r="C199" s="93" t="n"/>
      <c r="D199" s="93" t="n"/>
      <c r="E199" s="93" t="n"/>
      <c r="F199" s="93" t="n"/>
      <c r="G199" s="93" t="n"/>
      <c r="H199" s="93" t="n"/>
      <c r="I199" s="93" t="n"/>
      <c r="J199" s="93" t="n"/>
      <c r="K199" s="93" t="n"/>
      <c r="L199" s="93" t="n"/>
      <c r="M199" s="93" t="n"/>
      <c r="N199" s="93" t="n"/>
      <c r="O199" s="93" t="n"/>
      <c r="P199" s="93" t="n"/>
      <c r="Q199" s="93" t="n"/>
      <c r="R199" s="93" t="n"/>
      <c r="S199" s="93" t="n"/>
      <c r="T199" s="93" t="n"/>
    </row>
    <row r="200">
      <c r="A200" s="127" t="inlineStr">
        <is>
          <t>Metric</t>
        </is>
      </c>
      <c r="B200" s="127" t="inlineStr">
        <is>
          <t>Jan</t>
        </is>
      </c>
      <c r="C200" s="127" t="inlineStr">
        <is>
          <t>Feb</t>
        </is>
      </c>
      <c r="D200" s="127" t="inlineStr">
        <is>
          <t>Mar</t>
        </is>
      </c>
      <c r="E200" s="127" t="inlineStr">
        <is>
          <t>Apr</t>
        </is>
      </c>
      <c r="F200" s="127" t="inlineStr">
        <is>
          <t>May</t>
        </is>
      </c>
      <c r="G200" s="127" t="inlineStr">
        <is>
          <t>Jun</t>
        </is>
      </c>
      <c r="H200" s="127" t="inlineStr">
        <is>
          <t>Jul</t>
        </is>
      </c>
      <c r="I200" s="127" t="inlineStr">
        <is>
          <t>Aug</t>
        </is>
      </c>
      <c r="J200" s="127" t="inlineStr">
        <is>
          <t>Sep</t>
        </is>
      </c>
      <c r="K200" s="127" t="inlineStr">
        <is>
          <t>Oct</t>
        </is>
      </c>
      <c r="L200" s="127" t="inlineStr">
        <is>
          <t>Nov</t>
        </is>
      </c>
      <c r="M200" s="127" t="inlineStr">
        <is>
          <t>Dec</t>
        </is>
      </c>
      <c r="N200" s="93" t="n"/>
      <c r="O200" s="93" t="n"/>
      <c r="P200" s="93" t="n"/>
      <c r="Q200" s="93" t="n"/>
      <c r="R200" s="93" t="n"/>
      <c r="S200" s="93" t="n"/>
      <c r="T200" s="93" t="n"/>
    </row>
    <row r="201">
      <c r="A201" s="127" t="inlineStr">
        <is>
          <t>Revenue</t>
        </is>
      </c>
      <c r="B201" s="128">
        <f>IF($C$6="iGO",'Product Line Summary'!B8,IF($C$6="Affirm",'Product Line Summary'!B16,IF($C$6="InsureSight",'Product Line Summary'!B24,'Product Line Summary'!B32)))</f>
        <v/>
      </c>
      <c r="C201" s="128">
        <f>IF($C$6="iGO",'Product Line Summary'!C8,IF($C$6="Affirm",'Product Line Summary'!C16,IF($C$6="InsureSight",'Product Line Summary'!C24,'Product Line Summary'!C32)))</f>
        <v/>
      </c>
      <c r="D201" s="128">
        <f>IF($C$6="iGO",'Product Line Summary'!D8,IF($C$6="Affirm",'Product Line Summary'!D16,IF($C$6="InsureSight",'Product Line Summary'!D24,'Product Line Summary'!D32)))</f>
        <v/>
      </c>
      <c r="E201" s="128">
        <f>IF($C$6="iGO",'Product Line Summary'!E8,IF($C$6="Affirm",'Product Line Summary'!E16,IF($C$6="InsureSight",'Product Line Summary'!E24,'Product Line Summary'!E32)))</f>
        <v/>
      </c>
      <c r="F201" s="128">
        <f>IF($C$6="iGO",'Product Line Summary'!F8,IF($C$6="Affirm",'Product Line Summary'!F16,IF($C$6="InsureSight",'Product Line Summary'!F24,'Product Line Summary'!F32)))</f>
        <v/>
      </c>
      <c r="G201" s="128">
        <f>IF($C$6="iGO",'Product Line Summary'!G8,IF($C$6="Affirm",'Product Line Summary'!G16,IF($C$6="InsureSight",'Product Line Summary'!G24,'Product Line Summary'!G32)))</f>
        <v/>
      </c>
      <c r="H201" s="128">
        <f>IF($C$6="iGO",'Product Line Summary'!H8,IF($C$6="Affirm",'Product Line Summary'!H16,IF($C$6="InsureSight",'Product Line Summary'!H24,'Product Line Summary'!H32)))</f>
        <v/>
      </c>
      <c r="I201" s="128">
        <f>IF($C$6="iGO",'Product Line Summary'!I8,IF($C$6="Affirm",'Product Line Summary'!I16,IF($C$6="InsureSight",'Product Line Summary'!I24,'Product Line Summary'!I32)))</f>
        <v/>
      </c>
      <c r="J201" s="128">
        <f>IF($C$6="iGO",'Product Line Summary'!J8,IF($C$6="Affirm",'Product Line Summary'!J16,IF($C$6="InsureSight",'Product Line Summary'!J24,'Product Line Summary'!J32)))</f>
        <v/>
      </c>
      <c r="K201" s="128">
        <f>IF($C$6="iGO",'Product Line Summary'!K8,IF($C$6="Affirm",'Product Line Summary'!K16,IF($C$6="InsureSight",'Product Line Summary'!K24,'Product Line Summary'!K32)))</f>
        <v/>
      </c>
      <c r="L201" s="128">
        <f>IF($C$6="iGO",'Product Line Summary'!L8,IF($C$6="Affirm",'Product Line Summary'!L16,IF($C$6="InsureSight",'Product Line Summary'!L24,'Product Line Summary'!L32)))</f>
        <v/>
      </c>
      <c r="M201" s="128">
        <f>IF($C$6="iGO",'Product Line Summary'!M8,IF($C$6="Affirm",'Product Line Summary'!M16,IF($C$6="InsureSight",'Product Line Summary'!M24,'Product Line Summary'!M32)))</f>
        <v/>
      </c>
      <c r="N201" s="93" t="n"/>
      <c r="O201" s="93" t="n"/>
      <c r="P201" s="93" t="n"/>
      <c r="Q201" s="93" t="n"/>
      <c r="R201" s="93" t="n"/>
      <c r="S201" s="93" t="n"/>
      <c r="T201" s="93" t="n"/>
    </row>
    <row r="202">
      <c r="A202" s="127" t="inlineStr">
        <is>
          <t>Cost of Revenue</t>
        </is>
      </c>
      <c r="B202" s="128">
        <f>IF($C$6="iGO",'Product Line Summary'!B9,IF($C$6="Affirm",'Product Line Summary'!B17,IF($C$6="InsureSight",'Product Line Summary'!B25,'Product Line Summary'!B33)))</f>
        <v/>
      </c>
      <c r="C202" s="128">
        <f>IF($C$6="iGO",'Product Line Summary'!C9,IF($C$6="Affirm",'Product Line Summary'!C17,IF($C$6="InsureSight",'Product Line Summary'!C25,'Product Line Summary'!C33)))</f>
        <v/>
      </c>
      <c r="D202" s="128">
        <f>IF($C$6="iGO",'Product Line Summary'!D9,IF($C$6="Affirm",'Product Line Summary'!D17,IF($C$6="InsureSight",'Product Line Summary'!D25,'Product Line Summary'!D33)))</f>
        <v/>
      </c>
      <c r="E202" s="128">
        <f>IF($C$6="iGO",'Product Line Summary'!E9,IF($C$6="Affirm",'Product Line Summary'!E17,IF($C$6="InsureSight",'Product Line Summary'!E25,'Product Line Summary'!E33)))</f>
        <v/>
      </c>
      <c r="F202" s="128">
        <f>IF($C$6="iGO",'Product Line Summary'!F9,IF($C$6="Affirm",'Product Line Summary'!F17,IF($C$6="InsureSight",'Product Line Summary'!F25,'Product Line Summary'!F33)))</f>
        <v/>
      </c>
      <c r="G202" s="128">
        <f>IF($C$6="iGO",'Product Line Summary'!G9,IF($C$6="Affirm",'Product Line Summary'!G17,IF($C$6="InsureSight",'Product Line Summary'!G25,'Product Line Summary'!G33)))</f>
        <v/>
      </c>
      <c r="H202" s="128">
        <f>IF($C$6="iGO",'Product Line Summary'!H9,IF($C$6="Affirm",'Product Line Summary'!H17,IF($C$6="InsureSight",'Product Line Summary'!H25,'Product Line Summary'!H33)))</f>
        <v/>
      </c>
      <c r="I202" s="128">
        <f>IF($C$6="iGO",'Product Line Summary'!I9,IF($C$6="Affirm",'Product Line Summary'!I17,IF($C$6="InsureSight",'Product Line Summary'!I25,'Product Line Summary'!I33)))</f>
        <v/>
      </c>
      <c r="J202" s="128">
        <f>IF($C$6="iGO",'Product Line Summary'!J9,IF($C$6="Affirm",'Product Line Summary'!J17,IF($C$6="InsureSight",'Product Line Summary'!J25,'Product Line Summary'!J33)))</f>
        <v/>
      </c>
      <c r="K202" s="128">
        <f>IF($C$6="iGO",'Product Line Summary'!K9,IF($C$6="Affirm",'Product Line Summary'!K17,IF($C$6="InsureSight",'Product Line Summary'!K25,'Product Line Summary'!K33)))</f>
        <v/>
      </c>
      <c r="L202" s="128">
        <f>IF($C$6="iGO",'Product Line Summary'!L9,IF($C$6="Affirm",'Product Line Summary'!L17,IF($C$6="InsureSight",'Product Line Summary'!L25,'Product Line Summary'!L33)))</f>
        <v/>
      </c>
      <c r="M202" s="128">
        <f>IF($C$6="iGO",'Product Line Summary'!M9,IF($C$6="Affirm",'Product Line Summary'!M17,IF($C$6="InsureSight",'Product Line Summary'!M25,'Product Line Summary'!M33)))</f>
        <v/>
      </c>
      <c r="N202" s="93" t="n"/>
      <c r="O202" s="93" t="n"/>
      <c r="P202" s="93" t="n"/>
      <c r="Q202" s="93" t="n"/>
      <c r="R202" s="93" t="n"/>
      <c r="S202" s="93" t="n"/>
      <c r="T202" s="93" t="n"/>
    </row>
    <row r="203">
      <c r="A203" s="127" t="inlineStr">
        <is>
          <t>Contribution Margin $</t>
        </is>
      </c>
      <c r="B203" s="128">
        <f>IF($C$6="iGO",'Product Line Summary'!B10,IF($C$6="Affirm",'Product Line Summary'!B18,IF($C$6="InsureSight",'Product Line Summary'!B26,'Product Line Summary'!B34)))</f>
        <v/>
      </c>
      <c r="C203" s="128">
        <f>IF($C$6="iGO",'Product Line Summary'!C10,IF($C$6="Affirm",'Product Line Summary'!C18,IF($C$6="InsureSight",'Product Line Summary'!C26,'Product Line Summary'!C34)))</f>
        <v/>
      </c>
      <c r="D203" s="128">
        <f>IF($C$6="iGO",'Product Line Summary'!D10,IF($C$6="Affirm",'Product Line Summary'!D18,IF($C$6="InsureSight",'Product Line Summary'!D26,'Product Line Summary'!D34)))</f>
        <v/>
      </c>
      <c r="E203" s="128">
        <f>IF($C$6="iGO",'Product Line Summary'!E10,IF($C$6="Affirm",'Product Line Summary'!E18,IF($C$6="InsureSight",'Product Line Summary'!E26,'Product Line Summary'!E34)))</f>
        <v/>
      </c>
      <c r="F203" s="128">
        <f>IF($C$6="iGO",'Product Line Summary'!F10,IF($C$6="Affirm",'Product Line Summary'!F18,IF($C$6="InsureSight",'Product Line Summary'!F26,'Product Line Summary'!F34)))</f>
        <v/>
      </c>
      <c r="G203" s="128">
        <f>IF($C$6="iGO",'Product Line Summary'!G10,IF($C$6="Affirm",'Product Line Summary'!G18,IF($C$6="InsureSight",'Product Line Summary'!G26,'Product Line Summary'!G34)))</f>
        <v/>
      </c>
      <c r="H203" s="128">
        <f>IF($C$6="iGO",'Product Line Summary'!H10,IF($C$6="Affirm",'Product Line Summary'!H18,IF($C$6="InsureSight",'Product Line Summary'!H26,'Product Line Summary'!H34)))</f>
        <v/>
      </c>
      <c r="I203" s="128">
        <f>IF($C$6="iGO",'Product Line Summary'!I10,IF($C$6="Affirm",'Product Line Summary'!I18,IF($C$6="InsureSight",'Product Line Summary'!I26,'Product Line Summary'!I34)))</f>
        <v/>
      </c>
      <c r="J203" s="128">
        <f>IF($C$6="iGO",'Product Line Summary'!J10,IF($C$6="Affirm",'Product Line Summary'!J18,IF($C$6="InsureSight",'Product Line Summary'!J26,'Product Line Summary'!J34)))</f>
        <v/>
      </c>
      <c r="K203" s="128">
        <f>IF($C$6="iGO",'Product Line Summary'!K10,IF($C$6="Affirm",'Product Line Summary'!K18,IF($C$6="InsureSight",'Product Line Summary'!K26,'Product Line Summary'!K34)))</f>
        <v/>
      </c>
      <c r="L203" s="128">
        <f>IF($C$6="iGO",'Product Line Summary'!L10,IF($C$6="Affirm",'Product Line Summary'!L18,IF($C$6="InsureSight",'Product Line Summary'!L26,'Product Line Summary'!L34)))</f>
        <v/>
      </c>
      <c r="M203" s="128">
        <f>IF($C$6="iGO",'Product Line Summary'!M10,IF($C$6="Affirm",'Product Line Summary'!M18,IF($C$6="InsureSight",'Product Line Summary'!M26,'Product Line Summary'!M34)))</f>
        <v/>
      </c>
      <c r="N203" s="93" t="n"/>
      <c r="O203" s="93" t="n"/>
      <c r="P203" s="93" t="n"/>
      <c r="Q203" s="93" t="n"/>
      <c r="R203" s="93" t="n"/>
      <c r="S203" s="93" t="n"/>
      <c r="T203" s="93" t="n"/>
    </row>
    <row r="204">
      <c r="A204" s="127" t="inlineStr">
        <is>
          <t>Contribution Margin %</t>
        </is>
      </c>
      <c r="B204" s="129">
        <f>IF($C$6="iGO",'Product Line Summary'!B11,IF($C$6="Affirm",'Product Line Summary'!B19,IF($C$6="InsureSight",'Product Line Summary'!B27,'Product Line Summary'!B35)))</f>
        <v/>
      </c>
      <c r="C204" s="129">
        <f>IF($C$6="iGO",'Product Line Summary'!C11,IF($C$6="Affirm",'Product Line Summary'!C19,IF($C$6="InsureSight",'Product Line Summary'!C27,'Product Line Summary'!C35)))</f>
        <v/>
      </c>
      <c r="D204" s="129">
        <f>IF($C$6="iGO",'Product Line Summary'!D11,IF($C$6="Affirm",'Product Line Summary'!D19,IF($C$6="InsureSight",'Product Line Summary'!D27,'Product Line Summary'!D35)))</f>
        <v/>
      </c>
      <c r="E204" s="129">
        <f>IF($C$6="iGO",'Product Line Summary'!E11,IF($C$6="Affirm",'Product Line Summary'!E19,IF($C$6="InsureSight",'Product Line Summary'!E27,'Product Line Summary'!E35)))</f>
        <v/>
      </c>
      <c r="F204" s="129">
        <f>IF($C$6="iGO",'Product Line Summary'!F11,IF($C$6="Affirm",'Product Line Summary'!F19,IF($C$6="InsureSight",'Product Line Summary'!F27,'Product Line Summary'!F35)))</f>
        <v/>
      </c>
      <c r="G204" s="129">
        <f>IF($C$6="iGO",'Product Line Summary'!G11,IF($C$6="Affirm",'Product Line Summary'!G19,IF($C$6="InsureSight",'Product Line Summary'!G27,'Product Line Summary'!G35)))</f>
        <v/>
      </c>
      <c r="H204" s="129">
        <f>IF($C$6="iGO",'Product Line Summary'!H11,IF($C$6="Affirm",'Product Line Summary'!H19,IF($C$6="InsureSight",'Product Line Summary'!H27,'Product Line Summary'!H35)))</f>
        <v/>
      </c>
      <c r="I204" s="129">
        <f>IF($C$6="iGO",'Product Line Summary'!I11,IF($C$6="Affirm",'Product Line Summary'!I19,IF($C$6="InsureSight",'Product Line Summary'!I27,'Product Line Summary'!I35)))</f>
        <v/>
      </c>
      <c r="J204" s="129">
        <f>IF($C$6="iGO",'Product Line Summary'!J11,IF($C$6="Affirm",'Product Line Summary'!J19,IF($C$6="InsureSight",'Product Line Summary'!J27,'Product Line Summary'!J35)))</f>
        <v/>
      </c>
      <c r="K204" s="129">
        <f>IF($C$6="iGO",'Product Line Summary'!K11,IF($C$6="Affirm",'Product Line Summary'!K19,IF($C$6="InsureSight",'Product Line Summary'!K27,'Product Line Summary'!K35)))</f>
        <v/>
      </c>
      <c r="L204" s="129">
        <f>IF($C$6="iGO",'Product Line Summary'!L11,IF($C$6="Affirm",'Product Line Summary'!L19,IF($C$6="InsureSight",'Product Line Summary'!L27,'Product Line Summary'!L35)))</f>
        <v/>
      </c>
      <c r="M204" s="129">
        <f>IF($C$6="iGO",'Product Line Summary'!M11,IF($C$6="Affirm",'Product Line Summary'!M19,IF($C$6="InsureSight",'Product Line Summary'!M27,'Product Line Summary'!M35)))</f>
        <v/>
      </c>
      <c r="N204" s="93" t="n"/>
      <c r="O204" s="93" t="n"/>
      <c r="P204" s="93" t="n"/>
      <c r="Q204" s="93" t="n"/>
      <c r="R204" s="93" t="n"/>
      <c r="S204" s="93" t="n"/>
      <c r="T204" s="93" t="n"/>
    </row>
    <row r="205">
      <c r="A205" s="127" t="inlineStr">
        <is>
          <t>CM + R&amp;D $</t>
        </is>
      </c>
      <c r="B205" s="128">
        <f>IF($C$6="iGO",'Product Line Summary'!B12,IF($C$6="Affirm",'Product Line Summary'!B20,IF($C$6="InsureSight",'Product Line Summary'!B28,'Product Line Summary'!B36)))</f>
        <v/>
      </c>
      <c r="C205" s="128">
        <f>IF($C$6="iGO",'Product Line Summary'!C12,IF($C$6="Affirm",'Product Line Summary'!C20,IF($C$6="InsureSight",'Product Line Summary'!C28,'Product Line Summary'!C36)))</f>
        <v/>
      </c>
      <c r="D205" s="128">
        <f>IF($C$6="iGO",'Product Line Summary'!D12,IF($C$6="Affirm",'Product Line Summary'!D20,IF($C$6="InsureSight",'Product Line Summary'!D28,'Product Line Summary'!D36)))</f>
        <v/>
      </c>
      <c r="E205" s="128">
        <f>IF($C$6="iGO",'Product Line Summary'!E12,IF($C$6="Affirm",'Product Line Summary'!E20,IF($C$6="InsureSight",'Product Line Summary'!E28,'Product Line Summary'!E36)))</f>
        <v/>
      </c>
      <c r="F205" s="128">
        <f>IF($C$6="iGO",'Product Line Summary'!F12,IF($C$6="Affirm",'Product Line Summary'!F20,IF($C$6="InsureSight",'Product Line Summary'!F28,'Product Line Summary'!F36)))</f>
        <v/>
      </c>
      <c r="G205" s="128">
        <f>IF($C$6="iGO",'Product Line Summary'!G12,IF($C$6="Affirm",'Product Line Summary'!G20,IF($C$6="InsureSight",'Product Line Summary'!G28,'Product Line Summary'!G36)))</f>
        <v/>
      </c>
      <c r="H205" s="128">
        <f>IF($C$6="iGO",'Product Line Summary'!H12,IF($C$6="Affirm",'Product Line Summary'!H20,IF($C$6="InsureSight",'Product Line Summary'!H28,'Product Line Summary'!H36)))</f>
        <v/>
      </c>
      <c r="I205" s="128">
        <f>IF($C$6="iGO",'Product Line Summary'!I12,IF($C$6="Affirm",'Product Line Summary'!I20,IF($C$6="InsureSight",'Product Line Summary'!I28,'Product Line Summary'!I36)))</f>
        <v/>
      </c>
      <c r="J205" s="128">
        <f>IF($C$6="iGO",'Product Line Summary'!J12,IF($C$6="Affirm",'Product Line Summary'!J20,IF($C$6="InsureSight",'Product Line Summary'!J28,'Product Line Summary'!J36)))</f>
        <v/>
      </c>
      <c r="K205" s="128">
        <f>IF($C$6="iGO",'Product Line Summary'!K12,IF($C$6="Affirm",'Product Line Summary'!K20,IF($C$6="InsureSight",'Product Line Summary'!K28,'Product Line Summary'!K36)))</f>
        <v/>
      </c>
      <c r="L205" s="128">
        <f>IF($C$6="iGO",'Product Line Summary'!L12,IF($C$6="Affirm",'Product Line Summary'!L20,IF($C$6="InsureSight",'Product Line Summary'!L28,'Product Line Summary'!L36)))</f>
        <v/>
      </c>
      <c r="M205" s="128">
        <f>IF($C$6="iGO",'Product Line Summary'!M12,IF($C$6="Affirm",'Product Line Summary'!M20,IF($C$6="InsureSight",'Product Line Summary'!M28,'Product Line Summary'!M36)))</f>
        <v/>
      </c>
      <c r="N205" s="93" t="n"/>
      <c r="O205" s="93" t="n"/>
      <c r="P205" s="93" t="n"/>
      <c r="Q205" s="93" t="n"/>
      <c r="R205" s="93" t="n"/>
      <c r="S205" s="93" t="n"/>
      <c r="T205" s="93" t="n"/>
    </row>
    <row r="206">
      <c r="A206" s="127" t="inlineStr">
        <is>
          <t>CM + R&amp;D %</t>
        </is>
      </c>
      <c r="B206" s="129">
        <f>IF($C$6="iGO",'Product Line Summary'!B13,IF($C$6="Affirm",'Product Line Summary'!B21,IF($C$6="InsureSight",'Product Line Summary'!B29,'Product Line Summary'!B37)))</f>
        <v/>
      </c>
      <c r="C206" s="129">
        <f>IF($C$6="iGO",'Product Line Summary'!C13,IF($C$6="Affirm",'Product Line Summary'!C21,IF($C$6="InsureSight",'Product Line Summary'!C29,'Product Line Summary'!C37)))</f>
        <v/>
      </c>
      <c r="D206" s="129">
        <f>IF($C$6="iGO",'Product Line Summary'!D13,IF($C$6="Affirm",'Product Line Summary'!D21,IF($C$6="InsureSight",'Product Line Summary'!D29,'Product Line Summary'!D37)))</f>
        <v/>
      </c>
      <c r="E206" s="129">
        <f>IF($C$6="iGO",'Product Line Summary'!E13,IF($C$6="Affirm",'Product Line Summary'!E21,IF($C$6="InsureSight",'Product Line Summary'!E29,'Product Line Summary'!E37)))</f>
        <v/>
      </c>
      <c r="F206" s="129">
        <f>IF($C$6="iGO",'Product Line Summary'!F13,IF($C$6="Affirm",'Product Line Summary'!F21,IF($C$6="InsureSight",'Product Line Summary'!F29,'Product Line Summary'!F37)))</f>
        <v/>
      </c>
      <c r="G206" s="129">
        <f>IF($C$6="iGO",'Product Line Summary'!G13,IF($C$6="Affirm",'Product Line Summary'!G21,IF($C$6="InsureSight",'Product Line Summary'!G29,'Product Line Summary'!G37)))</f>
        <v/>
      </c>
      <c r="H206" s="129">
        <f>IF($C$6="iGO",'Product Line Summary'!H13,IF($C$6="Affirm",'Product Line Summary'!H21,IF($C$6="InsureSight",'Product Line Summary'!H29,'Product Line Summary'!H37)))</f>
        <v/>
      </c>
      <c r="I206" s="129">
        <f>IF($C$6="iGO",'Product Line Summary'!I13,IF($C$6="Affirm",'Product Line Summary'!I21,IF($C$6="InsureSight",'Product Line Summary'!I29,'Product Line Summary'!I37)))</f>
        <v/>
      </c>
      <c r="J206" s="129">
        <f>IF($C$6="iGO",'Product Line Summary'!J13,IF($C$6="Affirm",'Product Line Summary'!J21,IF($C$6="InsureSight",'Product Line Summary'!J29,'Product Line Summary'!J37)))</f>
        <v/>
      </c>
      <c r="K206" s="129">
        <f>IF($C$6="iGO",'Product Line Summary'!K13,IF($C$6="Affirm",'Product Line Summary'!K21,IF($C$6="InsureSight",'Product Line Summary'!K29,'Product Line Summary'!K37)))</f>
        <v/>
      </c>
      <c r="L206" s="129">
        <f>IF($C$6="iGO",'Product Line Summary'!L13,IF($C$6="Affirm",'Product Line Summary'!L21,IF($C$6="InsureSight",'Product Line Summary'!L29,'Product Line Summary'!L37)))</f>
        <v/>
      </c>
      <c r="M206" s="129">
        <f>IF($C$6="iGO",'Product Line Summary'!M13,IF($C$6="Affirm",'Product Line Summary'!M21,IF($C$6="InsureSight",'Product Line Summary'!M29,'Product Line Summary'!M37)))</f>
        <v/>
      </c>
      <c r="N206" s="93" t="n"/>
      <c r="O206" s="93" t="n"/>
      <c r="P206" s="93" t="n"/>
      <c r="Q206" s="93" t="n"/>
      <c r="R206" s="93" t="n"/>
      <c r="S206" s="93" t="n"/>
      <c r="T206" s="93" t="n"/>
    </row>
    <row r="207">
      <c r="A207" s="93" t="n"/>
      <c r="B207" s="93" t="n"/>
      <c r="C207" s="93" t="n"/>
      <c r="D207" s="93" t="n"/>
      <c r="E207" s="93" t="n"/>
      <c r="F207" s="93" t="n"/>
      <c r="G207" s="93" t="n"/>
      <c r="H207" s="93" t="n"/>
      <c r="I207" s="93" t="n"/>
      <c r="J207" s="93" t="n"/>
      <c r="K207" s="93" t="n"/>
      <c r="L207" s="93" t="n"/>
      <c r="M207" s="93" t="n"/>
      <c r="N207" s="93" t="n"/>
      <c r="O207" s="93" t="n"/>
      <c r="P207" s="93" t="n"/>
      <c r="Q207" s="93" t="n"/>
      <c r="R207" s="93" t="n"/>
      <c r="S207" s="93" t="n"/>
      <c r="T207" s="93" t="n"/>
    </row>
    <row r="208">
      <c r="A208" s="127" t="inlineStr">
        <is>
          <t>Department</t>
        </is>
      </c>
      <c r="B208" s="127" t="inlineStr">
        <is>
          <t>Jan</t>
        </is>
      </c>
      <c r="C208" s="127" t="inlineStr">
        <is>
          <t>Feb</t>
        </is>
      </c>
      <c r="D208" s="127" t="inlineStr">
        <is>
          <t>Mar</t>
        </is>
      </c>
      <c r="E208" s="127" t="inlineStr">
        <is>
          <t>Apr</t>
        </is>
      </c>
      <c r="F208" s="127" t="inlineStr">
        <is>
          <t>May</t>
        </is>
      </c>
      <c r="G208" s="127" t="inlineStr">
        <is>
          <t>Jun</t>
        </is>
      </c>
      <c r="H208" s="127" t="inlineStr">
        <is>
          <t>Jul</t>
        </is>
      </c>
      <c r="I208" s="127" t="inlineStr">
        <is>
          <t>Aug</t>
        </is>
      </c>
      <c r="J208" s="127" t="inlineStr">
        <is>
          <t>Sep</t>
        </is>
      </c>
      <c r="K208" s="127" t="inlineStr">
        <is>
          <t>Oct</t>
        </is>
      </c>
      <c r="L208" s="127" t="inlineStr">
        <is>
          <t>Nov</t>
        </is>
      </c>
      <c r="M208" s="127" t="inlineStr">
        <is>
          <t>Dec</t>
        </is>
      </c>
      <c r="N208" s="93" t="n"/>
      <c r="O208" s="93" t="n"/>
      <c r="P208" s="93" t="n"/>
      <c r="Q208" s="93" t="n"/>
      <c r="R208" s="93" t="n"/>
      <c r="S208" s="93" t="n"/>
      <c r="T208" s="93" t="n"/>
    </row>
    <row r="209">
      <c r="A209" s="127" t="inlineStr">
        <is>
          <t>NetOps</t>
        </is>
      </c>
      <c r="B209" s="128">
        <f>IF($C$6="iGO",'Product Line Summary'!B43,IF($C$6="Affirm",'Product Line Summary'!B53,IF($C$6="InsureSight",'Product Line Summary'!B63,'Product Line Summary'!B73)))</f>
        <v/>
      </c>
      <c r="C209" s="128">
        <f>IF($C$6="iGO",'Product Line Summary'!C43,IF($C$6="Affirm",'Product Line Summary'!C53,IF($C$6="InsureSight",'Product Line Summary'!C63,'Product Line Summary'!C73)))</f>
        <v/>
      </c>
      <c r="D209" s="128">
        <f>IF($C$6="iGO",'Product Line Summary'!D43,IF($C$6="Affirm",'Product Line Summary'!D53,IF($C$6="InsureSight",'Product Line Summary'!D63,'Product Line Summary'!D73)))</f>
        <v/>
      </c>
      <c r="E209" s="128">
        <f>IF($C$6="iGO",'Product Line Summary'!E43,IF($C$6="Affirm",'Product Line Summary'!E53,IF($C$6="InsureSight",'Product Line Summary'!E63,'Product Line Summary'!E73)))</f>
        <v/>
      </c>
      <c r="F209" s="128">
        <f>IF($C$6="iGO",'Product Line Summary'!F43,IF($C$6="Affirm",'Product Line Summary'!F53,IF($C$6="InsureSight",'Product Line Summary'!F63,'Product Line Summary'!F73)))</f>
        <v/>
      </c>
      <c r="G209" s="128">
        <f>IF($C$6="iGO",'Product Line Summary'!G43,IF($C$6="Affirm",'Product Line Summary'!G53,IF($C$6="InsureSight",'Product Line Summary'!G63,'Product Line Summary'!G73)))</f>
        <v/>
      </c>
      <c r="H209" s="128">
        <f>IF($C$6="iGO",'Product Line Summary'!H43,IF($C$6="Affirm",'Product Line Summary'!H53,IF($C$6="InsureSight",'Product Line Summary'!H63,'Product Line Summary'!H73)))</f>
        <v/>
      </c>
      <c r="I209" s="128">
        <f>IF($C$6="iGO",'Product Line Summary'!I43,IF($C$6="Affirm",'Product Line Summary'!I53,IF($C$6="InsureSight",'Product Line Summary'!I63,'Product Line Summary'!I73)))</f>
        <v/>
      </c>
      <c r="J209" s="128">
        <f>IF($C$6="iGO",'Product Line Summary'!J43,IF($C$6="Affirm",'Product Line Summary'!J53,IF($C$6="InsureSight",'Product Line Summary'!J63,'Product Line Summary'!J73)))</f>
        <v/>
      </c>
      <c r="K209" s="128">
        <f>IF($C$6="iGO",'Product Line Summary'!K43,IF($C$6="Affirm",'Product Line Summary'!K53,IF($C$6="InsureSight",'Product Line Summary'!K63,'Product Line Summary'!K73)))</f>
        <v/>
      </c>
      <c r="L209" s="128">
        <f>IF($C$6="iGO",'Product Line Summary'!L43,IF($C$6="Affirm",'Product Line Summary'!L53,IF($C$6="InsureSight",'Product Line Summary'!L63,'Product Line Summary'!L73)))</f>
        <v/>
      </c>
      <c r="M209" s="128">
        <f>IF($C$6="iGO",'Product Line Summary'!M43,IF($C$6="Affirm",'Product Line Summary'!M53,IF($C$6="InsureSight",'Product Line Summary'!M63,'Product Line Summary'!M73)))</f>
        <v/>
      </c>
      <c r="N209" s="128">
        <f>SUM(B209:M209)</f>
        <v/>
      </c>
      <c r="O209" s="93" t="n"/>
      <c r="P209" s="93" t="n"/>
      <c r="Q209" s="93" t="n"/>
      <c r="R209" s="93" t="n"/>
      <c r="S209" s="93" t="n"/>
      <c r="T209" s="93" t="n"/>
    </row>
    <row r="210">
      <c r="A210" s="127" t="inlineStr">
        <is>
          <t>Security</t>
        </is>
      </c>
      <c r="B210" s="128">
        <f>IF($C$6="iGO",'Product Line Summary'!B44,IF($C$6="Affirm",'Product Line Summary'!B54,IF($C$6="InsureSight",'Product Line Summary'!B64,'Product Line Summary'!B74)))</f>
        <v/>
      </c>
      <c r="C210" s="128">
        <f>IF($C$6="iGO",'Product Line Summary'!C44,IF($C$6="Affirm",'Product Line Summary'!C54,IF($C$6="InsureSight",'Product Line Summary'!C64,'Product Line Summary'!C74)))</f>
        <v/>
      </c>
      <c r="D210" s="128">
        <f>IF($C$6="iGO",'Product Line Summary'!D44,IF($C$6="Affirm",'Product Line Summary'!D54,IF($C$6="InsureSight",'Product Line Summary'!D64,'Product Line Summary'!D74)))</f>
        <v/>
      </c>
      <c r="E210" s="128">
        <f>IF($C$6="iGO",'Product Line Summary'!E44,IF($C$6="Affirm",'Product Line Summary'!E54,IF($C$6="InsureSight",'Product Line Summary'!E64,'Product Line Summary'!E74)))</f>
        <v/>
      </c>
      <c r="F210" s="128">
        <f>IF($C$6="iGO",'Product Line Summary'!F44,IF($C$6="Affirm",'Product Line Summary'!F54,IF($C$6="InsureSight",'Product Line Summary'!F64,'Product Line Summary'!F74)))</f>
        <v/>
      </c>
      <c r="G210" s="128">
        <f>IF($C$6="iGO",'Product Line Summary'!G44,IF($C$6="Affirm",'Product Line Summary'!G54,IF($C$6="InsureSight",'Product Line Summary'!G64,'Product Line Summary'!G74)))</f>
        <v/>
      </c>
      <c r="H210" s="128">
        <f>IF($C$6="iGO",'Product Line Summary'!H44,IF($C$6="Affirm",'Product Line Summary'!H54,IF($C$6="InsureSight",'Product Line Summary'!H64,'Product Line Summary'!H74)))</f>
        <v/>
      </c>
      <c r="I210" s="128">
        <f>IF($C$6="iGO",'Product Line Summary'!I44,IF($C$6="Affirm",'Product Line Summary'!I54,IF($C$6="InsureSight",'Product Line Summary'!I64,'Product Line Summary'!I74)))</f>
        <v/>
      </c>
      <c r="J210" s="128">
        <f>IF($C$6="iGO",'Product Line Summary'!J44,IF($C$6="Affirm",'Product Line Summary'!J54,IF($C$6="InsureSight",'Product Line Summary'!J64,'Product Line Summary'!J74)))</f>
        <v/>
      </c>
      <c r="K210" s="128">
        <f>IF($C$6="iGO",'Product Line Summary'!K44,IF($C$6="Affirm",'Product Line Summary'!K54,IF($C$6="InsureSight",'Product Line Summary'!K64,'Product Line Summary'!K74)))</f>
        <v/>
      </c>
      <c r="L210" s="128">
        <f>IF($C$6="iGO",'Product Line Summary'!L44,IF($C$6="Affirm",'Product Line Summary'!L54,IF($C$6="InsureSight",'Product Line Summary'!L64,'Product Line Summary'!L74)))</f>
        <v/>
      </c>
      <c r="M210" s="128">
        <f>IF($C$6="iGO",'Product Line Summary'!M44,IF($C$6="Affirm",'Product Line Summary'!M54,IF($C$6="InsureSight",'Product Line Summary'!M64,'Product Line Summary'!M74)))</f>
        <v/>
      </c>
      <c r="N210" s="128">
        <f>SUM(B210:M210)</f>
        <v/>
      </c>
      <c r="O210" s="93" t="n"/>
      <c r="P210" s="93" t="n"/>
      <c r="Q210" s="93" t="n"/>
      <c r="R210" s="93" t="n"/>
      <c r="S210" s="93" t="n"/>
      <c r="T210" s="93" t="n"/>
    </row>
    <row r="211">
      <c r="A211" s="127" t="inlineStr">
        <is>
          <t>Support</t>
        </is>
      </c>
      <c r="B211" s="128">
        <f>IF($C$6="iGO",'Product Line Summary'!B45,IF($C$6="Affirm",'Product Line Summary'!B55,IF($C$6="InsureSight",'Product Line Summary'!B65,'Product Line Summary'!B75)))</f>
        <v/>
      </c>
      <c r="C211" s="128">
        <f>IF($C$6="iGO",'Product Line Summary'!C45,IF($C$6="Affirm",'Product Line Summary'!C55,IF($C$6="InsureSight",'Product Line Summary'!C65,'Product Line Summary'!C75)))</f>
        <v/>
      </c>
      <c r="D211" s="128">
        <f>IF($C$6="iGO",'Product Line Summary'!D45,IF($C$6="Affirm",'Product Line Summary'!D55,IF($C$6="InsureSight",'Product Line Summary'!D65,'Product Line Summary'!D75)))</f>
        <v/>
      </c>
      <c r="E211" s="128">
        <f>IF($C$6="iGO",'Product Line Summary'!E45,IF($C$6="Affirm",'Product Line Summary'!E55,IF($C$6="InsureSight",'Product Line Summary'!E65,'Product Line Summary'!E75)))</f>
        <v/>
      </c>
      <c r="F211" s="128">
        <f>IF($C$6="iGO",'Product Line Summary'!F45,IF($C$6="Affirm",'Product Line Summary'!F55,IF($C$6="InsureSight",'Product Line Summary'!F65,'Product Line Summary'!F75)))</f>
        <v/>
      </c>
      <c r="G211" s="128">
        <f>IF($C$6="iGO",'Product Line Summary'!G45,IF($C$6="Affirm",'Product Line Summary'!G55,IF($C$6="InsureSight",'Product Line Summary'!G65,'Product Line Summary'!G75)))</f>
        <v/>
      </c>
      <c r="H211" s="128">
        <f>IF($C$6="iGO",'Product Line Summary'!H45,IF($C$6="Affirm",'Product Line Summary'!H55,IF($C$6="InsureSight",'Product Line Summary'!H65,'Product Line Summary'!H75)))</f>
        <v/>
      </c>
      <c r="I211" s="128">
        <f>IF($C$6="iGO",'Product Line Summary'!I45,IF($C$6="Affirm",'Product Line Summary'!I55,IF($C$6="InsureSight",'Product Line Summary'!I65,'Product Line Summary'!I75)))</f>
        <v/>
      </c>
      <c r="J211" s="128">
        <f>IF($C$6="iGO",'Product Line Summary'!J45,IF($C$6="Affirm",'Product Line Summary'!J55,IF($C$6="InsureSight",'Product Line Summary'!J65,'Product Line Summary'!J75)))</f>
        <v/>
      </c>
      <c r="K211" s="128">
        <f>IF($C$6="iGO",'Product Line Summary'!K45,IF($C$6="Affirm",'Product Line Summary'!K55,IF($C$6="InsureSight",'Product Line Summary'!K65,'Product Line Summary'!K75)))</f>
        <v/>
      </c>
      <c r="L211" s="128">
        <f>IF($C$6="iGO",'Product Line Summary'!L45,IF($C$6="Affirm",'Product Line Summary'!L55,IF($C$6="InsureSight",'Product Line Summary'!L65,'Product Line Summary'!L75)))</f>
        <v/>
      </c>
      <c r="M211" s="128">
        <f>IF($C$6="iGO",'Product Line Summary'!M45,IF($C$6="Affirm",'Product Line Summary'!M55,IF($C$6="InsureSight",'Product Line Summary'!M65,'Product Line Summary'!M75)))</f>
        <v/>
      </c>
      <c r="N211" s="128">
        <f>SUM(B211:M211)</f>
        <v/>
      </c>
      <c r="O211" s="93" t="n"/>
      <c r="P211" s="93" t="n"/>
      <c r="Q211" s="93" t="n"/>
      <c r="R211" s="93" t="n"/>
      <c r="S211" s="93" t="n"/>
      <c r="T211" s="93" t="n"/>
    </row>
    <row r="212">
      <c r="A212" s="127" t="inlineStr">
        <is>
          <t>Partners</t>
        </is>
      </c>
      <c r="B212" s="128">
        <f>IF($C$6="iGO",'Product Line Summary'!B46,IF($C$6="Affirm",'Product Line Summary'!B56,IF($C$6="InsureSight",'Product Line Summary'!B66,'Product Line Summary'!B76)))</f>
        <v/>
      </c>
      <c r="C212" s="128">
        <f>IF($C$6="iGO",'Product Line Summary'!C46,IF($C$6="Affirm",'Product Line Summary'!C56,IF($C$6="InsureSight",'Product Line Summary'!C66,'Product Line Summary'!C76)))</f>
        <v/>
      </c>
      <c r="D212" s="128">
        <f>IF($C$6="iGO",'Product Line Summary'!D46,IF($C$6="Affirm",'Product Line Summary'!D56,IF($C$6="InsureSight",'Product Line Summary'!D66,'Product Line Summary'!D76)))</f>
        <v/>
      </c>
      <c r="E212" s="128">
        <f>IF($C$6="iGO",'Product Line Summary'!E46,IF($C$6="Affirm",'Product Line Summary'!E56,IF($C$6="InsureSight",'Product Line Summary'!E66,'Product Line Summary'!E76)))</f>
        <v/>
      </c>
      <c r="F212" s="128">
        <f>IF($C$6="iGO",'Product Line Summary'!F46,IF($C$6="Affirm",'Product Line Summary'!F56,IF($C$6="InsureSight",'Product Line Summary'!F66,'Product Line Summary'!F76)))</f>
        <v/>
      </c>
      <c r="G212" s="128">
        <f>IF($C$6="iGO",'Product Line Summary'!G46,IF($C$6="Affirm",'Product Line Summary'!G56,IF($C$6="InsureSight",'Product Line Summary'!G66,'Product Line Summary'!G76)))</f>
        <v/>
      </c>
      <c r="H212" s="128">
        <f>IF($C$6="iGO",'Product Line Summary'!H46,IF($C$6="Affirm",'Product Line Summary'!H56,IF($C$6="InsureSight",'Product Line Summary'!H66,'Product Line Summary'!H76)))</f>
        <v/>
      </c>
      <c r="I212" s="128">
        <f>IF($C$6="iGO",'Product Line Summary'!I46,IF($C$6="Affirm",'Product Line Summary'!I56,IF($C$6="InsureSight",'Product Line Summary'!I66,'Product Line Summary'!I76)))</f>
        <v/>
      </c>
      <c r="J212" s="128">
        <f>IF($C$6="iGO",'Product Line Summary'!J46,IF($C$6="Affirm",'Product Line Summary'!J56,IF($C$6="InsureSight",'Product Line Summary'!J66,'Product Line Summary'!J76)))</f>
        <v/>
      </c>
      <c r="K212" s="128">
        <f>IF($C$6="iGO",'Product Line Summary'!K46,IF($C$6="Affirm",'Product Line Summary'!K56,IF($C$6="InsureSight",'Product Line Summary'!K66,'Product Line Summary'!K76)))</f>
        <v/>
      </c>
      <c r="L212" s="128">
        <f>IF($C$6="iGO",'Product Line Summary'!L46,IF($C$6="Affirm",'Product Line Summary'!L56,IF($C$6="InsureSight",'Product Line Summary'!L66,'Product Line Summary'!L76)))</f>
        <v/>
      </c>
      <c r="M212" s="128">
        <f>IF($C$6="iGO",'Product Line Summary'!M46,IF($C$6="Affirm",'Product Line Summary'!M56,IF($C$6="InsureSight",'Product Line Summary'!M66,'Product Line Summary'!M76)))</f>
        <v/>
      </c>
      <c r="N212" s="128">
        <f>SUM(B212:M212)</f>
        <v/>
      </c>
      <c r="O212" s="93" t="n"/>
      <c r="P212" s="93" t="n"/>
      <c r="Q212" s="93" t="n"/>
      <c r="R212" s="93" t="n"/>
      <c r="S212" s="93" t="n"/>
      <c r="T212" s="93" t="n"/>
    </row>
    <row r="213">
      <c r="A213" s="127" t="inlineStr">
        <is>
          <t>Content</t>
        </is>
      </c>
      <c r="B213" s="128">
        <f>IF($C$6="iGO",'Product Line Summary'!B47,IF($C$6="Affirm",'Product Line Summary'!B57,IF($C$6="InsureSight",'Product Line Summary'!B67,'Product Line Summary'!B77)))</f>
        <v/>
      </c>
      <c r="C213" s="128">
        <f>IF($C$6="iGO",'Product Line Summary'!C47,IF($C$6="Affirm",'Product Line Summary'!C57,IF($C$6="InsureSight",'Product Line Summary'!C67,'Product Line Summary'!C77)))</f>
        <v/>
      </c>
      <c r="D213" s="128">
        <f>IF($C$6="iGO",'Product Line Summary'!D47,IF($C$6="Affirm",'Product Line Summary'!D57,IF($C$6="InsureSight",'Product Line Summary'!D67,'Product Line Summary'!D77)))</f>
        <v/>
      </c>
      <c r="E213" s="128">
        <f>IF($C$6="iGO",'Product Line Summary'!E47,IF($C$6="Affirm",'Product Line Summary'!E57,IF($C$6="InsureSight",'Product Line Summary'!E67,'Product Line Summary'!E77)))</f>
        <v/>
      </c>
      <c r="F213" s="128">
        <f>IF($C$6="iGO",'Product Line Summary'!F47,IF($C$6="Affirm",'Product Line Summary'!F57,IF($C$6="InsureSight",'Product Line Summary'!F67,'Product Line Summary'!F77)))</f>
        <v/>
      </c>
      <c r="G213" s="128">
        <f>IF($C$6="iGO",'Product Line Summary'!G47,IF($C$6="Affirm",'Product Line Summary'!G57,IF($C$6="InsureSight",'Product Line Summary'!G67,'Product Line Summary'!G77)))</f>
        <v/>
      </c>
      <c r="H213" s="128">
        <f>IF($C$6="iGO",'Product Line Summary'!H47,IF($C$6="Affirm",'Product Line Summary'!H57,IF($C$6="InsureSight",'Product Line Summary'!H67,'Product Line Summary'!H77)))</f>
        <v/>
      </c>
      <c r="I213" s="128">
        <f>IF($C$6="iGO",'Product Line Summary'!I47,IF($C$6="Affirm",'Product Line Summary'!I57,IF($C$6="InsureSight",'Product Line Summary'!I67,'Product Line Summary'!I77)))</f>
        <v/>
      </c>
      <c r="J213" s="128">
        <f>IF($C$6="iGO",'Product Line Summary'!J47,IF($C$6="Affirm",'Product Line Summary'!J57,IF($C$6="InsureSight",'Product Line Summary'!J67,'Product Line Summary'!J77)))</f>
        <v/>
      </c>
      <c r="K213" s="128">
        <f>IF($C$6="iGO",'Product Line Summary'!K47,IF($C$6="Affirm",'Product Line Summary'!K57,IF($C$6="InsureSight",'Product Line Summary'!K67,'Product Line Summary'!K77)))</f>
        <v/>
      </c>
      <c r="L213" s="128">
        <f>IF($C$6="iGO",'Product Line Summary'!L47,IF($C$6="Affirm",'Product Line Summary'!L57,IF($C$6="InsureSight",'Product Line Summary'!L67,'Product Line Summary'!L77)))</f>
        <v/>
      </c>
      <c r="M213" s="128">
        <f>IF($C$6="iGO",'Product Line Summary'!M47,IF($C$6="Affirm",'Product Line Summary'!M57,IF($C$6="InsureSight",'Product Line Summary'!M67,'Product Line Summary'!M77)))</f>
        <v/>
      </c>
      <c r="N213" s="128">
        <f>SUM(B213:M213)</f>
        <v/>
      </c>
      <c r="O213" s="93" t="n"/>
      <c r="P213" s="93" t="n"/>
      <c r="Q213" s="93" t="n"/>
      <c r="R213" s="93" t="n"/>
      <c r="S213" s="93" t="n"/>
      <c r="T213" s="93" t="n"/>
    </row>
    <row r="214">
      <c r="A214" s="127" t="inlineStr">
        <is>
          <t>Research &amp; Development</t>
        </is>
      </c>
      <c r="B214" s="128">
        <f>IF($C$6="iGO",'Product Line Summary'!B48,IF($C$6="Affirm",'Product Line Summary'!B58,IF($C$6="InsureSight",'Product Line Summary'!B68,'Product Line Summary'!B78)))</f>
        <v/>
      </c>
      <c r="C214" s="128">
        <f>IF($C$6="iGO",'Product Line Summary'!C48,IF($C$6="Affirm",'Product Line Summary'!C58,IF($C$6="InsureSight",'Product Line Summary'!C68,'Product Line Summary'!C78)))</f>
        <v/>
      </c>
      <c r="D214" s="128">
        <f>IF($C$6="iGO",'Product Line Summary'!D48,IF($C$6="Affirm",'Product Line Summary'!D58,IF($C$6="InsureSight",'Product Line Summary'!D68,'Product Line Summary'!D78)))</f>
        <v/>
      </c>
      <c r="E214" s="128">
        <f>IF($C$6="iGO",'Product Line Summary'!E48,IF($C$6="Affirm",'Product Line Summary'!E58,IF($C$6="InsureSight",'Product Line Summary'!E68,'Product Line Summary'!E78)))</f>
        <v/>
      </c>
      <c r="F214" s="128">
        <f>IF($C$6="iGO",'Product Line Summary'!F48,IF($C$6="Affirm",'Product Line Summary'!F58,IF($C$6="InsureSight",'Product Line Summary'!F68,'Product Line Summary'!F78)))</f>
        <v/>
      </c>
      <c r="G214" s="128">
        <f>IF($C$6="iGO",'Product Line Summary'!G48,IF($C$6="Affirm",'Product Line Summary'!G58,IF($C$6="InsureSight",'Product Line Summary'!G68,'Product Line Summary'!G78)))</f>
        <v/>
      </c>
      <c r="H214" s="128">
        <f>IF($C$6="iGO",'Product Line Summary'!H48,IF($C$6="Affirm",'Product Line Summary'!H58,IF($C$6="InsureSight",'Product Line Summary'!H68,'Product Line Summary'!H78)))</f>
        <v/>
      </c>
      <c r="I214" s="128">
        <f>IF($C$6="iGO",'Product Line Summary'!I48,IF($C$6="Affirm",'Product Line Summary'!I58,IF($C$6="InsureSight",'Product Line Summary'!I68,'Product Line Summary'!I78)))</f>
        <v/>
      </c>
      <c r="J214" s="128">
        <f>IF($C$6="iGO",'Product Line Summary'!J48,IF($C$6="Affirm",'Product Line Summary'!J58,IF($C$6="InsureSight",'Product Line Summary'!J68,'Product Line Summary'!J78)))</f>
        <v/>
      </c>
      <c r="K214" s="128">
        <f>IF($C$6="iGO",'Product Line Summary'!K48,IF($C$6="Affirm",'Product Line Summary'!K58,IF($C$6="InsureSight",'Product Line Summary'!K68,'Product Line Summary'!K78)))</f>
        <v/>
      </c>
      <c r="L214" s="128">
        <f>IF($C$6="iGO",'Product Line Summary'!L48,IF($C$6="Affirm",'Product Line Summary'!L58,IF($C$6="InsureSight",'Product Line Summary'!L68,'Product Line Summary'!L78)))</f>
        <v/>
      </c>
      <c r="M214" s="128">
        <f>IF($C$6="iGO",'Product Line Summary'!M48,IF($C$6="Affirm",'Product Line Summary'!M58,IF($C$6="InsureSight",'Product Line Summary'!M68,'Product Line Summary'!M78)))</f>
        <v/>
      </c>
      <c r="N214" s="128">
        <f>SUM(B214:M214)</f>
        <v/>
      </c>
      <c r="O214" s="93" t="n"/>
      <c r="P214" s="93" t="n"/>
      <c r="Q214" s="93" t="n"/>
      <c r="R214" s="93" t="n"/>
      <c r="S214" s="93" t="n"/>
      <c r="T214" s="93" t="n"/>
    </row>
    <row r="215">
      <c r="A215" s="127" t="inlineStr">
        <is>
          <t>Product Management</t>
        </is>
      </c>
      <c r="B215" s="128">
        <f>IF($C$6="iGO",'Product Line Summary'!B49,IF($C$6="Affirm",'Product Line Summary'!B59,IF($C$6="InsureSight",'Product Line Summary'!B69,'Product Line Summary'!B79)))</f>
        <v/>
      </c>
      <c r="C215" s="128">
        <f>IF($C$6="iGO",'Product Line Summary'!C49,IF($C$6="Affirm",'Product Line Summary'!C59,IF($C$6="InsureSight",'Product Line Summary'!C69,'Product Line Summary'!C79)))</f>
        <v/>
      </c>
      <c r="D215" s="128">
        <f>IF($C$6="iGO",'Product Line Summary'!D49,IF($C$6="Affirm",'Product Line Summary'!D59,IF($C$6="InsureSight",'Product Line Summary'!D69,'Product Line Summary'!D79)))</f>
        <v/>
      </c>
      <c r="E215" s="128">
        <f>IF($C$6="iGO",'Product Line Summary'!E49,IF($C$6="Affirm",'Product Line Summary'!E59,IF($C$6="InsureSight",'Product Line Summary'!E69,'Product Line Summary'!E79)))</f>
        <v/>
      </c>
      <c r="F215" s="128">
        <f>IF($C$6="iGO",'Product Line Summary'!F49,IF($C$6="Affirm",'Product Line Summary'!F59,IF($C$6="InsureSight",'Product Line Summary'!F69,'Product Line Summary'!F79)))</f>
        <v/>
      </c>
      <c r="G215" s="128">
        <f>IF($C$6="iGO",'Product Line Summary'!G49,IF($C$6="Affirm",'Product Line Summary'!G59,IF($C$6="InsureSight",'Product Line Summary'!G69,'Product Line Summary'!G79)))</f>
        <v/>
      </c>
      <c r="H215" s="128">
        <f>IF($C$6="iGO",'Product Line Summary'!H49,IF($C$6="Affirm",'Product Line Summary'!H59,IF($C$6="InsureSight",'Product Line Summary'!H69,'Product Line Summary'!H79)))</f>
        <v/>
      </c>
      <c r="I215" s="128">
        <f>IF($C$6="iGO",'Product Line Summary'!I49,IF($C$6="Affirm",'Product Line Summary'!I59,IF($C$6="InsureSight",'Product Line Summary'!I69,'Product Line Summary'!I79)))</f>
        <v/>
      </c>
      <c r="J215" s="128">
        <f>IF($C$6="iGO",'Product Line Summary'!J49,IF($C$6="Affirm",'Product Line Summary'!J59,IF($C$6="InsureSight",'Product Line Summary'!J69,'Product Line Summary'!J79)))</f>
        <v/>
      </c>
      <c r="K215" s="128">
        <f>IF($C$6="iGO",'Product Line Summary'!K49,IF($C$6="Affirm",'Product Line Summary'!K59,IF($C$6="InsureSight",'Product Line Summary'!K69,'Product Line Summary'!K79)))</f>
        <v/>
      </c>
      <c r="L215" s="128">
        <f>IF($C$6="iGO",'Product Line Summary'!L49,IF($C$6="Affirm",'Product Line Summary'!L59,IF($C$6="InsureSight",'Product Line Summary'!L69,'Product Line Summary'!L79)))</f>
        <v/>
      </c>
      <c r="M215" s="128">
        <f>IF($C$6="iGO",'Product Line Summary'!M49,IF($C$6="Affirm",'Product Line Summary'!M59,IF($C$6="InsureSight",'Product Line Summary'!M69,'Product Line Summary'!M79)))</f>
        <v/>
      </c>
      <c r="N215" s="128">
        <f>SUM(B215:M215)</f>
        <v/>
      </c>
      <c r="O215" s="93" t="n"/>
      <c r="P215" s="93" t="n"/>
      <c r="Q215" s="93" t="n"/>
      <c r="R215" s="93" t="n"/>
      <c r="S215" s="93" t="n"/>
      <c r="T215" s="93" t="n"/>
    </row>
    <row r="216">
      <c r="A216" s="93" t="n"/>
      <c r="B216" s="93" t="n"/>
      <c r="C216" s="93" t="n"/>
      <c r="D216" s="93" t="n"/>
      <c r="E216" s="93" t="n"/>
      <c r="F216" s="93" t="n"/>
      <c r="G216" s="93" t="n"/>
      <c r="H216" s="93" t="n"/>
      <c r="I216" s="93" t="n"/>
      <c r="J216" s="93" t="n"/>
      <c r="K216" s="93" t="n"/>
      <c r="L216" s="93" t="n"/>
      <c r="M216" s="93" t="n"/>
      <c r="N216" s="93" t="n"/>
      <c r="O216" s="93" t="n"/>
      <c r="P216" s="93" t="n"/>
      <c r="Q216" s="93" t="n"/>
      <c r="R216" s="93" t="n"/>
      <c r="S216" s="93" t="n"/>
      <c r="T216" s="93" t="n"/>
    </row>
    <row r="217">
      <c r="A217" s="93" t="n"/>
      <c r="B217" s="93" t="n"/>
      <c r="C217" s="93" t="n"/>
      <c r="D217" s="93" t="n"/>
      <c r="E217" s="93" t="n"/>
      <c r="F217" s="93" t="n"/>
      <c r="G217" s="93" t="n"/>
      <c r="H217" s="93" t="n"/>
      <c r="I217" s="93" t="n"/>
      <c r="J217" s="93" t="n"/>
      <c r="K217" s="93" t="n"/>
      <c r="L217" s="93" t="n"/>
      <c r="M217" s="93" t="n"/>
      <c r="N217" s="93" t="n"/>
      <c r="O217" s="93" t="n"/>
      <c r="P217" s="93" t="n"/>
      <c r="Q217" s="93" t="n"/>
      <c r="R217" s="93" t="n"/>
      <c r="S217" s="93" t="n"/>
      <c r="T217" s="93" t="n"/>
    </row>
    <row r="218">
      <c r="A218" s="127" t="inlineStr">
        <is>
          <t>Product</t>
        </is>
      </c>
      <c r="B218" s="127" t="inlineStr">
        <is>
          <t>FY Revenue</t>
        </is>
      </c>
      <c r="C218" s="127" t="inlineStr">
        <is>
          <t>FY COGS</t>
        </is>
      </c>
      <c r="D218" s="127" t="inlineStr">
        <is>
          <t>FY CM$</t>
        </is>
      </c>
      <c r="E218" s="93" t="n"/>
      <c r="F218" s="93" t="n"/>
      <c r="G218" s="93" t="n"/>
      <c r="H218" s="93" t="n"/>
      <c r="I218" s="93" t="n"/>
      <c r="J218" s="93" t="n"/>
      <c r="K218" s="93" t="n"/>
      <c r="L218" s="93" t="n"/>
      <c r="M218" s="93" t="n"/>
      <c r="N218" s="93" t="n"/>
      <c r="O218" s="93" t="n"/>
      <c r="P218" s="93" t="n"/>
      <c r="Q218" s="93" t="n"/>
      <c r="R218" s="93" t="n"/>
      <c r="S218" s="93" t="n"/>
      <c r="T218" s="93" t="n"/>
    </row>
    <row r="219">
      <c r="A219" s="127" t="inlineStr">
        <is>
          <t>iGO</t>
        </is>
      </c>
      <c r="B219" s="128">
        <f>'Product Line Summary'!R8</f>
        <v/>
      </c>
      <c r="C219" s="128">
        <f>'Product Line Summary'!R9</f>
        <v/>
      </c>
      <c r="D219" s="128">
        <f>'Product Line Summary'!R10</f>
        <v/>
      </c>
      <c r="E219" s="93" t="n"/>
      <c r="F219" s="93" t="n"/>
      <c r="G219" s="93" t="n"/>
      <c r="H219" s="93" t="n"/>
      <c r="I219" s="93" t="n"/>
      <c r="J219" s="93" t="n"/>
      <c r="K219" s="93" t="n"/>
      <c r="L219" s="93" t="n"/>
      <c r="M219" s="93" t="n"/>
      <c r="N219" s="93" t="n"/>
      <c r="O219" s="93" t="n"/>
      <c r="P219" s="93" t="n"/>
      <c r="Q219" s="93" t="n"/>
      <c r="R219" s="93" t="n"/>
      <c r="S219" s="93" t="n"/>
      <c r="T219" s="93" t="n"/>
    </row>
    <row r="220">
      <c r="A220" s="127" t="inlineStr">
        <is>
          <t>Affirm</t>
        </is>
      </c>
      <c r="B220" s="128">
        <f>'Product Line Summary'!R16</f>
        <v/>
      </c>
      <c r="C220" s="128">
        <f>'Product Line Summary'!R17</f>
        <v/>
      </c>
      <c r="D220" s="128">
        <f>'Product Line Summary'!R18</f>
        <v/>
      </c>
      <c r="E220" s="93" t="n"/>
      <c r="F220" s="93" t="n"/>
      <c r="G220" s="93" t="n"/>
      <c r="H220" s="93" t="n"/>
      <c r="I220" s="93" t="n"/>
      <c r="J220" s="93" t="n"/>
      <c r="K220" s="93" t="n"/>
      <c r="L220" s="93" t="n"/>
      <c r="M220" s="93" t="n"/>
      <c r="N220" s="93" t="n"/>
      <c r="O220" s="93" t="n"/>
      <c r="P220" s="93" t="n"/>
      <c r="Q220" s="93" t="n"/>
      <c r="R220" s="93" t="n"/>
      <c r="S220" s="93" t="n"/>
      <c r="T220" s="93" t="n"/>
    </row>
    <row r="221">
      <c r="A221" s="127" t="inlineStr">
        <is>
          <t>InsureSight</t>
        </is>
      </c>
      <c r="B221" s="128">
        <f>'Product Line Summary'!R24</f>
        <v/>
      </c>
      <c r="C221" s="128">
        <f>'Product Line Summary'!R25</f>
        <v/>
      </c>
      <c r="D221" s="128">
        <f>'Product Line Summary'!R26</f>
        <v/>
      </c>
      <c r="E221" s="93" t="n"/>
      <c r="F221" s="93" t="n"/>
      <c r="G221" s="93" t="n"/>
      <c r="H221" s="93" t="n"/>
      <c r="I221" s="93" t="n"/>
      <c r="J221" s="93" t="n"/>
      <c r="K221" s="93" t="n"/>
      <c r="L221" s="93" t="n"/>
      <c r="M221" s="93" t="n"/>
      <c r="N221" s="93" t="n"/>
      <c r="O221" s="93" t="n"/>
      <c r="P221" s="93" t="n"/>
      <c r="Q221" s="93" t="n"/>
      <c r="R221" s="93" t="n"/>
      <c r="S221" s="93" t="n"/>
      <c r="T221" s="93" t="n"/>
    </row>
    <row r="222">
      <c r="A222" s="127" t="inlineStr">
        <is>
          <t>DocFast</t>
        </is>
      </c>
      <c r="B222" s="128">
        <f>'Product Line Summary'!R32</f>
        <v/>
      </c>
      <c r="C222" s="128">
        <f>'Product Line Summary'!R33</f>
        <v/>
      </c>
      <c r="D222" s="128">
        <f>'Product Line Summary'!R34</f>
        <v/>
      </c>
      <c r="E222" s="93" t="n"/>
      <c r="F222" s="93" t="n"/>
      <c r="G222" s="93" t="n"/>
      <c r="H222" s="93" t="n"/>
      <c r="I222" s="93" t="n"/>
      <c r="J222" s="93" t="n"/>
      <c r="K222" s="93" t="n"/>
      <c r="L222" s="93" t="n"/>
      <c r="M222" s="93" t="n"/>
      <c r="N222" s="93" t="n"/>
      <c r="O222" s="93" t="n"/>
      <c r="P222" s="93" t="n"/>
      <c r="Q222" s="93" t="n"/>
      <c r="R222" s="93" t="n"/>
      <c r="S222" s="93" t="n"/>
      <c r="T222" s="93" t="n"/>
    </row>
    <row r="223">
      <c r="A223" s="93" t="n"/>
      <c r="B223" s="93" t="n"/>
      <c r="C223" s="93" t="n"/>
      <c r="D223" s="93" t="n"/>
      <c r="E223" s="93" t="n"/>
      <c r="F223" s="93" t="n"/>
      <c r="G223" s="93" t="n"/>
      <c r="H223" s="93" t="n"/>
      <c r="I223" s="93" t="n"/>
      <c r="J223" s="93" t="n"/>
      <c r="K223" s="93" t="n"/>
      <c r="L223" s="93" t="n"/>
      <c r="M223" s="93" t="n"/>
      <c r="N223" s="93" t="n"/>
      <c r="O223" s="93" t="n"/>
      <c r="P223" s="93" t="n"/>
      <c r="Q223" s="93" t="n"/>
      <c r="R223" s="93" t="n"/>
      <c r="S223" s="93" t="n"/>
      <c r="T223" s="93" t="n"/>
    </row>
    <row r="224">
      <c r="A224" s="127" t="inlineStr">
        <is>
          <t>Department</t>
        </is>
      </c>
      <c r="B224" s="127" t="inlineStr">
        <is>
          <t>iGO</t>
        </is>
      </c>
      <c r="C224" s="127" t="inlineStr">
        <is>
          <t>Affirm</t>
        </is>
      </c>
      <c r="D224" s="127" t="inlineStr">
        <is>
          <t>InsureSight</t>
        </is>
      </c>
      <c r="E224" s="127" t="inlineStr">
        <is>
          <t>DocFast</t>
        </is>
      </c>
      <c r="F224" s="93" t="n"/>
      <c r="G224" s="93" t="n"/>
      <c r="H224" s="93" t="n"/>
      <c r="I224" s="93" t="n"/>
      <c r="J224" s="93" t="n"/>
      <c r="K224" s="93" t="n"/>
      <c r="L224" s="93" t="n"/>
      <c r="M224" s="93" t="n"/>
      <c r="N224" s="93" t="n"/>
      <c r="O224" s="93" t="n"/>
      <c r="P224" s="93" t="n"/>
      <c r="Q224" s="93" t="n"/>
      <c r="R224" s="93" t="n"/>
      <c r="S224" s="93" t="n"/>
      <c r="T224" s="93" t="n"/>
    </row>
    <row r="225">
      <c r="A225" s="127" t="inlineStr">
        <is>
          <t>NetOps</t>
        </is>
      </c>
      <c r="B225" s="128">
        <f>'Product Line Summary'!R43</f>
        <v/>
      </c>
      <c r="C225" s="128">
        <f>'Product Line Summary'!R53</f>
        <v/>
      </c>
      <c r="D225" s="128">
        <f>'Product Line Summary'!R63</f>
        <v/>
      </c>
      <c r="E225" s="128">
        <f>'Product Line Summary'!R73</f>
        <v/>
      </c>
      <c r="F225" s="93" t="n"/>
      <c r="G225" s="93" t="n"/>
      <c r="H225" s="93" t="n"/>
      <c r="I225" s="93" t="n"/>
      <c r="J225" s="93" t="n"/>
      <c r="K225" s="93" t="n"/>
      <c r="L225" s="93" t="n"/>
      <c r="M225" s="93" t="n"/>
      <c r="N225" s="93" t="n"/>
      <c r="O225" s="93" t="n"/>
      <c r="P225" s="93" t="n"/>
      <c r="Q225" s="93" t="n"/>
      <c r="R225" s="93" t="n"/>
      <c r="S225" s="93" t="n"/>
      <c r="T225" s="93" t="n"/>
    </row>
    <row r="226">
      <c r="A226" s="127" t="inlineStr">
        <is>
          <t>Security</t>
        </is>
      </c>
      <c r="B226" s="128">
        <f>'Product Line Summary'!R44</f>
        <v/>
      </c>
      <c r="C226" s="128">
        <f>'Product Line Summary'!R54</f>
        <v/>
      </c>
      <c r="D226" s="128">
        <f>'Product Line Summary'!R64</f>
        <v/>
      </c>
      <c r="E226" s="128">
        <f>'Product Line Summary'!R74</f>
        <v/>
      </c>
      <c r="F226" s="93" t="n"/>
      <c r="G226" s="93" t="n"/>
      <c r="H226" s="93" t="n"/>
      <c r="I226" s="93" t="n"/>
      <c r="J226" s="93" t="n"/>
      <c r="K226" s="93" t="n"/>
      <c r="L226" s="93" t="n"/>
      <c r="M226" s="93" t="n"/>
      <c r="N226" s="93" t="n"/>
      <c r="O226" s="93" t="n"/>
      <c r="P226" s="93" t="n"/>
      <c r="Q226" s="93" t="n"/>
      <c r="R226" s="93" t="n"/>
      <c r="S226" s="93" t="n"/>
      <c r="T226" s="93" t="n"/>
    </row>
    <row r="227">
      <c r="A227" s="127" t="inlineStr">
        <is>
          <t>Support</t>
        </is>
      </c>
      <c r="B227" s="128">
        <f>'Product Line Summary'!R45</f>
        <v/>
      </c>
      <c r="C227" s="128">
        <f>'Product Line Summary'!R55</f>
        <v/>
      </c>
      <c r="D227" s="128">
        <f>'Product Line Summary'!R65</f>
        <v/>
      </c>
      <c r="E227" s="128">
        <f>'Product Line Summary'!R75</f>
        <v/>
      </c>
      <c r="F227" s="93" t="n"/>
      <c r="G227" s="93" t="n"/>
      <c r="H227" s="93" t="n"/>
      <c r="I227" s="93" t="n"/>
      <c r="J227" s="93" t="n"/>
      <c r="K227" s="93" t="n"/>
      <c r="L227" s="93" t="n"/>
      <c r="M227" s="93" t="n"/>
      <c r="N227" s="93" t="n"/>
      <c r="O227" s="93" t="n"/>
      <c r="P227" s="93" t="n"/>
      <c r="Q227" s="93" t="n"/>
      <c r="R227" s="93" t="n"/>
      <c r="S227" s="93" t="n"/>
      <c r="T227" s="93" t="n"/>
    </row>
    <row r="228">
      <c r="A228" s="127" t="inlineStr">
        <is>
          <t>Partners</t>
        </is>
      </c>
      <c r="B228" s="128">
        <f>'Product Line Summary'!R46</f>
        <v/>
      </c>
      <c r="C228" s="128">
        <f>'Product Line Summary'!R56</f>
        <v/>
      </c>
      <c r="D228" s="128">
        <f>'Product Line Summary'!R66</f>
        <v/>
      </c>
      <c r="E228" s="128">
        <f>'Product Line Summary'!R76</f>
        <v/>
      </c>
      <c r="F228" s="93" t="n"/>
      <c r="G228" s="93" t="n"/>
      <c r="H228" s="93" t="n"/>
      <c r="I228" s="93" t="n"/>
      <c r="J228" s="93" t="n"/>
      <c r="K228" s="93" t="n"/>
      <c r="L228" s="93" t="n"/>
      <c r="M228" s="93" t="n"/>
      <c r="N228" s="93" t="n"/>
      <c r="O228" s="93" t="n"/>
      <c r="P228" s="93" t="n"/>
      <c r="Q228" s="93" t="n"/>
      <c r="R228" s="93" t="n"/>
      <c r="S228" s="93" t="n"/>
      <c r="T228" s="93" t="n"/>
    </row>
    <row r="229">
      <c r="A229" s="127" t="inlineStr">
        <is>
          <t>Content</t>
        </is>
      </c>
      <c r="B229" s="128">
        <f>'Product Line Summary'!R47</f>
        <v/>
      </c>
      <c r="C229" s="128">
        <f>'Product Line Summary'!R57</f>
        <v/>
      </c>
      <c r="D229" s="128">
        <f>'Product Line Summary'!R67</f>
        <v/>
      </c>
      <c r="E229" s="128">
        <f>'Product Line Summary'!R77</f>
        <v/>
      </c>
      <c r="F229" s="93" t="n"/>
      <c r="G229" s="93" t="n"/>
      <c r="H229" s="93" t="n"/>
      <c r="I229" s="93" t="n"/>
      <c r="J229" s="93" t="n"/>
      <c r="K229" s="93" t="n"/>
      <c r="L229" s="93" t="n"/>
      <c r="M229" s="93" t="n"/>
      <c r="N229" s="93" t="n"/>
      <c r="O229" s="93" t="n"/>
      <c r="P229" s="93" t="n"/>
      <c r="Q229" s="93" t="n"/>
      <c r="R229" s="93" t="n"/>
      <c r="S229" s="93" t="n"/>
      <c r="T229" s="93" t="n"/>
    </row>
    <row r="230">
      <c r="A230" s="127" t="inlineStr">
        <is>
          <t>R&amp;D</t>
        </is>
      </c>
      <c r="B230" s="128">
        <f>'Product Line Summary'!R48</f>
        <v/>
      </c>
      <c r="C230" s="128">
        <f>'Product Line Summary'!R58</f>
        <v/>
      </c>
      <c r="D230" s="128">
        <f>'Product Line Summary'!R68</f>
        <v/>
      </c>
      <c r="E230" s="128">
        <f>'Product Line Summary'!R78</f>
        <v/>
      </c>
      <c r="F230" s="93" t="n"/>
      <c r="G230" s="93" t="n"/>
      <c r="H230" s="93" t="n"/>
      <c r="I230" s="93" t="n"/>
      <c r="J230" s="93" t="n"/>
      <c r="K230" s="93" t="n"/>
      <c r="L230" s="93" t="n"/>
      <c r="M230" s="93" t="n"/>
      <c r="N230" s="93" t="n"/>
      <c r="O230" s="93" t="n"/>
      <c r="P230" s="93" t="n"/>
      <c r="Q230" s="93" t="n"/>
      <c r="R230" s="93" t="n"/>
      <c r="S230" s="93" t="n"/>
      <c r="T230" s="93" t="n"/>
    </row>
    <row r="231">
      <c r="A231" s="127" t="inlineStr">
        <is>
          <t>Product Mgmt</t>
        </is>
      </c>
      <c r="B231" s="128">
        <f>'Product Line Summary'!R49</f>
        <v/>
      </c>
      <c r="C231" s="128">
        <f>'Product Line Summary'!R59</f>
        <v/>
      </c>
      <c r="D231" s="128">
        <f>'Product Line Summary'!R69</f>
        <v/>
      </c>
      <c r="E231" s="128">
        <f>'Product Line Summary'!R79</f>
        <v/>
      </c>
      <c r="F231" s="93" t="n"/>
      <c r="G231" s="93" t="n"/>
      <c r="H231" s="93" t="n"/>
      <c r="I231" s="93" t="n"/>
      <c r="J231" s="93" t="n"/>
      <c r="K231" s="93" t="n"/>
      <c r="L231" s="93" t="n"/>
      <c r="M231" s="93" t="n"/>
      <c r="N231" s="93" t="n"/>
      <c r="O231" s="93" t="n"/>
      <c r="P231" s="93" t="n"/>
      <c r="Q231" s="93" t="n"/>
      <c r="R231" s="93" t="n"/>
      <c r="S231" s="93" t="n"/>
      <c r="T231" s="93" t="n"/>
    </row>
    <row r="232">
      <c r="A232" s="93" t="n"/>
      <c r="B232" s="93" t="n"/>
      <c r="C232" s="93" t="n"/>
      <c r="D232" s="93" t="n"/>
      <c r="E232" s="93" t="n"/>
      <c r="F232" s="93" t="n"/>
      <c r="G232" s="93" t="n"/>
      <c r="H232" s="93" t="n"/>
      <c r="I232" s="93" t="n"/>
      <c r="J232" s="93" t="n"/>
      <c r="K232" s="93" t="n"/>
      <c r="L232" s="93" t="n"/>
      <c r="M232" s="93" t="n"/>
      <c r="N232" s="93" t="n"/>
      <c r="O232" s="93" t="n"/>
      <c r="P232" s="93" t="n"/>
      <c r="Q232" s="93" t="n"/>
      <c r="R232" s="93" t="n"/>
      <c r="S232" s="93" t="n"/>
      <c r="T232" s="93" t="n"/>
    </row>
    <row r="233">
      <c r="A233" s="127" t="inlineStr">
        <is>
          <t>Month</t>
        </is>
      </c>
      <c r="B233" s="127" t="inlineStr">
        <is>
          <t>iGO</t>
        </is>
      </c>
      <c r="C233" s="127" t="inlineStr">
        <is>
          <t>Affirm</t>
        </is>
      </c>
      <c r="D233" s="127" t="inlineStr">
        <is>
          <t>InsureSight</t>
        </is>
      </c>
      <c r="E233" s="127" t="inlineStr">
        <is>
          <t>DocFast</t>
        </is>
      </c>
      <c r="F233" s="93" t="n"/>
      <c r="G233" s="93" t="n"/>
      <c r="H233" s="93" t="n"/>
      <c r="I233" s="93" t="n"/>
      <c r="J233" s="93" t="n"/>
      <c r="K233" s="93" t="n"/>
      <c r="L233" s="93" t="n"/>
      <c r="M233" s="93" t="n"/>
      <c r="N233" s="93" t="n"/>
      <c r="O233" s="93" t="n"/>
      <c r="P233" s="93" t="n"/>
      <c r="Q233" s="93" t="n"/>
      <c r="R233" s="93" t="n"/>
      <c r="S233" s="93" t="n"/>
      <c r="T233" s="93" t="n"/>
    </row>
    <row r="234">
      <c r="A234" s="127" t="inlineStr">
        <is>
          <t>Jan</t>
        </is>
      </c>
      <c r="B234" s="128">
        <f>'Product Line Summary'!B8</f>
        <v/>
      </c>
      <c r="C234" s="128">
        <f>'Product Line Summary'!B16</f>
        <v/>
      </c>
      <c r="D234" s="128">
        <f>'Product Line Summary'!B24</f>
        <v/>
      </c>
      <c r="E234" s="128">
        <f>'Product Line Summary'!B32</f>
        <v/>
      </c>
      <c r="F234" s="93" t="n"/>
      <c r="G234" s="93" t="n"/>
      <c r="H234" s="93" t="n"/>
      <c r="I234" s="93" t="n"/>
      <c r="J234" s="93" t="n"/>
      <c r="K234" s="93" t="n"/>
      <c r="L234" s="93" t="n"/>
      <c r="M234" s="93" t="n"/>
      <c r="N234" s="93" t="n"/>
      <c r="O234" s="93" t="n"/>
      <c r="P234" s="93" t="n"/>
      <c r="Q234" s="93" t="n"/>
      <c r="R234" s="93" t="n"/>
      <c r="S234" s="93" t="n"/>
      <c r="T234" s="93" t="n"/>
    </row>
    <row r="235">
      <c r="A235" s="127" t="inlineStr">
        <is>
          <t>Feb</t>
        </is>
      </c>
      <c r="B235" s="128">
        <f>'Product Line Summary'!C8</f>
        <v/>
      </c>
      <c r="C235" s="128">
        <f>'Product Line Summary'!C16</f>
        <v/>
      </c>
      <c r="D235" s="128">
        <f>'Product Line Summary'!C24</f>
        <v/>
      </c>
      <c r="E235" s="128">
        <f>'Product Line Summary'!C32</f>
        <v/>
      </c>
      <c r="F235" s="93" t="n"/>
      <c r="G235" s="93" t="n"/>
      <c r="H235" s="93" t="n"/>
      <c r="I235" s="93" t="n"/>
      <c r="J235" s="93" t="n"/>
      <c r="K235" s="93" t="n"/>
      <c r="L235" s="93" t="n"/>
      <c r="M235" s="93" t="n"/>
      <c r="N235" s="93" t="n"/>
      <c r="O235" s="93" t="n"/>
      <c r="P235" s="93" t="n"/>
      <c r="Q235" s="93" t="n"/>
      <c r="R235" s="93" t="n"/>
      <c r="S235" s="93" t="n"/>
      <c r="T235" s="93" t="n"/>
    </row>
    <row r="236">
      <c r="A236" s="127" t="inlineStr">
        <is>
          <t>Mar</t>
        </is>
      </c>
      <c r="B236" s="128">
        <f>'Product Line Summary'!D8</f>
        <v/>
      </c>
      <c r="C236" s="128">
        <f>'Product Line Summary'!D16</f>
        <v/>
      </c>
      <c r="D236" s="128">
        <f>'Product Line Summary'!D24</f>
        <v/>
      </c>
      <c r="E236" s="128">
        <f>'Product Line Summary'!D32</f>
        <v/>
      </c>
      <c r="F236" s="93" t="n"/>
      <c r="G236" s="93" t="n"/>
      <c r="H236" s="93" t="n"/>
      <c r="I236" s="93" t="n"/>
      <c r="J236" s="93" t="n"/>
      <c r="K236" s="93" t="n"/>
      <c r="L236" s="93" t="n"/>
      <c r="M236" s="93" t="n"/>
      <c r="N236" s="93" t="n"/>
      <c r="O236" s="93" t="n"/>
      <c r="P236" s="93" t="n"/>
      <c r="Q236" s="93" t="n"/>
      <c r="R236" s="93" t="n"/>
      <c r="S236" s="93" t="n"/>
      <c r="T236" s="93" t="n"/>
    </row>
    <row r="237">
      <c r="A237" s="127" t="inlineStr">
        <is>
          <t>Apr</t>
        </is>
      </c>
      <c r="B237" s="128">
        <f>'Product Line Summary'!E8</f>
        <v/>
      </c>
      <c r="C237" s="128">
        <f>'Product Line Summary'!E16</f>
        <v/>
      </c>
      <c r="D237" s="128">
        <f>'Product Line Summary'!E24</f>
        <v/>
      </c>
      <c r="E237" s="128">
        <f>'Product Line Summary'!E32</f>
        <v/>
      </c>
      <c r="F237" s="93" t="n"/>
      <c r="G237" s="93" t="n"/>
      <c r="H237" s="93" t="n"/>
      <c r="I237" s="93" t="n"/>
      <c r="J237" s="93" t="n"/>
      <c r="K237" s="93" t="n"/>
      <c r="L237" s="93" t="n"/>
      <c r="M237" s="93" t="n"/>
      <c r="N237" s="93" t="n"/>
      <c r="O237" s="93" t="n"/>
      <c r="P237" s="93" t="n"/>
      <c r="Q237" s="93" t="n"/>
      <c r="R237" s="93" t="n"/>
      <c r="S237" s="93" t="n"/>
      <c r="T237" s="93" t="n"/>
    </row>
    <row r="238">
      <c r="A238" s="127" t="inlineStr">
        <is>
          <t>May</t>
        </is>
      </c>
      <c r="B238" s="128">
        <f>'Product Line Summary'!F8</f>
        <v/>
      </c>
      <c r="C238" s="128">
        <f>'Product Line Summary'!F16</f>
        <v/>
      </c>
      <c r="D238" s="128">
        <f>'Product Line Summary'!F24</f>
        <v/>
      </c>
      <c r="E238" s="128">
        <f>'Product Line Summary'!F32</f>
        <v/>
      </c>
      <c r="F238" s="93" t="n"/>
      <c r="G238" s="93" t="n"/>
      <c r="H238" s="93" t="n"/>
      <c r="I238" s="93" t="n"/>
      <c r="J238" s="93" t="n"/>
      <c r="K238" s="93" t="n"/>
      <c r="L238" s="93" t="n"/>
      <c r="M238" s="93" t="n"/>
      <c r="N238" s="93" t="n"/>
      <c r="O238" s="93" t="n"/>
      <c r="P238" s="93" t="n"/>
      <c r="Q238" s="93" t="n"/>
      <c r="R238" s="93" t="n"/>
      <c r="S238" s="93" t="n"/>
      <c r="T238" s="93" t="n"/>
    </row>
    <row r="239">
      <c r="A239" s="127" t="inlineStr">
        <is>
          <t>Jun</t>
        </is>
      </c>
      <c r="B239" s="128">
        <f>'Product Line Summary'!G8</f>
        <v/>
      </c>
      <c r="C239" s="128">
        <f>'Product Line Summary'!G16</f>
        <v/>
      </c>
      <c r="D239" s="128">
        <f>'Product Line Summary'!G24</f>
        <v/>
      </c>
      <c r="E239" s="128">
        <f>'Product Line Summary'!G32</f>
        <v/>
      </c>
      <c r="F239" s="93" t="n"/>
      <c r="G239" s="93" t="n"/>
      <c r="H239" s="93" t="n"/>
      <c r="I239" s="93" t="n"/>
      <c r="J239" s="93" t="n"/>
      <c r="K239" s="93" t="n"/>
      <c r="L239" s="93" t="n"/>
      <c r="M239" s="93" t="n"/>
      <c r="N239" s="93" t="n"/>
      <c r="O239" s="93" t="n"/>
      <c r="P239" s="93" t="n"/>
      <c r="Q239" s="93" t="n"/>
      <c r="R239" s="93" t="n"/>
      <c r="S239" s="93" t="n"/>
      <c r="T239" s="93" t="n"/>
    </row>
    <row r="240">
      <c r="A240" s="127" t="inlineStr">
        <is>
          <t>Jul</t>
        </is>
      </c>
      <c r="B240" s="128">
        <f>'Product Line Summary'!H8</f>
        <v/>
      </c>
      <c r="C240" s="128">
        <f>'Product Line Summary'!H16</f>
        <v/>
      </c>
      <c r="D240" s="128">
        <f>'Product Line Summary'!H24</f>
        <v/>
      </c>
      <c r="E240" s="128">
        <f>'Product Line Summary'!H32</f>
        <v/>
      </c>
      <c r="F240" s="93" t="n"/>
      <c r="G240" s="93" t="n"/>
      <c r="H240" s="93" t="n"/>
      <c r="I240" s="93" t="n"/>
      <c r="J240" s="93" t="n"/>
      <c r="K240" s="93" t="n"/>
      <c r="L240" s="93" t="n"/>
      <c r="M240" s="93" t="n"/>
      <c r="N240" s="93" t="n"/>
      <c r="O240" s="93" t="n"/>
      <c r="P240" s="93" t="n"/>
      <c r="Q240" s="93" t="n"/>
      <c r="R240" s="93" t="n"/>
      <c r="S240" s="93" t="n"/>
      <c r="T240" s="93" t="n"/>
    </row>
    <row r="241">
      <c r="A241" s="127" t="inlineStr">
        <is>
          <t>Aug</t>
        </is>
      </c>
      <c r="B241" s="128">
        <f>'Product Line Summary'!I8</f>
        <v/>
      </c>
      <c r="C241" s="128">
        <f>'Product Line Summary'!I16</f>
        <v/>
      </c>
      <c r="D241" s="128">
        <f>'Product Line Summary'!I24</f>
        <v/>
      </c>
      <c r="E241" s="128">
        <f>'Product Line Summary'!I32</f>
        <v/>
      </c>
      <c r="F241" s="93" t="n"/>
      <c r="G241" s="93" t="n"/>
      <c r="H241" s="93" t="n"/>
      <c r="I241" s="93" t="n"/>
      <c r="J241" s="93" t="n"/>
      <c r="K241" s="93" t="n"/>
      <c r="L241" s="93" t="n"/>
      <c r="M241" s="93" t="n"/>
      <c r="N241" s="93" t="n"/>
      <c r="O241" s="93" t="n"/>
      <c r="P241" s="93" t="n"/>
      <c r="Q241" s="93" t="n"/>
      <c r="R241" s="93" t="n"/>
      <c r="S241" s="93" t="n"/>
      <c r="T241" s="93" t="n"/>
    </row>
    <row r="242">
      <c r="A242" s="127" t="inlineStr">
        <is>
          <t>Sep</t>
        </is>
      </c>
      <c r="B242" s="128">
        <f>'Product Line Summary'!J8</f>
        <v/>
      </c>
      <c r="C242" s="128">
        <f>'Product Line Summary'!J16</f>
        <v/>
      </c>
      <c r="D242" s="128">
        <f>'Product Line Summary'!J24</f>
        <v/>
      </c>
      <c r="E242" s="128">
        <f>'Product Line Summary'!J32</f>
        <v/>
      </c>
      <c r="F242" s="93" t="n"/>
      <c r="G242" s="93" t="n"/>
      <c r="H242" s="93" t="n"/>
      <c r="I242" s="93" t="n"/>
      <c r="J242" s="93" t="n"/>
      <c r="K242" s="93" t="n"/>
      <c r="L242" s="93" t="n"/>
      <c r="M242" s="93" t="n"/>
      <c r="N242" s="93" t="n"/>
      <c r="O242" s="93" t="n"/>
      <c r="P242" s="93" t="n"/>
      <c r="Q242" s="93" t="n"/>
      <c r="R242" s="93" t="n"/>
      <c r="S242" s="93" t="n"/>
      <c r="T242" s="93" t="n"/>
    </row>
    <row r="243">
      <c r="A243" s="127" t="inlineStr">
        <is>
          <t>Oct</t>
        </is>
      </c>
      <c r="B243" s="128">
        <f>'Product Line Summary'!K8</f>
        <v/>
      </c>
      <c r="C243" s="128">
        <f>'Product Line Summary'!K16</f>
        <v/>
      </c>
      <c r="D243" s="128">
        <f>'Product Line Summary'!K24</f>
        <v/>
      </c>
      <c r="E243" s="128">
        <f>'Product Line Summary'!K32</f>
        <v/>
      </c>
      <c r="F243" s="93" t="n"/>
      <c r="G243" s="93" t="n"/>
      <c r="H243" s="93" t="n"/>
      <c r="I243" s="93" t="n"/>
      <c r="J243" s="93" t="n"/>
      <c r="K243" s="93" t="n"/>
      <c r="L243" s="93" t="n"/>
      <c r="M243" s="93" t="n"/>
      <c r="N243" s="93" t="n"/>
      <c r="O243" s="93" t="n"/>
      <c r="P243" s="93" t="n"/>
      <c r="Q243" s="93" t="n"/>
      <c r="R243" s="93" t="n"/>
      <c r="S243" s="93" t="n"/>
      <c r="T243" s="93" t="n"/>
    </row>
    <row r="244">
      <c r="A244" s="127" t="inlineStr">
        <is>
          <t>Nov</t>
        </is>
      </c>
      <c r="B244" s="128">
        <f>'Product Line Summary'!L8</f>
        <v/>
      </c>
      <c r="C244" s="128">
        <f>'Product Line Summary'!L16</f>
        <v/>
      </c>
      <c r="D244" s="128">
        <f>'Product Line Summary'!L24</f>
        <v/>
      </c>
      <c r="E244" s="128">
        <f>'Product Line Summary'!L32</f>
        <v/>
      </c>
      <c r="F244" s="93" t="n"/>
      <c r="G244" s="93" t="n"/>
      <c r="H244" s="93" t="n"/>
      <c r="I244" s="93" t="n"/>
      <c r="J244" s="93" t="n"/>
      <c r="K244" s="93" t="n"/>
      <c r="L244" s="93" t="n"/>
      <c r="M244" s="93" t="n"/>
      <c r="N244" s="93" t="n"/>
      <c r="O244" s="93" t="n"/>
      <c r="P244" s="93" t="n"/>
      <c r="Q244" s="93" t="n"/>
      <c r="R244" s="93" t="n"/>
      <c r="S244" s="93" t="n"/>
      <c r="T244" s="93" t="n"/>
    </row>
    <row r="245">
      <c r="A245" s="127" t="inlineStr">
        <is>
          <t>Dec</t>
        </is>
      </c>
      <c r="B245" s="128">
        <f>'Product Line Summary'!M8</f>
        <v/>
      </c>
      <c r="C245" s="128">
        <f>'Product Line Summary'!M16</f>
        <v/>
      </c>
      <c r="D245" s="128">
        <f>'Product Line Summary'!M24</f>
        <v/>
      </c>
      <c r="E245" s="128">
        <f>'Product Line Summary'!M32</f>
        <v/>
      </c>
      <c r="F245" s="93" t="n"/>
      <c r="G245" s="93" t="n"/>
      <c r="H245" s="93" t="n"/>
      <c r="I245" s="93" t="n"/>
      <c r="J245" s="93" t="n"/>
      <c r="K245" s="93" t="n"/>
      <c r="L245" s="93" t="n"/>
      <c r="M245" s="93" t="n"/>
      <c r="N245" s="93" t="n"/>
      <c r="O245" s="93" t="n"/>
      <c r="P245" s="93" t="n"/>
      <c r="Q245" s="93" t="n"/>
      <c r="R245" s="93" t="n"/>
      <c r="S245" s="93" t="n"/>
      <c r="T245" s="93" t="n"/>
    </row>
    <row r="246">
      <c r="A246" s="93" t="n"/>
      <c r="B246" s="93" t="n"/>
      <c r="C246" s="93" t="n"/>
      <c r="D246" s="93" t="n"/>
      <c r="E246" s="93" t="n"/>
      <c r="F246" s="93" t="n"/>
      <c r="G246" s="93" t="n"/>
      <c r="H246" s="93" t="n"/>
      <c r="I246" s="93" t="n"/>
      <c r="J246" s="93" t="n"/>
      <c r="K246" s="93" t="n"/>
      <c r="L246" s="93" t="n"/>
      <c r="M246" s="93" t="n"/>
      <c r="N246" s="93" t="n"/>
      <c r="O246" s="93" t="n"/>
      <c r="P246" s="93" t="n"/>
      <c r="Q246" s="93" t="n"/>
      <c r="R246" s="93" t="n"/>
      <c r="S246" s="93" t="n"/>
      <c r="T246" s="93" t="n"/>
    </row>
    <row r="247">
      <c r="A247" s="127" t="inlineStr">
        <is>
          <t>Month</t>
        </is>
      </c>
      <c r="B247" s="127" t="inlineStr">
        <is>
          <t>iGO</t>
        </is>
      </c>
      <c r="C247" s="127" t="inlineStr">
        <is>
          <t>Affirm</t>
        </is>
      </c>
      <c r="D247" s="127" t="inlineStr">
        <is>
          <t>InsureSight</t>
        </is>
      </c>
      <c r="E247" s="127" t="inlineStr">
        <is>
          <t>DocFast</t>
        </is>
      </c>
      <c r="F247" s="93" t="n"/>
      <c r="G247" s="93" t="n"/>
      <c r="H247" s="93" t="n"/>
      <c r="I247" s="93" t="n"/>
      <c r="J247" s="93" t="n"/>
      <c r="K247" s="93" t="n"/>
      <c r="L247" s="93" t="n"/>
      <c r="M247" s="93" t="n"/>
      <c r="N247" s="93" t="n"/>
      <c r="O247" s="93" t="n"/>
      <c r="P247" s="93" t="n"/>
      <c r="Q247" s="93" t="n"/>
      <c r="R247" s="93" t="n"/>
      <c r="S247" s="93" t="n"/>
      <c r="T247" s="93" t="n"/>
    </row>
    <row r="248">
      <c r="A248" s="127" t="inlineStr">
        <is>
          <t>Jan</t>
        </is>
      </c>
      <c r="B248" s="129">
        <f>'Product Line Summary'!B11</f>
        <v/>
      </c>
      <c r="C248" s="129">
        <f>'Product Line Summary'!B19</f>
        <v/>
      </c>
      <c r="D248" s="129">
        <f>'Product Line Summary'!B27</f>
        <v/>
      </c>
      <c r="E248" s="129">
        <f>'Product Line Summary'!B35</f>
        <v/>
      </c>
      <c r="F248" s="93" t="n"/>
      <c r="G248" s="93" t="n"/>
      <c r="H248" s="93" t="n"/>
      <c r="I248" s="93" t="n"/>
      <c r="J248" s="93" t="n"/>
      <c r="K248" s="93" t="n"/>
      <c r="L248" s="93" t="n"/>
      <c r="M248" s="93" t="n"/>
      <c r="N248" s="93" t="n"/>
      <c r="O248" s="93" t="n"/>
      <c r="P248" s="93" t="n"/>
      <c r="Q248" s="93" t="n"/>
      <c r="R248" s="93" t="n"/>
      <c r="S248" s="93" t="n"/>
      <c r="T248" s="93" t="n"/>
    </row>
    <row r="249">
      <c r="A249" s="127" t="inlineStr">
        <is>
          <t>Feb</t>
        </is>
      </c>
      <c r="B249" s="129">
        <f>'Product Line Summary'!C11</f>
        <v/>
      </c>
      <c r="C249" s="129">
        <f>'Product Line Summary'!C19</f>
        <v/>
      </c>
      <c r="D249" s="129">
        <f>'Product Line Summary'!C27</f>
        <v/>
      </c>
      <c r="E249" s="129">
        <f>'Product Line Summary'!C35</f>
        <v/>
      </c>
      <c r="F249" s="93" t="n"/>
      <c r="G249" s="93" t="n"/>
      <c r="H249" s="93" t="n"/>
      <c r="I249" s="93" t="n"/>
      <c r="J249" s="93" t="n"/>
      <c r="K249" s="93" t="n"/>
      <c r="L249" s="93" t="n"/>
      <c r="M249" s="93" t="n"/>
      <c r="N249" s="93" t="n"/>
      <c r="O249" s="93" t="n"/>
      <c r="P249" s="93" t="n"/>
      <c r="Q249" s="93" t="n"/>
      <c r="R249" s="93" t="n"/>
      <c r="S249" s="93" t="n"/>
      <c r="T249" s="93" t="n"/>
    </row>
    <row r="250">
      <c r="A250" s="127" t="inlineStr">
        <is>
          <t>Mar</t>
        </is>
      </c>
      <c r="B250" s="129">
        <f>'Product Line Summary'!D11</f>
        <v/>
      </c>
      <c r="C250" s="129">
        <f>'Product Line Summary'!D19</f>
        <v/>
      </c>
      <c r="D250" s="129">
        <f>'Product Line Summary'!D27</f>
        <v/>
      </c>
      <c r="E250" s="129">
        <f>'Product Line Summary'!D35</f>
        <v/>
      </c>
      <c r="F250" s="93" t="n"/>
      <c r="G250" s="93" t="n"/>
      <c r="H250" s="93" t="n"/>
      <c r="I250" s="93" t="n"/>
      <c r="J250" s="93" t="n"/>
      <c r="K250" s="93" t="n"/>
      <c r="L250" s="93" t="n"/>
      <c r="M250" s="93" t="n"/>
      <c r="N250" s="93" t="n"/>
      <c r="O250" s="93" t="n"/>
      <c r="P250" s="93" t="n"/>
      <c r="Q250" s="93" t="n"/>
      <c r="R250" s="93" t="n"/>
      <c r="S250" s="93" t="n"/>
      <c r="T250" s="93" t="n"/>
    </row>
    <row r="251">
      <c r="A251" s="127" t="inlineStr">
        <is>
          <t>Apr</t>
        </is>
      </c>
      <c r="B251" s="129">
        <f>'Product Line Summary'!E11</f>
        <v/>
      </c>
      <c r="C251" s="129">
        <f>'Product Line Summary'!E19</f>
        <v/>
      </c>
      <c r="D251" s="129">
        <f>'Product Line Summary'!E27</f>
        <v/>
      </c>
      <c r="E251" s="129">
        <f>'Product Line Summary'!E35</f>
        <v/>
      </c>
      <c r="F251" s="93" t="n"/>
      <c r="G251" s="93" t="n"/>
      <c r="H251" s="93" t="n"/>
      <c r="I251" s="93" t="n"/>
      <c r="J251" s="93" t="n"/>
      <c r="K251" s="93" t="n"/>
      <c r="L251" s="93" t="n"/>
      <c r="M251" s="93" t="n"/>
      <c r="N251" s="93" t="n"/>
      <c r="O251" s="93" t="n"/>
      <c r="P251" s="93" t="n"/>
      <c r="Q251" s="93" t="n"/>
      <c r="R251" s="93" t="n"/>
      <c r="S251" s="93" t="n"/>
      <c r="T251" s="93" t="n"/>
    </row>
    <row r="252">
      <c r="A252" s="127" t="inlineStr">
        <is>
          <t>May</t>
        </is>
      </c>
      <c r="B252" s="129">
        <f>'Product Line Summary'!F11</f>
        <v/>
      </c>
      <c r="C252" s="129">
        <f>'Product Line Summary'!F19</f>
        <v/>
      </c>
      <c r="D252" s="129">
        <f>'Product Line Summary'!F27</f>
        <v/>
      </c>
      <c r="E252" s="129">
        <f>'Product Line Summary'!F35</f>
        <v/>
      </c>
      <c r="F252" s="93" t="n"/>
      <c r="G252" s="93" t="n"/>
      <c r="H252" s="93" t="n"/>
      <c r="I252" s="93" t="n"/>
      <c r="J252" s="93" t="n"/>
      <c r="K252" s="93" t="n"/>
      <c r="L252" s="93" t="n"/>
      <c r="M252" s="93" t="n"/>
      <c r="N252" s="93" t="n"/>
      <c r="O252" s="93" t="n"/>
      <c r="P252" s="93" t="n"/>
      <c r="Q252" s="93" t="n"/>
      <c r="R252" s="93" t="n"/>
      <c r="S252" s="93" t="n"/>
      <c r="T252" s="93" t="n"/>
    </row>
    <row r="253">
      <c r="A253" s="127" t="inlineStr">
        <is>
          <t>Jun</t>
        </is>
      </c>
      <c r="B253" s="129">
        <f>'Product Line Summary'!G11</f>
        <v/>
      </c>
      <c r="C253" s="129">
        <f>'Product Line Summary'!G19</f>
        <v/>
      </c>
      <c r="D253" s="129">
        <f>'Product Line Summary'!G27</f>
        <v/>
      </c>
      <c r="E253" s="129">
        <f>'Product Line Summary'!G35</f>
        <v/>
      </c>
      <c r="F253" s="93" t="n"/>
      <c r="G253" s="93" t="n"/>
      <c r="H253" s="93" t="n"/>
      <c r="I253" s="93" t="n"/>
      <c r="J253" s="93" t="n"/>
      <c r="K253" s="93" t="n"/>
      <c r="L253" s="93" t="n"/>
      <c r="M253" s="93" t="n"/>
      <c r="N253" s="93" t="n"/>
      <c r="O253" s="93" t="n"/>
      <c r="P253" s="93" t="n"/>
      <c r="Q253" s="93" t="n"/>
      <c r="R253" s="93" t="n"/>
      <c r="S253" s="93" t="n"/>
      <c r="T253" s="93" t="n"/>
    </row>
    <row r="254">
      <c r="A254" s="127" t="inlineStr">
        <is>
          <t>Jul</t>
        </is>
      </c>
      <c r="B254" s="129">
        <f>'Product Line Summary'!H11</f>
        <v/>
      </c>
      <c r="C254" s="129">
        <f>'Product Line Summary'!H19</f>
        <v/>
      </c>
      <c r="D254" s="129">
        <f>'Product Line Summary'!H27</f>
        <v/>
      </c>
      <c r="E254" s="129">
        <f>'Product Line Summary'!H35</f>
        <v/>
      </c>
      <c r="F254" s="93" t="n"/>
      <c r="G254" s="93" t="n"/>
      <c r="H254" s="93" t="n"/>
      <c r="I254" s="93" t="n"/>
      <c r="J254" s="93" t="n"/>
      <c r="K254" s="93" t="n"/>
      <c r="L254" s="93" t="n"/>
      <c r="M254" s="93" t="n"/>
      <c r="N254" s="93" t="n"/>
      <c r="O254" s="93" t="n"/>
      <c r="P254" s="93" t="n"/>
      <c r="Q254" s="93" t="n"/>
      <c r="R254" s="93" t="n"/>
      <c r="S254" s="93" t="n"/>
      <c r="T254" s="93" t="n"/>
    </row>
    <row r="255">
      <c r="A255" s="127" t="inlineStr">
        <is>
          <t>Aug</t>
        </is>
      </c>
      <c r="B255" s="129">
        <f>'Product Line Summary'!I11</f>
        <v/>
      </c>
      <c r="C255" s="129">
        <f>'Product Line Summary'!I19</f>
        <v/>
      </c>
      <c r="D255" s="129">
        <f>'Product Line Summary'!I27</f>
        <v/>
      </c>
      <c r="E255" s="129">
        <f>'Product Line Summary'!I35</f>
        <v/>
      </c>
      <c r="F255" s="93" t="n"/>
      <c r="G255" s="93" t="n"/>
      <c r="H255" s="93" t="n"/>
      <c r="I255" s="93" t="n"/>
      <c r="J255" s="93" t="n"/>
      <c r="K255" s="93" t="n"/>
      <c r="L255" s="93" t="n"/>
      <c r="M255" s="93" t="n"/>
      <c r="N255" s="93" t="n"/>
      <c r="O255" s="93" t="n"/>
      <c r="P255" s="93" t="n"/>
      <c r="Q255" s="93" t="n"/>
      <c r="R255" s="93" t="n"/>
      <c r="S255" s="93" t="n"/>
      <c r="T255" s="93" t="n"/>
    </row>
    <row r="256">
      <c r="A256" s="127" t="inlineStr">
        <is>
          <t>Sep</t>
        </is>
      </c>
      <c r="B256" s="129">
        <f>'Product Line Summary'!J11</f>
        <v/>
      </c>
      <c r="C256" s="129">
        <f>'Product Line Summary'!J19</f>
        <v/>
      </c>
      <c r="D256" s="129">
        <f>'Product Line Summary'!J27</f>
        <v/>
      </c>
      <c r="E256" s="129">
        <f>'Product Line Summary'!J35</f>
        <v/>
      </c>
      <c r="F256" s="93" t="n"/>
      <c r="G256" s="93" t="n"/>
      <c r="H256" s="93" t="n"/>
      <c r="I256" s="93" t="n"/>
      <c r="J256" s="93" t="n"/>
      <c r="K256" s="93" t="n"/>
      <c r="L256" s="93" t="n"/>
      <c r="M256" s="93" t="n"/>
      <c r="N256" s="93" t="n"/>
      <c r="O256" s="93" t="n"/>
      <c r="P256" s="93" t="n"/>
      <c r="Q256" s="93" t="n"/>
      <c r="R256" s="93" t="n"/>
      <c r="S256" s="93" t="n"/>
      <c r="T256" s="93" t="n"/>
    </row>
    <row r="257">
      <c r="A257" s="127" t="inlineStr">
        <is>
          <t>Oct</t>
        </is>
      </c>
      <c r="B257" s="129">
        <f>'Product Line Summary'!K11</f>
        <v/>
      </c>
      <c r="C257" s="129">
        <f>'Product Line Summary'!K19</f>
        <v/>
      </c>
      <c r="D257" s="129">
        <f>'Product Line Summary'!K27</f>
        <v/>
      </c>
      <c r="E257" s="129">
        <f>'Product Line Summary'!K35</f>
        <v/>
      </c>
      <c r="F257" s="93" t="n"/>
      <c r="G257" s="93" t="n"/>
      <c r="H257" s="93" t="n"/>
      <c r="I257" s="93" t="n"/>
      <c r="J257" s="93" t="n"/>
      <c r="K257" s="93" t="n"/>
      <c r="L257" s="93" t="n"/>
      <c r="M257" s="93" t="n"/>
      <c r="N257" s="93" t="n"/>
      <c r="O257" s="93" t="n"/>
      <c r="P257" s="93" t="n"/>
      <c r="Q257" s="93" t="n"/>
      <c r="R257" s="93" t="n"/>
      <c r="S257" s="93" t="n"/>
      <c r="T257" s="93" t="n"/>
    </row>
    <row r="258">
      <c r="A258" s="127" t="inlineStr">
        <is>
          <t>Nov</t>
        </is>
      </c>
      <c r="B258" s="129">
        <f>'Product Line Summary'!L11</f>
        <v/>
      </c>
      <c r="C258" s="129">
        <f>'Product Line Summary'!L19</f>
        <v/>
      </c>
      <c r="D258" s="129">
        <f>'Product Line Summary'!L27</f>
        <v/>
      </c>
      <c r="E258" s="129">
        <f>'Product Line Summary'!L35</f>
        <v/>
      </c>
      <c r="F258" s="93" t="n"/>
      <c r="G258" s="93" t="n"/>
      <c r="H258" s="93" t="n"/>
      <c r="I258" s="93" t="n"/>
      <c r="J258" s="93" t="n"/>
      <c r="K258" s="93" t="n"/>
      <c r="L258" s="93" t="n"/>
      <c r="M258" s="93" t="n"/>
      <c r="N258" s="93" t="n"/>
      <c r="O258" s="93" t="n"/>
      <c r="P258" s="93" t="n"/>
      <c r="Q258" s="93" t="n"/>
      <c r="R258" s="93" t="n"/>
      <c r="S258" s="93" t="n"/>
      <c r="T258" s="93" t="n"/>
    </row>
    <row r="259">
      <c r="A259" s="127" t="inlineStr">
        <is>
          <t>Dec</t>
        </is>
      </c>
      <c r="B259" s="129">
        <f>'Product Line Summary'!M11</f>
        <v/>
      </c>
      <c r="C259" s="129">
        <f>'Product Line Summary'!M19</f>
        <v/>
      </c>
      <c r="D259" s="129">
        <f>'Product Line Summary'!M27</f>
        <v/>
      </c>
      <c r="E259" s="129">
        <f>'Product Line Summary'!M35</f>
        <v/>
      </c>
      <c r="F259" s="93" t="n"/>
      <c r="G259" s="93" t="n"/>
      <c r="H259" s="93" t="n"/>
      <c r="I259" s="93" t="n"/>
      <c r="J259" s="93" t="n"/>
      <c r="K259" s="93" t="n"/>
      <c r="L259" s="93" t="n"/>
      <c r="M259" s="93" t="n"/>
      <c r="N259" s="93" t="n"/>
      <c r="O259" s="93" t="n"/>
      <c r="P259" s="93" t="n"/>
      <c r="Q259" s="93" t="n"/>
      <c r="R259" s="93" t="n"/>
      <c r="S259" s="93" t="n"/>
      <c r="T259" s="93" t="n"/>
    </row>
    <row r="260">
      <c r="A260" s="93" t="n"/>
      <c r="B260" s="93" t="n"/>
      <c r="C260" s="93" t="n"/>
      <c r="D260" s="93" t="n"/>
      <c r="E260" s="93" t="n"/>
      <c r="F260" s="93" t="n"/>
      <c r="G260" s="93" t="n"/>
      <c r="H260" s="93" t="n"/>
      <c r="I260" s="93" t="n"/>
      <c r="J260" s="93" t="n"/>
      <c r="K260" s="93" t="n"/>
      <c r="L260" s="93" t="n"/>
      <c r="M260" s="93" t="n"/>
      <c r="N260" s="93" t="n"/>
      <c r="O260" s="93" t="n"/>
      <c r="P260" s="93" t="n"/>
      <c r="Q260" s="93" t="n"/>
      <c r="R260" s="93" t="n"/>
      <c r="S260" s="93" t="n"/>
      <c r="T260" s="93" t="n"/>
    </row>
    <row r="261">
      <c r="A261" s="127" t="inlineStr">
        <is>
          <t>Product</t>
        </is>
      </c>
      <c r="B261" s="127" t="inlineStr">
        <is>
          <t>Revenue</t>
        </is>
      </c>
      <c r="C261" s="127" t="inlineStr">
        <is>
          <t>Cost of Revenue</t>
        </is>
      </c>
      <c r="D261" s="127" t="inlineStr">
        <is>
          <t>Contribution Margin</t>
        </is>
      </c>
      <c r="E261" s="93" t="n"/>
      <c r="F261" s="93" t="n"/>
      <c r="G261" s="93" t="n"/>
      <c r="H261" s="93" t="n"/>
      <c r="I261" s="93" t="n"/>
      <c r="J261" s="93" t="n"/>
      <c r="K261" s="93" t="n"/>
      <c r="L261" s="93" t="n"/>
      <c r="M261" s="93" t="n"/>
      <c r="N261" s="93" t="n"/>
      <c r="O261" s="93" t="n"/>
      <c r="P261" s="93" t="n"/>
      <c r="Q261" s="93" t="n"/>
      <c r="R261" s="93" t="n"/>
      <c r="S261" s="93" t="n"/>
      <c r="T261" s="93" t="n"/>
    </row>
    <row r="262">
      <c r="A262" s="127" t="inlineStr">
        <is>
          <t>iGO</t>
        </is>
      </c>
      <c r="B262" s="128">
        <f>'Product Line Summary'!R8</f>
        <v/>
      </c>
      <c r="C262" s="128">
        <f>'Product Line Summary'!R9</f>
        <v/>
      </c>
      <c r="D262" s="128">
        <f>'Product Line Summary'!R10</f>
        <v/>
      </c>
      <c r="E262" s="93" t="n"/>
      <c r="F262" s="93" t="n"/>
      <c r="G262" s="93" t="n"/>
      <c r="H262" s="93" t="n"/>
      <c r="I262" s="93" t="n"/>
      <c r="J262" s="93" t="n"/>
      <c r="K262" s="93" t="n"/>
      <c r="L262" s="93" t="n"/>
      <c r="M262" s="93" t="n"/>
      <c r="N262" s="93" t="n"/>
      <c r="O262" s="93" t="n"/>
      <c r="P262" s="93" t="n"/>
      <c r="Q262" s="93" t="n"/>
      <c r="R262" s="93" t="n"/>
      <c r="S262" s="93" t="n"/>
      <c r="T262" s="93" t="n"/>
    </row>
    <row r="263">
      <c r="A263" s="127" t="inlineStr">
        <is>
          <t>Affirm</t>
        </is>
      </c>
      <c r="B263" s="128">
        <f>'Product Line Summary'!R16</f>
        <v/>
      </c>
      <c r="C263" s="128">
        <f>'Product Line Summary'!R17</f>
        <v/>
      </c>
      <c r="D263" s="128">
        <f>'Product Line Summary'!R18</f>
        <v/>
      </c>
      <c r="E263" s="93" t="n"/>
      <c r="F263" s="93" t="n"/>
      <c r="G263" s="93" t="n"/>
      <c r="H263" s="93" t="n"/>
      <c r="I263" s="93" t="n"/>
      <c r="J263" s="93" t="n"/>
      <c r="K263" s="93" t="n"/>
      <c r="L263" s="93" t="n"/>
      <c r="M263" s="93" t="n"/>
      <c r="N263" s="93" t="n"/>
      <c r="O263" s="93" t="n"/>
      <c r="P263" s="93" t="n"/>
      <c r="Q263" s="93" t="n"/>
      <c r="R263" s="93" t="n"/>
      <c r="S263" s="93" t="n"/>
      <c r="T263" s="93" t="n"/>
    </row>
    <row r="264">
      <c r="A264" s="127" t="inlineStr">
        <is>
          <t>InsureSight</t>
        </is>
      </c>
      <c r="B264" s="128">
        <f>'Product Line Summary'!R24</f>
        <v/>
      </c>
      <c r="C264" s="128">
        <f>'Product Line Summary'!R25</f>
        <v/>
      </c>
      <c r="D264" s="128">
        <f>'Product Line Summary'!R26</f>
        <v/>
      </c>
      <c r="E264" s="93" t="n"/>
      <c r="F264" s="93" t="n"/>
      <c r="G264" s="93" t="n"/>
      <c r="H264" s="93" t="n"/>
      <c r="I264" s="93" t="n"/>
      <c r="J264" s="93" t="n"/>
      <c r="K264" s="93" t="n"/>
      <c r="L264" s="93" t="n"/>
      <c r="M264" s="93" t="n"/>
      <c r="N264" s="93" t="n"/>
      <c r="O264" s="93" t="n"/>
      <c r="P264" s="93" t="n"/>
      <c r="Q264" s="93" t="n"/>
      <c r="R264" s="93" t="n"/>
      <c r="S264" s="93" t="n"/>
      <c r="T264" s="93" t="n"/>
    </row>
    <row r="265">
      <c r="A265" s="127" t="inlineStr">
        <is>
          <t>DocFast</t>
        </is>
      </c>
      <c r="B265" s="128">
        <f>'Product Line Summary'!R32</f>
        <v/>
      </c>
      <c r="C265" s="128">
        <f>'Product Line Summary'!R33</f>
        <v/>
      </c>
      <c r="D265" s="128">
        <f>'Product Line Summary'!R34</f>
        <v/>
      </c>
      <c r="E265" s="93" t="n"/>
      <c r="F265" s="93" t="n"/>
      <c r="G265" s="93" t="n"/>
      <c r="H265" s="93" t="n"/>
      <c r="I265" s="93" t="n"/>
      <c r="J265" s="93" t="n"/>
      <c r="K265" s="93" t="n"/>
      <c r="L265" s="93" t="n"/>
      <c r="M265" s="93" t="n"/>
      <c r="N265" s="93" t="n"/>
      <c r="O265" s="93" t="n"/>
      <c r="P265" s="93" t="n"/>
      <c r="Q265" s="93" t="n"/>
      <c r="R265" s="93" t="n"/>
      <c r="S265" s="93" t="n"/>
      <c r="T265" s="93" t="n"/>
    </row>
  </sheetData>
  <mergeCells count="6">
    <mergeCell ref="B5:P5"/>
    <mergeCell ref="B1:P1"/>
    <mergeCell ref="B8:P8"/>
    <mergeCell ref="B50:P50"/>
    <mergeCell ref="B2:N2"/>
    <mergeCell ref="B92:P92"/>
  </mergeCells>
  <dataValidations count="1">
    <dataValidation sqref="C6" showDropDown="0" showInputMessage="0" showErrorMessage="0" allowBlank="0" errorTitle="Invalid Product" error="Please select a valid product" promptTitle="Product Selector" prompt="Select a product to view its dashboard" type="list">
      <formula1>"iGO,Affirm,InsureSight,DocFast"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FF0000"/>
    <outlinePr summaryBelow="1" summaryRight="1"/>
    <pageSetUpPr/>
  </sheetPr>
  <dimension ref="A1:E13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2" customWidth="1" min="1" max="1"/>
    <col width="18" customWidth="1" min="2" max="3"/>
    <col width="18" customWidth="1" min="3" max="3"/>
    <col width="16" customWidth="1" min="4" max="4"/>
    <col width="12" customWidth="1" min="5" max="5"/>
  </cols>
  <sheetData>
    <row r="1" ht="15.5" customHeight="1">
      <c r="A1" s="42" t="inlineStr">
        <is>
          <t>Keystone BenefitTech, Inc.</t>
        </is>
      </c>
      <c r="E1" s="43" t="inlineStr">
        <is>
          <t>Last Updated: 2026-02-28</t>
        </is>
      </c>
    </row>
    <row r="2">
      <c r="A2" s="44" t="inlineStr">
        <is>
          <t>Reconciliation Checks</t>
        </is>
      </c>
    </row>
    <row r="3">
      <c r="A3" s="51" t="n"/>
      <c r="B3" s="51" t="n"/>
      <c r="C3" s="51" t="n"/>
      <c r="D3" s="51" t="n"/>
      <c r="E3" s="51" t="n"/>
    </row>
    <row r="4">
      <c r="A4" s="54" t="inlineStr">
        <is>
          <t>Check Name</t>
        </is>
      </c>
      <c r="B4" s="79" t="inlineStr">
        <is>
          <t>Sheet A Value</t>
        </is>
      </c>
      <c r="C4" s="79" t="inlineStr">
        <is>
          <t>Sheet B Value</t>
        </is>
      </c>
      <c r="D4" s="79" t="inlineStr">
        <is>
          <t>Difference</t>
        </is>
      </c>
      <c r="E4" s="79" t="inlineStr">
        <is>
          <t>Status</t>
        </is>
      </c>
    </row>
    <row r="5">
      <c r="A5" s="80" t="inlineStr">
        <is>
          <t>Natural P&amp;L NetOps iGO vs Func Summary Jan</t>
        </is>
      </c>
      <c r="B5" s="81">
        <f>'US January 2025 Natural P&amp;L'!B21</f>
        <v/>
      </c>
      <c r="C5" s="81">
        <f>'Functional P&amp;L Summary - Jan 25'!B12</f>
        <v/>
      </c>
      <c r="D5" s="82">
        <f>B5-C5</f>
        <v/>
      </c>
      <c r="E5" s="83">
        <f>IF(ABS(D5)&lt;0.01,"PASS","FAIL")</f>
        <v/>
      </c>
    </row>
    <row r="6">
      <c r="A6" s="80" t="inlineStr">
        <is>
          <t>Natural P&amp;L Security iGO vs Func Summary Jan</t>
        </is>
      </c>
      <c r="B6" s="81">
        <f>'US January 2025 Natural P&amp;L'!B30</f>
        <v/>
      </c>
      <c r="C6" s="81">
        <f>'Functional P&amp;L Summary - Jan 25'!B13</f>
        <v/>
      </c>
      <c r="D6" s="82">
        <f>B6-C6</f>
        <v/>
      </c>
      <c r="E6" s="83">
        <f>IF(ABS(D6)&lt;0.01,"PASS","FAIL")</f>
        <v/>
      </c>
    </row>
    <row r="7">
      <c r="A7" s="80" t="inlineStr">
        <is>
          <t>Natural P&amp;L Support iGO vs Func Summary Jan</t>
        </is>
      </c>
      <c r="B7" s="81">
        <f>'US January 2025 Natural P&amp;L'!B39</f>
        <v/>
      </c>
      <c r="C7" s="81">
        <f>'Functional P&amp;L Summary - Jan 25'!B14</f>
        <v/>
      </c>
      <c r="D7" s="82">
        <f>B7-C7</f>
        <v/>
      </c>
      <c r="E7" s="83">
        <f>IF(ABS(D7)&lt;0.01,"PASS","FAIL")</f>
        <v/>
      </c>
    </row>
    <row r="8">
      <c r="A8" s="80" t="inlineStr">
        <is>
          <t>Natural P&amp;L Partners iGO vs Func Summary Jan</t>
        </is>
      </c>
      <c r="B8" s="81">
        <f>'US January 2025 Natural P&amp;L'!B49</f>
        <v/>
      </c>
      <c r="C8" s="81">
        <f>'Functional P&amp;L Summary - Jan 25'!B15</f>
        <v/>
      </c>
      <c r="D8" s="82">
        <f>B8-C8</f>
        <v/>
      </c>
      <c r="E8" s="83">
        <f>IF(ABS(D8)&lt;0.01,"PASS","FAIL")</f>
        <v/>
      </c>
    </row>
    <row r="9">
      <c r="A9" s="80" t="inlineStr">
        <is>
          <t>Natural P&amp;L Content iGO vs Func Summary Jan</t>
        </is>
      </c>
      <c r="B9" s="81">
        <f>'US January 2025 Natural P&amp;L'!B58</f>
        <v/>
      </c>
      <c r="C9" s="81">
        <f>'Functional P&amp;L Summary - Jan 25'!B16</f>
        <v/>
      </c>
      <c r="D9" s="82">
        <f>B9-C9</f>
        <v/>
      </c>
      <c r="E9" s="83">
        <f>IF(ABS(D9)&lt;0.01,"PASS","FAIL")</f>
        <v/>
      </c>
    </row>
    <row r="10">
      <c r="A10" s="80" t="inlineStr">
        <is>
          <t>Func Summary Jan: US Revenue vs SUM(products)</t>
        </is>
      </c>
      <c r="B10" s="81">
        <f>'Functional P&amp;L Summary - Jan 25'!E9</f>
        <v/>
      </c>
      <c r="C10" s="81">
        <f>'Functional P&amp;L Summary - Jan 25'!B9+'Functional P&amp;L Summary - Jan 25'!C9+'Functional P&amp;L Summary - Jan 25'!D9</f>
        <v/>
      </c>
      <c r="D10" s="82">
        <f>B10-C10</f>
        <v/>
      </c>
      <c r="E10" s="83">
        <f>IF(ABS(D10)&lt;0.01,"PASS","FAIL")</f>
        <v/>
      </c>
    </row>
    <row r="11">
      <c r="A11" s="80" t="inlineStr">
        <is>
          <t>P&amp;L Trend: Consolidated Rev Jan vs SUM(products)</t>
        </is>
      </c>
      <c r="B11" s="81">
        <f>'P&amp;L - Monthly Trend'!B7</f>
        <v/>
      </c>
      <c r="C11" s="81">
        <f>'P&amp;L - Monthly Trend'!B15+'P&amp;L - Monthly Trend'!B23+'P&amp;L - Monthly Trend'!B31+'P&amp;L - Monthly Trend'!B39</f>
        <v/>
      </c>
      <c r="D11" s="82">
        <f>B11-C11</f>
        <v/>
      </c>
      <c r="E11" s="83">
        <f>IF(ABS(D11)&lt;0.01,"PASS","FAIL")</f>
        <v/>
      </c>
    </row>
    <row r="12">
      <c r="A12" s="80" t="inlineStr">
        <is>
          <t>AWS Allocation Jan total vs Natural P&amp;L NetOps AWS</t>
        </is>
      </c>
      <c r="B12" s="81">
        <f>'AWS Allocation'!F31</f>
        <v/>
      </c>
      <c r="C12" s="81">
        <f>'US January 2025 Natural P&amp;L'!E15</f>
        <v/>
      </c>
      <c r="D12" s="82">
        <f>B12-C12</f>
        <v/>
      </c>
      <c r="E12" s="83">
        <f>IF(ABS(D12)&lt;0.01,"PASS","FAIL")</f>
        <v/>
      </c>
    </row>
    <row r="13">
      <c r="A13" s="80" t="inlineStr">
        <is>
          <t>Revenue Share %s sum to 100%</t>
        </is>
      </c>
      <c r="B13" s="81">
        <f>Assumptions!B8+Assumptions!B9+Assumptions!B10+Assumptions!B11</f>
        <v/>
      </c>
      <c r="C13" s="81" t="n">
        <v>1</v>
      </c>
      <c r="D13" s="82">
        <f>B13-C13</f>
        <v/>
      </c>
      <c r="E13" s="83">
        <f>IF(ABS(D13)&lt;0.01,"PASS","FAIL")</f>
        <v/>
      </c>
    </row>
  </sheetData>
  <conditionalFormatting sqref="E5:E14">
    <cfRule type="cellIs" priority="2" operator="equal" dxfId="1">
      <formula>"PASS"</formula>
    </cfRule>
    <cfRule type="cellIs" priority="3" operator="equal" dxfId="0">
      <formula>"FAIL"</formula>
    </cfRule>
  </conditionalFormatting>
  <conditionalFormatting sqref="A5:E13">
    <cfRule type="expression" priority="3" dxfId="5">
      <formula>$E5="PASS"</formula>
    </cfRule>
    <cfRule type="expression" priority="4" dxfId="6">
      <formula>$E5="FAIL"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2026-02-12T22:43:16Z</dcterms:created>
  <dcterms:modified xsi:type="dcterms:W3CDTF">2026-02-28T03:28:41Z</dcterms:modified>
  <cp:lastModifiedBy>Connor Atlee</cp:lastModifiedBy>
  <cp:revision>0</cp:revision>
</cp:coreProperties>
</file>